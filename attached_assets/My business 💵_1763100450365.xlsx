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drawings/drawing7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drawings/drawing8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FCB47C8367DBB/"/>
    </mc:Choice>
  </mc:AlternateContent>
  <xr:revisionPtr revIDLastSave="2807" documentId="13_ncr:1_{5A0AB11F-BBC2-4D99-9326-0E019E7FDF73}" xr6:coauthVersionLast="47" xr6:coauthVersionMax="47" xr10:uidLastSave="{70A99FBD-2492-9C43-9806-2B00447D6D77}"/>
  <bookViews>
    <workbookView xWindow="-104" yWindow="-104" windowWidth="29699" windowHeight="16094" firstSheet="1" activeTab="2" xr2:uid="{00000000-000D-0000-FFFF-FFFF00000000}"/>
  </bookViews>
  <sheets>
    <sheet name="Report" sheetId="17" r:id="rId1"/>
    <sheet name="ALL" sheetId="13" r:id="rId2"/>
    <sheet name="Sukuk" sheetId="20" r:id="rId3"/>
    <sheet name="MANAFA" sheetId="22" r:id="rId4"/>
    <sheet name="DINAR" sheetId="25" r:id="rId5"/>
    <sheet name="LENDO" sheetId="23" r:id="rId6"/>
    <sheet name="SAFQA" sheetId="26" r:id="rId7"/>
    <sheet name="TARMEEZ" sheetId="29" r:id="rId8"/>
    <sheet name="TAMEED" sheetId="28" r:id="rId9"/>
  </sheets>
  <definedNames>
    <definedName name="Amount" localSheetId="4">#REF!</definedName>
    <definedName name="Amount" localSheetId="5">#REF!</definedName>
    <definedName name="Amount" localSheetId="3">#REF!</definedName>
    <definedName name="Amount" localSheetId="6">#REF!</definedName>
    <definedName name="Amount" localSheetId="8">#REF!</definedName>
    <definedName name="Amount" localSheetId="7">#REF!</definedName>
    <definedName name="Amount">#REF!</definedName>
    <definedName name="Date" localSheetId="4">#REF!</definedName>
    <definedName name="Date" localSheetId="5">#REF!</definedName>
    <definedName name="Date" localSheetId="3">#REF!</definedName>
    <definedName name="Date" localSheetId="6">#REF!</definedName>
    <definedName name="Date" localSheetId="8">#REF!</definedName>
    <definedName name="Date" localSheetId="7">#REF!</definedName>
    <definedName name="Date">#REF!</definedName>
    <definedName name="Description" localSheetId="4">#REF!</definedName>
    <definedName name="Description" localSheetId="5">#REF!</definedName>
    <definedName name="Description" localSheetId="3">#REF!</definedName>
    <definedName name="Description" localSheetId="6">#REF!</definedName>
    <definedName name="Description" localSheetId="8">#REF!</definedName>
    <definedName name="Description" localSheetId="7">#REF!</definedName>
    <definedName name="Description">#REF!</definedName>
    <definedName name="From" localSheetId="4">#REF!</definedName>
    <definedName name="From" localSheetId="5">#REF!</definedName>
    <definedName name="From" localSheetId="3">#REF!</definedName>
    <definedName name="From" localSheetId="6">#REF!</definedName>
    <definedName name="From" localSheetId="8">#REF!</definedName>
    <definedName name="From" localSheetId="7">#REF!</definedName>
    <definedName name="From">#REF!</definedName>
    <definedName name="To" localSheetId="4">#REF!</definedName>
    <definedName name="To" localSheetId="5">#REF!</definedName>
    <definedName name="To" localSheetId="3">#REF!</definedName>
    <definedName name="To" localSheetId="6">#REF!</definedName>
    <definedName name="To" localSheetId="8">#REF!</definedName>
    <definedName name="To" localSheetId="7">#REF!</definedName>
    <definedName name="T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2" i="13" l="1"/>
  <c r="K326" i="13"/>
  <c r="J326" i="13"/>
  <c r="B2" i="13"/>
  <c r="K43" i="20"/>
  <c r="J43" i="20"/>
  <c r="J325" i="13"/>
  <c r="K325" i="13"/>
  <c r="K10" i="25"/>
  <c r="J10" i="25"/>
  <c r="A25" i="28"/>
  <c r="B58" i="13"/>
  <c r="A58" i="13"/>
  <c r="B60" i="13"/>
  <c r="C60" i="13"/>
  <c r="A60" i="13"/>
  <c r="J43" i="13"/>
  <c r="A2" i="13"/>
  <c r="J159" i="13"/>
  <c r="J324" i="13"/>
  <c r="K324" i="13"/>
  <c r="K9" i="25"/>
  <c r="J9" i="25"/>
  <c r="J323" i="13"/>
  <c r="K323" i="13"/>
  <c r="K4" i="26"/>
  <c r="J4" i="26"/>
  <c r="K42" i="20"/>
  <c r="J42" i="20"/>
  <c r="J322" i="13"/>
  <c r="C2" i="13"/>
  <c r="K322" i="13"/>
  <c r="K249" i="13"/>
  <c r="J249" i="13"/>
  <c r="J248" i="13"/>
  <c r="K247" i="13"/>
  <c r="J247" i="13"/>
  <c r="K246" i="13"/>
  <c r="J246" i="13"/>
  <c r="K245" i="13"/>
  <c r="J245" i="13"/>
  <c r="K244" i="13"/>
  <c r="J244" i="13"/>
  <c r="K243" i="13"/>
  <c r="J243" i="13"/>
  <c r="K242" i="13"/>
  <c r="J242" i="13"/>
  <c r="J241" i="13"/>
  <c r="K240" i="13"/>
  <c r="J240" i="13"/>
  <c r="K239" i="13"/>
  <c r="J239" i="13"/>
  <c r="K238" i="13"/>
  <c r="J238" i="13"/>
  <c r="K237" i="13"/>
  <c r="J237" i="13"/>
  <c r="A2" i="23"/>
  <c r="J161" i="13"/>
  <c r="J160" i="13"/>
  <c r="J158" i="13"/>
  <c r="J157" i="13"/>
  <c r="J156" i="13"/>
  <c r="J145" i="13"/>
  <c r="J315" i="13"/>
  <c r="J96" i="22"/>
  <c r="J27" i="13"/>
  <c r="K321" i="13"/>
  <c r="J321" i="13"/>
  <c r="K320" i="13"/>
  <c r="J320" i="13"/>
  <c r="J11" i="13"/>
  <c r="J14" i="13"/>
  <c r="J24" i="13"/>
  <c r="J26" i="13"/>
  <c r="J2" i="13"/>
  <c r="J3" i="13"/>
  <c r="J4" i="13"/>
  <c r="J5" i="13"/>
  <c r="J6" i="13"/>
  <c r="J7" i="13"/>
  <c r="J8" i="13"/>
  <c r="J9" i="13"/>
  <c r="J10" i="13"/>
  <c r="J12" i="13"/>
  <c r="J13" i="13"/>
  <c r="J15" i="13"/>
  <c r="J16" i="13"/>
  <c r="J17" i="13"/>
  <c r="J18" i="13"/>
  <c r="J19" i="13"/>
  <c r="J20" i="13"/>
  <c r="J21" i="13"/>
  <c r="J22" i="13"/>
  <c r="J23" i="13"/>
  <c r="J25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6" i="13"/>
  <c r="J147" i="13"/>
  <c r="J148" i="13"/>
  <c r="J149" i="13"/>
  <c r="J150" i="13"/>
  <c r="J151" i="13"/>
  <c r="J152" i="13"/>
  <c r="J153" i="13"/>
  <c r="J154" i="13"/>
  <c r="J155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50" i="13"/>
  <c r="J251" i="13"/>
  <c r="J252" i="13"/>
  <c r="J253" i="13"/>
  <c r="J254" i="13"/>
  <c r="J255" i="13"/>
  <c r="J256" i="13"/>
  <c r="J257" i="13"/>
  <c r="J258" i="13"/>
  <c r="J259" i="13"/>
  <c r="J260" i="13"/>
  <c r="J261" i="13"/>
  <c r="J262" i="13"/>
  <c r="J263" i="13"/>
  <c r="J264" i="13"/>
  <c r="J265" i="13"/>
  <c r="J266" i="13"/>
  <c r="J267" i="13"/>
  <c r="J268" i="13"/>
  <c r="J269" i="13"/>
  <c r="J270" i="13"/>
  <c r="J271" i="13"/>
  <c r="J272" i="13"/>
  <c r="J273" i="13"/>
  <c r="J274" i="13"/>
  <c r="J275" i="13"/>
  <c r="J276" i="13"/>
  <c r="J277" i="13"/>
  <c r="J278" i="13"/>
  <c r="J279" i="13"/>
  <c r="J280" i="13"/>
  <c r="J281" i="13"/>
  <c r="J282" i="13"/>
  <c r="J283" i="13"/>
  <c r="J284" i="13"/>
  <c r="J285" i="13"/>
  <c r="J286" i="13"/>
  <c r="J287" i="13"/>
  <c r="J288" i="13"/>
  <c r="J289" i="13"/>
  <c r="J290" i="13"/>
  <c r="J291" i="13"/>
  <c r="J292" i="13"/>
  <c r="J293" i="13"/>
  <c r="J294" i="13"/>
  <c r="J295" i="13"/>
  <c r="J296" i="13"/>
  <c r="J297" i="13"/>
  <c r="J298" i="13"/>
  <c r="J299" i="13"/>
  <c r="J300" i="13"/>
  <c r="J301" i="13"/>
  <c r="J302" i="13"/>
  <c r="J303" i="13"/>
  <c r="J304" i="13"/>
  <c r="J305" i="13"/>
  <c r="J306" i="13"/>
  <c r="J307" i="13"/>
  <c r="J308" i="13"/>
  <c r="J309" i="13"/>
  <c r="J310" i="13"/>
  <c r="J311" i="13"/>
  <c r="J312" i="13"/>
  <c r="J313" i="13"/>
  <c r="J314" i="13"/>
  <c r="J316" i="13"/>
  <c r="J317" i="13"/>
  <c r="J318" i="13"/>
  <c r="J319" i="13"/>
  <c r="K126" i="20"/>
  <c r="J126" i="20"/>
  <c r="K125" i="20"/>
  <c r="J125" i="20"/>
  <c r="J89" i="22"/>
  <c r="B23" i="22"/>
  <c r="A23" i="22"/>
  <c r="B25" i="22"/>
  <c r="K11" i="13"/>
  <c r="K14" i="13"/>
  <c r="K24" i="13"/>
  <c r="K26" i="13"/>
  <c r="K30" i="13"/>
  <c r="K32" i="13"/>
  <c r="K33" i="13"/>
  <c r="K34" i="13"/>
  <c r="K36" i="13"/>
  <c r="K37" i="13"/>
  <c r="K38" i="13"/>
  <c r="K39" i="13"/>
  <c r="K40" i="13"/>
  <c r="K41" i="13"/>
  <c r="K42" i="13"/>
  <c r="K44" i="13"/>
  <c r="K45" i="13"/>
  <c r="K50" i="13"/>
  <c r="K52" i="13"/>
  <c r="K53" i="13"/>
  <c r="K54" i="13"/>
  <c r="K55" i="13"/>
  <c r="K56" i="13"/>
  <c r="K58" i="13"/>
  <c r="K61" i="13"/>
  <c r="K62" i="13"/>
  <c r="K63" i="13"/>
  <c r="K64" i="13"/>
  <c r="K294" i="13"/>
  <c r="K301" i="13"/>
  <c r="K302" i="13"/>
  <c r="K305" i="13"/>
  <c r="K306" i="13"/>
  <c r="K307" i="13"/>
  <c r="K308" i="13"/>
  <c r="K310" i="13"/>
  <c r="K311" i="13"/>
  <c r="K312" i="13"/>
  <c r="K313" i="13"/>
  <c r="K314" i="13"/>
  <c r="K316" i="13"/>
  <c r="K317" i="13"/>
  <c r="K318" i="13"/>
  <c r="K319" i="13"/>
  <c r="A25" i="22"/>
  <c r="O2" i="13"/>
  <c r="K2" i="25"/>
  <c r="J2" i="28"/>
  <c r="A23" i="23"/>
  <c r="B23" i="23"/>
  <c r="C23" i="23"/>
  <c r="A2" i="28"/>
  <c r="B73" i="13"/>
  <c r="K46" i="28"/>
  <c r="B27" i="28"/>
  <c r="C25" i="28" a="1"/>
  <c r="C25" i="28"/>
  <c r="C23" i="25"/>
  <c r="A25" i="25"/>
  <c r="B23" i="25"/>
  <c r="A23" i="25"/>
  <c r="B25" i="25"/>
  <c r="C25" i="25"/>
  <c r="C25" i="23"/>
  <c r="J8" i="25"/>
  <c r="K8" i="25"/>
  <c r="J107" i="22"/>
  <c r="K107" i="22"/>
  <c r="J108" i="22"/>
  <c r="K108" i="22"/>
  <c r="K3" i="26"/>
  <c r="J3" i="26"/>
  <c r="O50" i="13"/>
  <c r="O3" i="13"/>
  <c r="O4" i="13"/>
  <c r="O6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5" i="13"/>
  <c r="J106" i="22"/>
  <c r="J105" i="22"/>
  <c r="K105" i="22"/>
  <c r="K104" i="22"/>
  <c r="J104" i="22"/>
  <c r="O7" i="13"/>
  <c r="O25" i="13"/>
  <c r="K103" i="22"/>
  <c r="K102" i="22"/>
  <c r="K101" i="22"/>
  <c r="J100" i="22"/>
  <c r="J101" i="22"/>
  <c r="J102" i="22"/>
  <c r="J103" i="22"/>
  <c r="Q29" i="22"/>
  <c r="K100" i="22"/>
  <c r="J50" i="28"/>
  <c r="J51" i="28"/>
  <c r="J52" i="28"/>
  <c r="C110" i="13"/>
  <c r="J2" i="26"/>
  <c r="K2" i="26"/>
  <c r="Q68" i="29"/>
  <c r="Q67" i="29"/>
  <c r="Q66" i="29"/>
  <c r="Q65" i="29"/>
  <c r="Q64" i="29"/>
  <c r="Q63" i="29"/>
  <c r="Q62" i="29"/>
  <c r="Q61" i="29"/>
  <c r="Q60" i="29"/>
  <c r="Q59" i="29"/>
  <c r="Q58" i="29"/>
  <c r="Q57" i="29"/>
  <c r="Q56" i="29"/>
  <c r="Q55" i="29"/>
  <c r="Q54" i="29"/>
  <c r="Q53" i="29"/>
  <c r="Q52" i="29"/>
  <c r="Q51" i="29"/>
  <c r="Q50" i="29"/>
  <c r="Q49" i="29"/>
  <c r="Q48" i="29"/>
  <c r="Q47" i="29"/>
  <c r="Q46" i="29"/>
  <c r="Q45" i="29"/>
  <c r="Q44" i="29"/>
  <c r="Q43" i="29"/>
  <c r="Q42" i="29"/>
  <c r="Q41" i="29"/>
  <c r="Q40" i="29"/>
  <c r="Q39" i="29"/>
  <c r="Q38" i="29"/>
  <c r="Q37" i="29"/>
  <c r="Q36" i="29"/>
  <c r="Q35" i="29"/>
  <c r="Q34" i="29"/>
  <c r="Q33" i="29"/>
  <c r="Q32" i="29"/>
  <c r="Q31" i="29"/>
  <c r="B31" i="29"/>
  <c r="A31" i="29"/>
  <c r="C31" i="29"/>
  <c r="Q30" i="29"/>
  <c r="Q29" i="29"/>
  <c r="Q28" i="29"/>
  <c r="Q27" i="29"/>
  <c r="Q26" i="29"/>
  <c r="Q25" i="29"/>
  <c r="C25" i="29"/>
  <c r="A25" i="29"/>
  <c r="Q24" i="29"/>
  <c r="Q23" i="29"/>
  <c r="C23" i="29"/>
  <c r="B23" i="29"/>
  <c r="A23" i="29"/>
  <c r="B25" i="29"/>
  <c r="Q22" i="29"/>
  <c r="Q21" i="29"/>
  <c r="Q20" i="29"/>
  <c r="Q18" i="29"/>
  <c r="Q17" i="29"/>
  <c r="Q16" i="29"/>
  <c r="Q15" i="29"/>
  <c r="Q14" i="29"/>
  <c r="Q13" i="29"/>
  <c r="Q12" i="29"/>
  <c r="Q11" i="29"/>
  <c r="Q10" i="29"/>
  <c r="Q9" i="29"/>
  <c r="Q8" i="29"/>
  <c r="Q7" i="29"/>
  <c r="Q6" i="29"/>
  <c r="Q5" i="29"/>
  <c r="Q4" i="29"/>
  <c r="Q3" i="29"/>
  <c r="Q2" i="29"/>
  <c r="C27" i="29"/>
  <c r="Q19" i="29"/>
  <c r="A2" i="29"/>
  <c r="B76" i="13"/>
  <c r="K3" i="25"/>
  <c r="K6" i="25"/>
  <c r="K7" i="25"/>
  <c r="B23" i="28"/>
  <c r="A23" i="28"/>
  <c r="B59" i="28"/>
  <c r="B57" i="28"/>
  <c r="A57" i="28"/>
  <c r="B63" i="28" a="1"/>
  <c r="B63" i="28"/>
  <c r="J3" i="28"/>
  <c r="J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31" i="28"/>
  <c r="J32" i="28"/>
  <c r="J33" i="28"/>
  <c r="J34" i="28"/>
  <c r="J35" i="28"/>
  <c r="J36" i="28"/>
  <c r="J37" i="28"/>
  <c r="J38" i="28"/>
  <c r="J39" i="28"/>
  <c r="J40" i="28"/>
  <c r="J41" i="28"/>
  <c r="J42" i="28"/>
  <c r="J43" i="28"/>
  <c r="J44" i="28"/>
  <c r="J45" i="28"/>
  <c r="J46" i="28"/>
  <c r="J47" i="28"/>
  <c r="J48" i="28"/>
  <c r="J49" i="28"/>
  <c r="C65" i="28"/>
  <c r="C57" i="28"/>
  <c r="C61" i="28"/>
  <c r="C63" i="28"/>
  <c r="A65" i="28"/>
  <c r="B65" i="28"/>
  <c r="C23" i="28"/>
  <c r="C29" i="28"/>
  <c r="A31" i="28"/>
  <c r="B31" i="28"/>
  <c r="C31" i="28"/>
  <c r="A29" i="28"/>
  <c r="A31" i="26"/>
  <c r="A25" i="26"/>
  <c r="C25" i="26"/>
  <c r="B114" i="13"/>
  <c r="B115" i="13"/>
  <c r="K41" i="20"/>
  <c r="B31" i="22"/>
  <c r="C25" i="22"/>
  <c r="B23" i="20"/>
  <c r="A23" i="20"/>
  <c r="B25" i="20"/>
  <c r="A25" i="20"/>
  <c r="H99" i="20"/>
  <c r="H146" i="20"/>
  <c r="C25" i="20"/>
  <c r="O66" i="13"/>
  <c r="O67" i="13"/>
  <c r="O68" i="13"/>
  <c r="J109" i="20"/>
  <c r="A2" i="20"/>
  <c r="B70" i="13"/>
  <c r="B31" i="25"/>
  <c r="C23" i="22"/>
  <c r="J99" i="22"/>
  <c r="J98" i="22"/>
  <c r="J97" i="22"/>
  <c r="J95" i="22"/>
  <c r="J94" i="22"/>
  <c r="J93" i="22"/>
  <c r="J92" i="22"/>
  <c r="J91" i="22"/>
  <c r="J90" i="22"/>
  <c r="J88" i="22"/>
  <c r="J87" i="22"/>
  <c r="J86" i="22"/>
  <c r="J85" i="22"/>
  <c r="Q5" i="22"/>
  <c r="J84" i="22"/>
  <c r="J83" i="22"/>
  <c r="J82" i="22"/>
  <c r="J81" i="22"/>
  <c r="J80" i="22"/>
  <c r="J79" i="22"/>
  <c r="J78" i="22"/>
  <c r="J77" i="22"/>
  <c r="J76" i="22"/>
  <c r="J75" i="22"/>
  <c r="J74" i="22"/>
  <c r="J73" i="22"/>
  <c r="J72" i="22"/>
  <c r="J71" i="22"/>
  <c r="J70" i="22"/>
  <c r="J69" i="22"/>
  <c r="J68" i="22"/>
  <c r="J67" i="22"/>
  <c r="J66" i="22"/>
  <c r="J65" i="22"/>
  <c r="J64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40" i="22"/>
  <c r="J39" i="22"/>
  <c r="J38" i="22"/>
  <c r="J37" i="22"/>
  <c r="J36" i="22"/>
  <c r="J35" i="22"/>
  <c r="I99" i="20"/>
  <c r="J99" i="20"/>
  <c r="C23" i="20"/>
  <c r="B31" i="26"/>
  <c r="C23" i="26"/>
  <c r="B23" i="26"/>
  <c r="A23" i="26"/>
  <c r="B25" i="26"/>
  <c r="A31" i="25"/>
  <c r="C31" i="25"/>
  <c r="B31" i="23"/>
  <c r="A31" i="23"/>
  <c r="A31" i="22"/>
  <c r="C31" i="22"/>
  <c r="Q2" i="28"/>
  <c r="Q3" i="28"/>
  <c r="Q5" i="28"/>
  <c r="Q6" i="28"/>
  <c r="Q7" i="28"/>
  <c r="Q8" i="28"/>
  <c r="Q9" i="28"/>
  <c r="Q10" i="28"/>
  <c r="Q11" i="28"/>
  <c r="Q12" i="28"/>
  <c r="Q13" i="28"/>
  <c r="Q14" i="28"/>
  <c r="Q15" i="28"/>
  <c r="Q16" i="28"/>
  <c r="Q17" i="28"/>
  <c r="Q18" i="28"/>
  <c r="Q19" i="28"/>
  <c r="Q20" i="28"/>
  <c r="Q21" i="28"/>
  <c r="Q22" i="28"/>
  <c r="Q23" i="28"/>
  <c r="Q24" i="28"/>
  <c r="Q25" i="28"/>
  <c r="Q26" i="28"/>
  <c r="Q27" i="28"/>
  <c r="Q28" i="28"/>
  <c r="Q29" i="28"/>
  <c r="Q30" i="28"/>
  <c r="Q31" i="28"/>
  <c r="Q32" i="28"/>
  <c r="Q33" i="28"/>
  <c r="Q34" i="28"/>
  <c r="Q35" i="28"/>
  <c r="Q36" i="28"/>
  <c r="Q37" i="28"/>
  <c r="Q38" i="28"/>
  <c r="Q39" i="28"/>
  <c r="Q40" i="28"/>
  <c r="Q41" i="28"/>
  <c r="Q42" i="28"/>
  <c r="Q43" i="28"/>
  <c r="Q44" i="28"/>
  <c r="Q45" i="28"/>
  <c r="Q46" i="28"/>
  <c r="Q47" i="28"/>
  <c r="Q48" i="28"/>
  <c r="Q49" i="28"/>
  <c r="Q50" i="28"/>
  <c r="Q51" i="28"/>
  <c r="Q52" i="28"/>
  <c r="Q53" i="28"/>
  <c r="Q54" i="28"/>
  <c r="Q55" i="28"/>
  <c r="Q56" i="28"/>
  <c r="Q57" i="28"/>
  <c r="Q58" i="28"/>
  <c r="Q59" i="28"/>
  <c r="Q60" i="28"/>
  <c r="Q61" i="28"/>
  <c r="Q62" i="28"/>
  <c r="Q63" i="28"/>
  <c r="Q64" i="28"/>
  <c r="Q65" i="28"/>
  <c r="Q66" i="28"/>
  <c r="Q67" i="28"/>
  <c r="Q68" i="28"/>
  <c r="Q9" i="26"/>
  <c r="Q10" i="26"/>
  <c r="Q11" i="26"/>
  <c r="Q12" i="26"/>
  <c r="Q13" i="26"/>
  <c r="Q14" i="26"/>
  <c r="Q15" i="26"/>
  <c r="Q16" i="26"/>
  <c r="Q17" i="26"/>
  <c r="Q18" i="26"/>
  <c r="Q20" i="26"/>
  <c r="Q21" i="26"/>
  <c r="Q22" i="26"/>
  <c r="Q23" i="26"/>
  <c r="Q24" i="26"/>
  <c r="Q25" i="26"/>
  <c r="Q26" i="26"/>
  <c r="Q27" i="26"/>
  <c r="Q28" i="26"/>
  <c r="Q29" i="26"/>
  <c r="Q30" i="26"/>
  <c r="Q31" i="26"/>
  <c r="Q32" i="26"/>
  <c r="Q33" i="26"/>
  <c r="Q34" i="26"/>
  <c r="Q35" i="26"/>
  <c r="Q36" i="26"/>
  <c r="Q37" i="26"/>
  <c r="Q38" i="26"/>
  <c r="Q39" i="26"/>
  <c r="Q40" i="26"/>
  <c r="Q41" i="26"/>
  <c r="Q42" i="26"/>
  <c r="Q43" i="26"/>
  <c r="Q44" i="26"/>
  <c r="Q45" i="26"/>
  <c r="Q46" i="26"/>
  <c r="Q47" i="26"/>
  <c r="Q48" i="26"/>
  <c r="Q49" i="26"/>
  <c r="Q50" i="26"/>
  <c r="Q51" i="26"/>
  <c r="Q52" i="26"/>
  <c r="Q53" i="26"/>
  <c r="Q54" i="26"/>
  <c r="Q55" i="26"/>
  <c r="Q56" i="26"/>
  <c r="Q57" i="26"/>
  <c r="Q58" i="26"/>
  <c r="Q59" i="26"/>
  <c r="Q60" i="26"/>
  <c r="Q61" i="26"/>
  <c r="Q62" i="26"/>
  <c r="Q63" i="26"/>
  <c r="Q64" i="26"/>
  <c r="Q65" i="26"/>
  <c r="Q66" i="26"/>
  <c r="Q67" i="26"/>
  <c r="Q68" i="26"/>
  <c r="Q8" i="26"/>
  <c r="Q7" i="26"/>
  <c r="Q6" i="26"/>
  <c r="Q5" i="26"/>
  <c r="Q4" i="26"/>
  <c r="Q3" i="26"/>
  <c r="Q2" i="26"/>
  <c r="Q6" i="25"/>
  <c r="Q7" i="25"/>
  <c r="Q8" i="25"/>
  <c r="Q9" i="25"/>
  <c r="Q10" i="25"/>
  <c r="Q11" i="25"/>
  <c r="Q12" i="25"/>
  <c r="Q13" i="25"/>
  <c r="Q14" i="25"/>
  <c r="Q15" i="25"/>
  <c r="Q16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Q33" i="25"/>
  <c r="Q34" i="25"/>
  <c r="Q35" i="25"/>
  <c r="Q36" i="25"/>
  <c r="Q37" i="25"/>
  <c r="Q38" i="25"/>
  <c r="Q39" i="25"/>
  <c r="Q40" i="25"/>
  <c r="Q41" i="25"/>
  <c r="Q42" i="25"/>
  <c r="Q43" i="25"/>
  <c r="Q44" i="25"/>
  <c r="Q45" i="25"/>
  <c r="Q46" i="25"/>
  <c r="Q47" i="25"/>
  <c r="Q48" i="25"/>
  <c r="Q49" i="25"/>
  <c r="Q50" i="25"/>
  <c r="Q51" i="25"/>
  <c r="Q52" i="25"/>
  <c r="Q53" i="25"/>
  <c r="Q54" i="25"/>
  <c r="Q55" i="25"/>
  <c r="Q56" i="25"/>
  <c r="Q57" i="25"/>
  <c r="Q58" i="25"/>
  <c r="Q59" i="25"/>
  <c r="Q60" i="25"/>
  <c r="Q61" i="25"/>
  <c r="Q62" i="25"/>
  <c r="Q63" i="25"/>
  <c r="Q64" i="25"/>
  <c r="Q65" i="25"/>
  <c r="Q66" i="25"/>
  <c r="Q67" i="25"/>
  <c r="Q68" i="25"/>
  <c r="Q5" i="25"/>
  <c r="Q4" i="25"/>
  <c r="Q3" i="25"/>
  <c r="Q2" i="25"/>
  <c r="Q7" i="23"/>
  <c r="Q2" i="23"/>
  <c r="Q4" i="23"/>
  <c r="Q5" i="23"/>
  <c r="Q6" i="23"/>
  <c r="Q8" i="23"/>
  <c r="Q9" i="23"/>
  <c r="Q10" i="23"/>
  <c r="Q11" i="23"/>
  <c r="Q12" i="23"/>
  <c r="Q13" i="23"/>
  <c r="Q14" i="23"/>
  <c r="Q15" i="23"/>
  <c r="Q16" i="23"/>
  <c r="Q17" i="23"/>
  <c r="Q18" i="23"/>
  <c r="Q19" i="23"/>
  <c r="Q20" i="23"/>
  <c r="Q21" i="23"/>
  <c r="Q22" i="23"/>
  <c r="Q23" i="23"/>
  <c r="Q24" i="23"/>
  <c r="Q25" i="23"/>
  <c r="Q26" i="23"/>
  <c r="Q27" i="23"/>
  <c r="Q28" i="23"/>
  <c r="Q29" i="23"/>
  <c r="Q30" i="23"/>
  <c r="Q31" i="23"/>
  <c r="Q32" i="23"/>
  <c r="Q33" i="23"/>
  <c r="Q34" i="23"/>
  <c r="Q35" i="23"/>
  <c r="Q36" i="23"/>
  <c r="Q37" i="23"/>
  <c r="Q38" i="23"/>
  <c r="Q39" i="23"/>
  <c r="Q40" i="23"/>
  <c r="Q41" i="23"/>
  <c r="Q42" i="23"/>
  <c r="Q43" i="23"/>
  <c r="Q44" i="23"/>
  <c r="Q45" i="23"/>
  <c r="Q46" i="23"/>
  <c r="Q47" i="23"/>
  <c r="Q48" i="23"/>
  <c r="Q49" i="23"/>
  <c r="Q50" i="23"/>
  <c r="Q51" i="23"/>
  <c r="Q52" i="23"/>
  <c r="Q53" i="23"/>
  <c r="Q54" i="23"/>
  <c r="Q55" i="23"/>
  <c r="Q56" i="23"/>
  <c r="Q57" i="23"/>
  <c r="Q58" i="23"/>
  <c r="Q59" i="23"/>
  <c r="Q60" i="23"/>
  <c r="Q61" i="23"/>
  <c r="Q62" i="23"/>
  <c r="Q63" i="23"/>
  <c r="Q64" i="23"/>
  <c r="Q65" i="23"/>
  <c r="Q66" i="23"/>
  <c r="Q67" i="23"/>
  <c r="Q68" i="23"/>
  <c r="Q68" i="22"/>
  <c r="Q67" i="22"/>
  <c r="Q66" i="22"/>
  <c r="Q65" i="22"/>
  <c r="Q64" i="22"/>
  <c r="Q63" i="22"/>
  <c r="Q62" i="22"/>
  <c r="Q61" i="22"/>
  <c r="Q60" i="22"/>
  <c r="Q59" i="22"/>
  <c r="Q58" i="22"/>
  <c r="Q57" i="22"/>
  <c r="Q56" i="22"/>
  <c r="Q55" i="22"/>
  <c r="Q54" i="22"/>
  <c r="Q53" i="22"/>
  <c r="Q52" i="22"/>
  <c r="Q51" i="22"/>
  <c r="Q50" i="22"/>
  <c r="Q49" i="22"/>
  <c r="Q48" i="22"/>
  <c r="Q47" i="22"/>
  <c r="Q46" i="22"/>
  <c r="Q45" i="22"/>
  <c r="Q44" i="22"/>
  <c r="Q43" i="22"/>
  <c r="Q42" i="22"/>
  <c r="Q41" i="22"/>
  <c r="Q40" i="22"/>
  <c r="Q39" i="22"/>
  <c r="Q38" i="22"/>
  <c r="Q37" i="22"/>
  <c r="Q36" i="22"/>
  <c r="Q35" i="22"/>
  <c r="Q34" i="22"/>
  <c r="Q33" i="22"/>
  <c r="Q32" i="22"/>
  <c r="Q31" i="22"/>
  <c r="Q30" i="22"/>
  <c r="Q28" i="22"/>
  <c r="Q27" i="22"/>
  <c r="Q26" i="22"/>
  <c r="Q25" i="22"/>
  <c r="Q24" i="22"/>
  <c r="Q23" i="22"/>
  <c r="Q22" i="22"/>
  <c r="Q21" i="22"/>
  <c r="Q20" i="22"/>
  <c r="Q19" i="22"/>
  <c r="Q18" i="22"/>
  <c r="Q17" i="22"/>
  <c r="Q16" i="22"/>
  <c r="Q15" i="22"/>
  <c r="Q14" i="22"/>
  <c r="Q13" i="22"/>
  <c r="Q12" i="22"/>
  <c r="Q11" i="22"/>
  <c r="Q10" i="22"/>
  <c r="Q9" i="22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3" i="20"/>
  <c r="Q4" i="20"/>
  <c r="Q5" i="20"/>
  <c r="Q6" i="20"/>
  <c r="Q2" i="20"/>
  <c r="Q19" i="26"/>
  <c r="J41" i="20"/>
  <c r="Q4" i="28"/>
  <c r="J85" i="23"/>
  <c r="K85" i="23"/>
  <c r="J86" i="23"/>
  <c r="K86" i="23"/>
  <c r="J87" i="23"/>
  <c r="J88" i="23"/>
  <c r="Q3" i="23"/>
  <c r="K88" i="23"/>
  <c r="K77" i="23"/>
  <c r="K78" i="23"/>
  <c r="K79" i="23"/>
  <c r="K81" i="23"/>
  <c r="K82" i="23"/>
  <c r="K83" i="23"/>
  <c r="K84" i="23"/>
  <c r="J77" i="23"/>
  <c r="J78" i="23"/>
  <c r="J79" i="23"/>
  <c r="J80" i="23"/>
  <c r="J81" i="23"/>
  <c r="J82" i="23"/>
  <c r="J83" i="23"/>
  <c r="J84" i="23"/>
  <c r="K76" i="23"/>
  <c r="J76" i="23"/>
  <c r="J75" i="23"/>
  <c r="J74" i="23"/>
  <c r="J73" i="23"/>
  <c r="J72" i="23"/>
  <c r="J71" i="23"/>
  <c r="J70" i="23"/>
  <c r="J69" i="23"/>
  <c r="J68" i="23"/>
  <c r="J67" i="23"/>
  <c r="J66" i="23"/>
  <c r="J65" i="23"/>
  <c r="J64" i="23"/>
  <c r="J63" i="23"/>
  <c r="J62" i="23"/>
  <c r="J61" i="23"/>
  <c r="J60" i="23"/>
  <c r="J59" i="23"/>
  <c r="J58" i="23"/>
  <c r="J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3" i="23"/>
  <c r="J42" i="23"/>
  <c r="J41" i="23"/>
  <c r="J40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7" i="25"/>
  <c r="J6" i="25"/>
  <c r="J5" i="25"/>
  <c r="J4" i="25"/>
  <c r="J3" i="25"/>
  <c r="J2" i="25"/>
  <c r="A2" i="25"/>
  <c r="B74" i="13"/>
  <c r="E6" i="17"/>
  <c r="D6" i="17"/>
  <c r="J10" i="23"/>
  <c r="J2" i="23"/>
  <c r="J3" i="23"/>
  <c r="J4" i="23"/>
  <c r="J5" i="23"/>
  <c r="J6" i="23"/>
  <c r="J7" i="23"/>
  <c r="J8" i="23"/>
  <c r="J9" i="23"/>
  <c r="J11" i="23"/>
  <c r="J12" i="23"/>
  <c r="J13" i="23"/>
  <c r="J14" i="23"/>
  <c r="J15" i="23"/>
  <c r="J16" i="23"/>
  <c r="J17" i="23"/>
  <c r="A2" i="26"/>
  <c r="B75" i="13"/>
  <c r="B31" i="20"/>
  <c r="H5" i="17"/>
  <c r="A31" i="20"/>
  <c r="C31" i="20"/>
  <c r="I146" i="20"/>
  <c r="Q2" i="22"/>
  <c r="Q8" i="22"/>
  <c r="Q4" i="22"/>
  <c r="J34" i="22"/>
  <c r="J33" i="22"/>
  <c r="J32" i="22"/>
  <c r="J31" i="22"/>
  <c r="J30" i="22"/>
  <c r="J29" i="22"/>
  <c r="J28" i="22"/>
  <c r="J27" i="22"/>
  <c r="J26" i="22"/>
  <c r="J25" i="22"/>
  <c r="J24" i="22"/>
  <c r="J23" i="22"/>
  <c r="J22" i="22"/>
  <c r="J21" i="22"/>
  <c r="J20" i="22"/>
  <c r="J19" i="22"/>
  <c r="J18" i="22"/>
  <c r="J17" i="22"/>
  <c r="J16" i="22"/>
  <c r="J15" i="22"/>
  <c r="J14" i="22"/>
  <c r="J13" i="22"/>
  <c r="J12" i="22"/>
  <c r="J11" i="22"/>
  <c r="J10" i="22"/>
  <c r="J9" i="22"/>
  <c r="J8" i="22"/>
  <c r="J7" i="22"/>
  <c r="J6" i="22"/>
  <c r="J5" i="22"/>
  <c r="J4" i="22"/>
  <c r="J3" i="22"/>
  <c r="J2" i="22"/>
  <c r="K124" i="20"/>
  <c r="J124" i="20"/>
  <c r="K123" i="20"/>
  <c r="J123" i="20"/>
  <c r="K122" i="20"/>
  <c r="J122" i="20"/>
  <c r="K121" i="20"/>
  <c r="J121" i="20"/>
  <c r="J120" i="20"/>
  <c r="J119" i="20"/>
  <c r="K118" i="20"/>
  <c r="J118" i="20"/>
  <c r="J117" i="20"/>
  <c r="K116" i="20"/>
  <c r="J116" i="20"/>
  <c r="K115" i="20"/>
  <c r="J115" i="20"/>
  <c r="K114" i="20"/>
  <c r="J114" i="20"/>
  <c r="K113" i="20"/>
  <c r="J113" i="20"/>
  <c r="K112" i="20"/>
  <c r="J112" i="20"/>
  <c r="J111" i="20"/>
  <c r="K110" i="20"/>
  <c r="J110" i="20"/>
  <c r="J108" i="20"/>
  <c r="J107" i="20"/>
  <c r="J106" i="20"/>
  <c r="K105" i="20"/>
  <c r="J105" i="20"/>
  <c r="K104" i="20"/>
  <c r="J104" i="20"/>
  <c r="J103" i="20"/>
  <c r="K102" i="20"/>
  <c r="J102" i="20"/>
  <c r="K40" i="20"/>
  <c r="J40" i="20"/>
  <c r="K39" i="20"/>
  <c r="J39" i="20"/>
  <c r="K38" i="20"/>
  <c r="J38" i="20"/>
  <c r="K37" i="20"/>
  <c r="J37" i="20"/>
  <c r="K36" i="20"/>
  <c r="J36" i="20"/>
  <c r="J35" i="20"/>
  <c r="K34" i="20"/>
  <c r="J34" i="20"/>
  <c r="K33" i="20"/>
  <c r="J33" i="20"/>
  <c r="K32" i="20"/>
  <c r="J32" i="20"/>
  <c r="J31" i="20"/>
  <c r="K30" i="20"/>
  <c r="J30" i="20"/>
  <c r="J29" i="20"/>
  <c r="J28" i="20"/>
  <c r="J27" i="20"/>
  <c r="K26" i="20"/>
  <c r="J26" i="20"/>
  <c r="J25" i="20"/>
  <c r="K24" i="20"/>
  <c r="J24" i="20"/>
  <c r="J23" i="20"/>
  <c r="E5" i="17"/>
  <c r="E7" i="17"/>
  <c r="J22" i="20"/>
  <c r="J21" i="20"/>
  <c r="J20" i="20"/>
  <c r="J19" i="20"/>
  <c r="J18" i="20"/>
  <c r="J17" i="20"/>
  <c r="J16" i="20"/>
  <c r="J15" i="20"/>
  <c r="K14" i="20"/>
  <c r="J14" i="20"/>
  <c r="J13" i="20"/>
  <c r="J12" i="20"/>
  <c r="K11" i="20"/>
  <c r="J11" i="20"/>
  <c r="J10" i="20"/>
  <c r="J9" i="20"/>
  <c r="J8" i="20"/>
  <c r="J7" i="20"/>
  <c r="J6" i="20"/>
  <c r="J5" i="20"/>
  <c r="J4" i="20"/>
  <c r="J3" i="20"/>
  <c r="J2" i="20"/>
  <c r="G7" i="17"/>
  <c r="F7" i="17"/>
  <c r="J6" i="17"/>
  <c r="I6" i="17"/>
  <c r="H6" i="17"/>
  <c r="D5" i="17"/>
  <c r="D7" i="17"/>
  <c r="Q7" i="22"/>
  <c r="Q6" i="22"/>
  <c r="Q3" i="22"/>
  <c r="K6" i="17"/>
  <c r="L6" i="17"/>
  <c r="M6" i="17"/>
  <c r="J146" i="20"/>
  <c r="B25" i="23"/>
  <c r="B72" i="13"/>
  <c r="C31" i="23"/>
  <c r="C31" i="26"/>
  <c r="B25" i="28"/>
  <c r="A61" i="28"/>
  <c r="A59" i="28"/>
  <c r="A2" i="22"/>
  <c r="B71" i="13"/>
  <c r="C58" i="13"/>
  <c r="B116" i="13"/>
  <c r="B117" i="13"/>
  <c r="B118" i="13"/>
  <c r="B119" i="13"/>
  <c r="B120" i="13"/>
  <c r="B121" i="13"/>
  <c r="B122" i="13"/>
  <c r="B123" i="13"/>
  <c r="B124" i="13"/>
  <c r="B125" i="13"/>
  <c r="A27" i="29"/>
  <c r="B27" i="29"/>
  <c r="A78" i="13"/>
  <c r="H7" i="17"/>
  <c r="J5" i="17"/>
  <c r="I5" i="17"/>
  <c r="I7" i="17"/>
  <c r="A27" i="28"/>
  <c r="C59" i="28"/>
  <c r="A63" i="28"/>
  <c r="A27" i="26"/>
  <c r="C27" i="26"/>
  <c r="B27" i="26"/>
  <c r="A27" i="25"/>
  <c r="A27" i="22"/>
  <c r="C71" i="13"/>
  <c r="C75" i="13"/>
  <c r="C74" i="13"/>
  <c r="C76" i="13"/>
  <c r="C73" i="13"/>
  <c r="C72" i="13"/>
  <c r="C70" i="13"/>
  <c r="C62" i="13"/>
  <c r="C27" i="22"/>
  <c r="B27" i="23"/>
  <c r="A62" i="13"/>
  <c r="B27" i="20"/>
  <c r="B27" i="25"/>
  <c r="C27" i="25"/>
  <c r="B62" i="13"/>
  <c r="B67" i="13"/>
  <c r="B66" i="13"/>
  <c r="B65" i="13"/>
  <c r="C27" i="23"/>
  <c r="B27" i="22"/>
  <c r="A27" i="23"/>
  <c r="A27" i="20"/>
  <c r="C27" i="20"/>
  <c r="C27" i="28"/>
  <c r="J7" i="17"/>
  <c r="K5" i="17"/>
  <c r="C66" i="13"/>
  <c r="C67" i="13"/>
  <c r="C65" i="13"/>
  <c r="K7" i="17"/>
  <c r="L5" i="17"/>
  <c r="L7" i="17"/>
  <c r="M7" i="17"/>
  <c r="M5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استعلام - ‏‏الجدول9" description="‏‏الاتصال بالاستعلام 'الجدول9' في المصنف." type="5" refreshedVersion="0" background="1" saveData="1">
    <dbPr connection="Provider=Microsoft.Mashup.OleDb.1;Data Source=$Workbook$;Location=الجدول9;Extended Properties=&quot;&quot;" command="SELECT * FROM [الجدول9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<sst xmlns="http://schemas.openxmlformats.org/spreadsheetml/2006/main" count="1740" uniqueCount="268">
  <si>
    <t>Sukuk Portfolio</t>
  </si>
  <si>
    <t>Platform</t>
  </si>
  <si>
    <t>Cost</t>
  </si>
  <si>
    <t>Total Suk.</t>
  </si>
  <si>
    <t>Completed</t>
  </si>
  <si>
    <t>Delayed</t>
  </si>
  <si>
    <t>Released Profit</t>
  </si>
  <si>
    <t>Expected Profit</t>
  </si>
  <si>
    <t>Cost+R Profit</t>
  </si>
  <si>
    <t>-1% Risk Factor</t>
  </si>
  <si>
    <t>Evaluated</t>
  </si>
  <si>
    <t>Return</t>
  </si>
  <si>
    <t>Sukuk Capital</t>
  </si>
  <si>
    <t>Dinar</t>
  </si>
  <si>
    <t>*</t>
  </si>
  <si>
    <t>*Manwal</t>
  </si>
  <si>
    <t>أجمالي الأصول</t>
  </si>
  <si>
    <t xml:space="preserve">قيمة المحفظة </t>
  </si>
  <si>
    <t xml:space="preserve">الكاش </t>
  </si>
  <si>
    <t>المدة</t>
  </si>
  <si>
    <t>تاريخ الأستحقاق</t>
  </si>
  <si>
    <t>تاريخ السداد</t>
  </si>
  <si>
    <t>القيمة الأسمية</t>
  </si>
  <si>
    <t>صافي الربح</t>
  </si>
  <si>
    <t>الدفعة</t>
  </si>
  <si>
    <t>الحالة</t>
  </si>
  <si>
    <t>C</t>
  </si>
  <si>
    <t>A</t>
  </si>
  <si>
    <t>الشهر</t>
  </si>
  <si>
    <t>التدفقات</t>
  </si>
  <si>
    <t>رقم</t>
  </si>
  <si>
    <t>PAID</t>
  </si>
  <si>
    <t>LATE</t>
  </si>
  <si>
    <t>EARLY 7</t>
  </si>
  <si>
    <t>DEF</t>
  </si>
  <si>
    <t>SU1</t>
  </si>
  <si>
    <t>EARLY 12</t>
  </si>
  <si>
    <t>Note</t>
  </si>
  <si>
    <t>Cash sum and subtract until cell 300. update if needed</t>
  </si>
  <si>
    <t>EARLY 30</t>
  </si>
  <si>
    <t>SA</t>
  </si>
  <si>
    <t>EARLY 4</t>
  </si>
  <si>
    <t>SU2</t>
  </si>
  <si>
    <t>EARLY 17</t>
  </si>
  <si>
    <t>EARLY 4m</t>
  </si>
  <si>
    <t>SA2</t>
  </si>
  <si>
    <t>EARLY 1Y</t>
  </si>
  <si>
    <t>المأشرات</t>
  </si>
  <si>
    <t>صافي الأرباح</t>
  </si>
  <si>
    <t>عدد الأستثمارات</t>
  </si>
  <si>
    <t>العائد السنوي ( APR ) الدقيق</t>
  </si>
  <si>
    <t>العائد على الاستثمار ( ROI )</t>
  </si>
  <si>
    <t>متوسط المدة ( بالشهر )</t>
  </si>
  <si>
    <t>الفرص المتأخرة</t>
  </si>
  <si>
    <t>الفرص النشطة</t>
  </si>
  <si>
    <t>الفرص المكتملة</t>
  </si>
  <si>
    <t>العدد</t>
  </si>
  <si>
    <t>النسبة</t>
  </si>
  <si>
    <t>مكتملة</t>
  </si>
  <si>
    <t>EARLY</t>
  </si>
  <si>
    <t>M</t>
  </si>
  <si>
    <t>نشطة</t>
  </si>
  <si>
    <t xml:space="preserve">متأخرة </t>
  </si>
  <si>
    <t>المنصة</t>
  </si>
  <si>
    <t>القيمة</t>
  </si>
  <si>
    <t>النسبة من المحفظة</t>
  </si>
  <si>
    <t xml:space="preserve">صكوك </t>
  </si>
  <si>
    <t>منافع</t>
  </si>
  <si>
    <t>ليندو</t>
  </si>
  <si>
    <t>تعمييد</t>
  </si>
  <si>
    <t>دينار</t>
  </si>
  <si>
    <t>صفقة</t>
  </si>
  <si>
    <t>ترميز</t>
  </si>
  <si>
    <t>أسهم</t>
  </si>
  <si>
    <t>كاش الطوارئ</t>
  </si>
  <si>
    <t>الأهداف</t>
  </si>
  <si>
    <r>
      <t xml:space="preserve">رفع حصة : ( ترميز / </t>
    </r>
    <r>
      <rPr>
        <b/>
        <sz val="14"/>
        <color rgb="FF538335"/>
        <rFont val="Calibri"/>
        <family val="2"/>
        <scheme val="minor"/>
      </rPr>
      <t>صفقة</t>
    </r>
    <r>
      <rPr>
        <b/>
        <sz val="14"/>
        <color theme="3" tint="-0.499984740745262"/>
        <rFont val="Calibri"/>
        <family val="2"/>
        <scheme val="minor"/>
      </rPr>
      <t xml:space="preserve"> / تعمييد )  </t>
    </r>
  </si>
  <si>
    <t>تدفقات نقدية 0</t>
  </si>
  <si>
    <t xml:space="preserve">سبتمبر 26 ( 10 اشهر )  </t>
  </si>
  <si>
    <t xml:space="preserve">فبراير 27 ( 15 شهر ) </t>
  </si>
  <si>
    <t>أكتوبر 27 ( 23 شهر )</t>
  </si>
  <si>
    <t xml:space="preserve">يناير 28 ( 26 اشهر ) </t>
  </si>
  <si>
    <t>ابريل 28 ( 29 شهر )</t>
  </si>
  <si>
    <t>يونيو 28 ( 31 شهر وما بعده ) &gt;</t>
  </si>
  <si>
    <t xml:space="preserve">تدفقات نقدية قليلة /  13 , 14 , 17  , 19 , 30 </t>
  </si>
  <si>
    <t>المتوسط المرجح لمدة الأستثمار</t>
  </si>
  <si>
    <t>التاريخ</t>
  </si>
  <si>
    <t>المستهدف</t>
  </si>
  <si>
    <t>السبب</t>
  </si>
  <si>
    <t>الفرق</t>
  </si>
  <si>
    <t>البداية</t>
  </si>
  <si>
    <t>LATE 10</t>
  </si>
  <si>
    <t>طبيعي</t>
  </si>
  <si>
    <t>الزواج</t>
  </si>
  <si>
    <t>مدات</t>
  </si>
  <si>
    <t>تحصيل ديون سابقه</t>
  </si>
  <si>
    <t>لم يسجل ف اخذت متوسط 9 و 11</t>
  </si>
  <si>
    <t>مصاريف بيت و ايجار سنة</t>
  </si>
  <si>
    <t>EARLY 2</t>
  </si>
  <si>
    <t xml:space="preserve">EARLY 1 </t>
  </si>
  <si>
    <t>LATE 20</t>
  </si>
  <si>
    <t>EARLY 3</t>
  </si>
  <si>
    <t>EARLY 10</t>
  </si>
  <si>
    <t>L</t>
  </si>
  <si>
    <t>DEF 9.5m</t>
  </si>
  <si>
    <t>DEF 5m</t>
  </si>
  <si>
    <t>TD</t>
  </si>
  <si>
    <t>20225-2-16</t>
  </si>
  <si>
    <t>D</t>
  </si>
  <si>
    <t>EARLY 54</t>
  </si>
  <si>
    <t>أسم الصك</t>
  </si>
  <si>
    <t>النسبة السنوية</t>
  </si>
  <si>
    <t>CHECKLIST</t>
  </si>
  <si>
    <t>001-02623 2#</t>
  </si>
  <si>
    <t>001-02623 4#</t>
  </si>
  <si>
    <t xml:space="preserve">بداية الأستثمار </t>
  </si>
  <si>
    <t>الملاحظات</t>
  </si>
  <si>
    <t>001-02623 5#</t>
  </si>
  <si>
    <t>اضف معلومات الاستثمار</t>
  </si>
  <si>
    <t xml:space="preserve">001-4059 </t>
  </si>
  <si>
    <t>اخصم المبلغ من الكاش</t>
  </si>
  <si>
    <t xml:space="preserve"> الفرص ذات التوزيعات 28</t>
  </si>
  <si>
    <t>001-2834</t>
  </si>
  <si>
    <r>
      <t xml:space="preserve">انسخة كاملة السطر الى  </t>
    </r>
    <r>
      <rPr>
        <sz val="14"/>
        <color rgb="FFFFFF00"/>
        <rFont val="Calibri"/>
        <family val="2"/>
        <scheme val="minor"/>
      </rPr>
      <t>ALL</t>
    </r>
  </si>
  <si>
    <t>001-3926</t>
  </si>
  <si>
    <t>تحقق من التدفقات</t>
  </si>
  <si>
    <t>001-4381</t>
  </si>
  <si>
    <t>001-7936</t>
  </si>
  <si>
    <t>جميع الأرقام تم التأكد منها</t>
  </si>
  <si>
    <t>002-0535</t>
  </si>
  <si>
    <t>نهاية الأستثمار</t>
  </si>
  <si>
    <t>جميع التأخر والتعثر تم التأكد منها</t>
  </si>
  <si>
    <t>001-08010</t>
  </si>
  <si>
    <t xml:space="preserve">PAID </t>
  </si>
  <si>
    <t>مطلوب : التأكد من جميع السداد المبكر</t>
  </si>
  <si>
    <t>001-09127</t>
  </si>
  <si>
    <r>
      <t xml:space="preserve">غير مكان تاريخ الاستحقاق الى </t>
    </r>
    <r>
      <rPr>
        <u/>
        <sz val="14"/>
        <color theme="0"/>
        <rFont val="Calibri"/>
        <family val="2"/>
        <scheme val="minor"/>
      </rPr>
      <t>تاريخ السداد</t>
    </r>
  </si>
  <si>
    <t>001-7215</t>
  </si>
  <si>
    <t xml:space="preserve">غير صافي الربح </t>
  </si>
  <si>
    <t>001-1101</t>
  </si>
  <si>
    <r>
      <t xml:space="preserve">اكتب / </t>
    </r>
    <r>
      <rPr>
        <sz val="14"/>
        <color rgb="FF538335"/>
        <rFont val="Calibri"/>
        <family val="2"/>
        <scheme val="minor"/>
      </rPr>
      <t>EARLY</t>
    </r>
    <r>
      <rPr>
        <sz val="14"/>
        <color theme="0"/>
        <rFont val="Calibri"/>
        <family val="2"/>
        <scheme val="minor"/>
      </rPr>
      <t xml:space="preserve"> OR </t>
    </r>
    <r>
      <rPr>
        <sz val="14"/>
        <color theme="5"/>
        <rFont val="Calibri"/>
        <family val="2"/>
        <scheme val="minor"/>
      </rPr>
      <t>LATE</t>
    </r>
    <r>
      <rPr>
        <sz val="14"/>
        <color theme="0"/>
        <rFont val="Calibri"/>
        <family val="2"/>
        <scheme val="minor"/>
      </rPr>
      <t xml:space="preserve"> OR </t>
    </r>
    <r>
      <rPr>
        <sz val="14"/>
        <color rgb="FFFF0000"/>
        <rFont val="Calibri"/>
        <family val="2"/>
        <scheme val="minor"/>
      </rPr>
      <t>DEF</t>
    </r>
  </si>
  <si>
    <t>النايفية العقارية</t>
  </si>
  <si>
    <t>اضف مبلغ الدفعة الى الكاش</t>
  </si>
  <si>
    <t>001-0523</t>
  </si>
  <si>
    <r>
      <t xml:space="preserve">انسخ كامل السطر الى </t>
    </r>
    <r>
      <rPr>
        <sz val="14"/>
        <color rgb="FFFFFF00"/>
        <rFont val="Calibri"/>
        <family val="2"/>
        <scheme val="minor"/>
      </rPr>
      <t>ALL</t>
    </r>
  </si>
  <si>
    <t>001-5171</t>
  </si>
  <si>
    <t>تم التأكد من جمييييع الأرقام مع قيمة المحفظة ك كل 700,948</t>
  </si>
  <si>
    <t>001-5243</t>
  </si>
  <si>
    <t>تصحيح الفواصل</t>
  </si>
  <si>
    <t>تالة العقارية</t>
  </si>
  <si>
    <t>001-101472 1#</t>
  </si>
  <si>
    <t>001-101472 2#</t>
  </si>
  <si>
    <t>001-010589 1#</t>
  </si>
  <si>
    <t>001-10536</t>
  </si>
  <si>
    <t>العائد السنوي ( APR )</t>
  </si>
  <si>
    <t>003-0728</t>
  </si>
  <si>
    <t>النايفية ريزدنس 10</t>
  </si>
  <si>
    <t>الرضا السكني</t>
  </si>
  <si>
    <t>003-350</t>
  </si>
  <si>
    <t>001-010589</t>
  </si>
  <si>
    <t>002-01207</t>
  </si>
  <si>
    <t>القيمة الأسمية المدفوعة</t>
  </si>
  <si>
    <t>صافي الأرباح المدفوع</t>
  </si>
  <si>
    <t xml:space="preserve">المجموع </t>
  </si>
  <si>
    <t>بيان 3</t>
  </si>
  <si>
    <t>001-6495</t>
  </si>
  <si>
    <t>محمد بانعبم للتجارة</t>
  </si>
  <si>
    <t>HOW TO USE:</t>
  </si>
  <si>
    <t>001-11286</t>
  </si>
  <si>
    <t>In the Due culum, when the date come it will change to red</t>
  </si>
  <si>
    <t>001-12791</t>
  </si>
  <si>
    <t>if its PAID, then type the Paiment date = this will compute the profits</t>
  </si>
  <si>
    <t>ERLY 30 / بيع ارض</t>
  </si>
  <si>
    <t>001-14552</t>
  </si>
  <si>
    <t>automatically in the portfolio value</t>
  </si>
  <si>
    <t>يامن للتطوير العقاري</t>
  </si>
  <si>
    <t>then type (PAID) to change to green</t>
  </si>
  <si>
    <t>الراسيات ريزدينس 27#</t>
  </si>
  <si>
    <t>الدرر للمقاولات</t>
  </si>
  <si>
    <t>بدء 41</t>
  </si>
  <si>
    <t>الراسيات ريزدينس 35#</t>
  </si>
  <si>
    <t>نمو هوم حطين</t>
  </si>
  <si>
    <t>خيال رايز</t>
  </si>
  <si>
    <t>رفيعة 3</t>
  </si>
  <si>
    <t>2#</t>
  </si>
  <si>
    <t>حساب :</t>
  </si>
  <si>
    <t>001-4401</t>
  </si>
  <si>
    <t>002-1009 5#</t>
  </si>
  <si>
    <t>002-1009 6#</t>
  </si>
  <si>
    <t>001-7887 7#</t>
  </si>
  <si>
    <t>001-7887 4#</t>
  </si>
  <si>
    <t>أسس العقاري</t>
  </si>
  <si>
    <t>001-4059</t>
  </si>
  <si>
    <t>بناءات 1 2#</t>
  </si>
  <si>
    <t>بناءات 1 3#</t>
  </si>
  <si>
    <t>002-446</t>
  </si>
  <si>
    <t>مساكن قرة 1</t>
  </si>
  <si>
    <t>001-8877</t>
  </si>
  <si>
    <t>001-0989</t>
  </si>
  <si>
    <t>001-3336</t>
  </si>
  <si>
    <t>001-010699</t>
  </si>
  <si>
    <t>001-9495</t>
  </si>
  <si>
    <t>001-9177</t>
  </si>
  <si>
    <t>001-7891</t>
  </si>
  <si>
    <t>001-11449</t>
  </si>
  <si>
    <t>ناطحة العقارية</t>
  </si>
  <si>
    <t>002-1093</t>
  </si>
  <si>
    <t>مدى السكن العقاري 4#</t>
  </si>
  <si>
    <t>رحيب 1-2</t>
  </si>
  <si>
    <t>مدى السكن العقاري 9#</t>
  </si>
  <si>
    <t>رحيب 4</t>
  </si>
  <si>
    <t>4873-3983</t>
  </si>
  <si>
    <t>/</t>
  </si>
  <si>
    <t>تم التأكد من السداد المبكر</t>
  </si>
  <si>
    <t>مطلوب : التأكد من جميع التأخيرات</t>
  </si>
  <si>
    <t>9840-6281</t>
  </si>
  <si>
    <t>9849-3080</t>
  </si>
  <si>
    <t>5100-1863</t>
  </si>
  <si>
    <t>6220-6430</t>
  </si>
  <si>
    <t>3866-4852</t>
  </si>
  <si>
    <t>2040-9358</t>
  </si>
  <si>
    <t>4409-6433</t>
  </si>
  <si>
    <t>0159-3438</t>
  </si>
  <si>
    <t>2677-6018</t>
  </si>
  <si>
    <t>3367-8188</t>
  </si>
  <si>
    <t>DEFF</t>
  </si>
  <si>
    <t>0522-236</t>
  </si>
  <si>
    <t>1901-230</t>
  </si>
  <si>
    <t>0110-250</t>
  </si>
  <si>
    <t>0201-283</t>
  </si>
  <si>
    <t>0401-296</t>
  </si>
  <si>
    <t>تأخر الفرص</t>
  </si>
  <si>
    <t>0522-327</t>
  </si>
  <si>
    <t>التطبيق سيء</t>
  </si>
  <si>
    <t>محمد الحرفي للمقاولات</t>
  </si>
  <si>
    <t>معدل للتصميم</t>
  </si>
  <si>
    <t>الهيثم للتعدين</t>
  </si>
  <si>
    <t>مزكاه</t>
  </si>
  <si>
    <t xml:space="preserve"> ولاكن تم توزيع 1276.5 وهي غير مذكورة في صافي الربح</t>
  </si>
  <si>
    <t>if its Paid, then type the Paiment date = this will compute the profits</t>
  </si>
  <si>
    <t>then type (Paid) to change to green</t>
  </si>
  <si>
    <t>LN5301</t>
  </si>
  <si>
    <t>الفرص تتأخر دائما</t>
  </si>
  <si>
    <t>فرص سيءه جداا</t>
  </si>
  <si>
    <t>قلل من الأستثمار في المنصة</t>
  </si>
  <si>
    <t>القيمة الاسمية تم التأكد منها</t>
  </si>
  <si>
    <t>الأرباح فيه اختلاف بمقدار 423.4</t>
  </si>
  <si>
    <t>غالبا يرجع الى الفرص المسدده جزئيا</t>
  </si>
  <si>
    <t>العجلان ريزدنت</t>
  </si>
  <si>
    <t xml:space="preserve">سيتي قيت </t>
  </si>
  <si>
    <t>بارك ليفينق</t>
  </si>
  <si>
    <t>التعثرات 0</t>
  </si>
  <si>
    <t xml:space="preserve">تم التأكد من جميع الأرقام </t>
  </si>
  <si>
    <t>لا يوجد أي تعثر</t>
  </si>
  <si>
    <t>تأخر نسبي في الفرص</t>
  </si>
  <si>
    <t>المستثمر الالي يكرر الفرص</t>
  </si>
  <si>
    <t>صعوبة الأستثمار اليدوي</t>
  </si>
  <si>
    <t>القيمة الاسمية و صافي الربح صحيحة</t>
  </si>
  <si>
    <t>ولاكن صافي الأرباح المدفوعة مكتوب بالبرنامج مدفوع 3518.93</t>
  </si>
  <si>
    <t>وعند جمع الأرباح يديويا = 3544.04 يعني الفرق 25.11</t>
  </si>
  <si>
    <t>2024-1130</t>
  </si>
  <si>
    <t>العائد السنوي الفعلي</t>
  </si>
  <si>
    <t>العائد على الاستثمار</t>
  </si>
  <si>
    <t>متوسط المدة النشط</t>
  </si>
  <si>
    <t>العائد السنوي البسيط</t>
  </si>
  <si>
    <t>متوسط المدة الكامل</t>
  </si>
  <si>
    <t>المبالغ المتأخرة</t>
  </si>
  <si>
    <t>Late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</si>
</sst>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[$ر.س.‏-401]"/>
    <numFmt numFmtId="165" formatCode="&quot;%&quot;0.00"/>
    <numFmt numFmtId="166" formatCode="yyyy\-mm\-dd;@"/>
    <numFmt numFmtId="167" formatCode="[$-409]yyyy\ mmm"/>
    <numFmt numFmtId="168" formatCode="#,##0\ [$ر.س.‏-401]"/>
    <numFmt numFmtId="169" formatCode="#,##0\ &quot;ر.س.‏&quot;"/>
    <numFmt numFmtId="170" formatCode="#,##0.00\ &quot;ر.س.‏&quot;"/>
  </numFmts>
  <fonts count="6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4"/>
      <color theme="0" tint="-0.14999847407452621"/>
      <name val="Calibri"/>
      <family val="2"/>
      <scheme val="minor"/>
    </font>
    <font>
      <sz val="14"/>
      <color theme="0" tint="-0.14999847407452621"/>
      <name val="Calibri"/>
      <family val="2"/>
      <scheme val="minor"/>
    </font>
    <font>
      <sz val="14"/>
      <color rgb="FF538335"/>
      <name val="Calibri"/>
      <family val="2"/>
      <scheme val="minor"/>
    </font>
    <font>
      <sz val="14"/>
      <color rgb="FFDF956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538335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sz val="12"/>
      <name val="Calibri"/>
      <family val="2"/>
    </font>
    <font>
      <sz val="12"/>
      <color theme="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0"/>
      <name val="Calibri"/>
      <family val="2"/>
      <charset val="178"/>
      <scheme val="minor"/>
    </font>
    <font>
      <sz val="12"/>
      <color rgb="FF538335"/>
      <name val="Calibri"/>
      <family val="2"/>
      <charset val="178"/>
      <scheme val="minor"/>
    </font>
    <font>
      <u/>
      <sz val="12"/>
      <color theme="0"/>
      <name val="Calibri"/>
      <family val="2"/>
      <charset val="178"/>
      <scheme val="minor"/>
    </font>
    <font>
      <sz val="12"/>
      <color theme="1"/>
      <name val="Calibri"/>
      <family val="2"/>
      <charset val="178"/>
      <scheme val="minor"/>
    </font>
    <font>
      <sz val="12"/>
      <color theme="0" tint="-4.9989318521683403E-2"/>
      <name val="Calibri"/>
      <family val="2"/>
      <charset val="178"/>
      <scheme val="minor"/>
    </font>
    <font>
      <sz val="12"/>
      <name val="Calibri"/>
      <family val="2"/>
      <charset val="178"/>
      <scheme val="minor"/>
    </font>
    <font>
      <u/>
      <sz val="12"/>
      <name val="Calibri"/>
      <family val="2"/>
      <charset val="178"/>
      <scheme val="minor"/>
    </font>
    <font>
      <sz val="12"/>
      <name val="Calibri"/>
      <family val="2"/>
      <charset val="178"/>
    </font>
    <font>
      <sz val="12"/>
      <color theme="3" tint="-0.499984740745262"/>
      <name val="Calibri"/>
      <family val="2"/>
      <charset val="178"/>
      <scheme val="minor"/>
    </font>
    <font>
      <sz val="12"/>
      <name val="Calibri"/>
      <scheme val="minor"/>
    </font>
    <font>
      <sz val="12"/>
      <name val="Calibri"/>
    </font>
    <font>
      <sz val="14"/>
      <name val="Calibri"/>
      <family val="2"/>
      <scheme val="minor"/>
    </font>
    <font>
      <b/>
      <sz val="16"/>
      <color rgb="FF538335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</font>
    <font>
      <sz val="14"/>
      <color theme="0"/>
      <name val="Calibri"/>
      <family val="2"/>
      <scheme val="minor"/>
    </font>
    <font>
      <u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 tint="-4.9989318521683403E-2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5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FFFF00"/>
      <name val="Calibri"/>
      <family val="2"/>
      <scheme val="minor"/>
    </font>
    <font>
      <b/>
      <sz val="18"/>
      <color rgb="FF538335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0" tint="-4.9989318521683403E-2"/>
      <name val="Calibri"/>
      <family val="2"/>
      <charset val="178"/>
      <scheme val="minor"/>
    </font>
    <font>
      <sz val="14"/>
      <color theme="3" tint="-0.499984740745262"/>
      <name val="Calibri"/>
      <family val="2"/>
      <charset val="178"/>
      <scheme val="minor"/>
    </font>
    <font>
      <b/>
      <sz val="16"/>
      <color theme="3" tint="-0.499984740745262"/>
      <name val="Calibri"/>
      <family val="2"/>
      <scheme val="minor"/>
    </font>
    <font>
      <b/>
      <sz val="14"/>
      <color theme="3" tint="-0.499984740745262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sz val="14"/>
      <color rgb="FF538335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sz val="7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color theme="1"/>
      <name val="Arial"/>
      <family val="2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3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theme="4" tint="-0.499984740745262"/>
      </left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3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5" fillId="6" borderId="0" xfId="0" applyFont="1" applyFill="1"/>
    <xf numFmtId="0" fontId="6" fillId="6" borderId="0" xfId="0" applyFont="1" applyFill="1"/>
    <xf numFmtId="0" fontId="7" fillId="6" borderId="0" xfId="0" applyFont="1" applyFill="1"/>
    <xf numFmtId="0" fontId="8" fillId="5" borderId="0" xfId="0" applyFont="1" applyFill="1"/>
    <xf numFmtId="0" fontId="5" fillId="6" borderId="0" xfId="0" quotePrefix="1" applyFont="1" applyFill="1"/>
    <xf numFmtId="2" fontId="8" fillId="5" borderId="0" xfId="0" applyNumberFormat="1" applyFont="1" applyFill="1"/>
    <xf numFmtId="10" fontId="8" fillId="5" borderId="0" xfId="1" applyNumberFormat="1" applyFont="1" applyFill="1"/>
    <xf numFmtId="0" fontId="9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10" fillId="3" borderId="16" xfId="0" applyNumberFormat="1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166" fontId="11" fillId="3" borderId="0" xfId="0" applyNumberFormat="1" applyFont="1" applyFill="1" applyAlignment="1">
      <alignment horizontal="center" vertical="center" wrapText="1"/>
    </xf>
    <xf numFmtId="166" fontId="12" fillId="5" borderId="0" xfId="0" applyNumberFormat="1" applyFont="1" applyFill="1" applyAlignment="1">
      <alignment horizontal="center" wrapText="1"/>
    </xf>
    <xf numFmtId="168" fontId="11" fillId="3" borderId="0" xfId="0" applyNumberFormat="1" applyFont="1" applyFill="1" applyAlignment="1">
      <alignment horizontal="center" vertical="center"/>
    </xf>
    <xf numFmtId="164" fontId="11" fillId="5" borderId="0" xfId="0" applyNumberFormat="1" applyFont="1" applyFill="1" applyAlignment="1">
      <alignment horizontal="center" vertical="center"/>
    </xf>
    <xf numFmtId="164" fontId="11" fillId="3" borderId="0" xfId="0" applyNumberFormat="1" applyFont="1" applyFill="1" applyAlignment="1">
      <alignment horizontal="center" vertical="center"/>
    </xf>
    <xf numFmtId="4" fontId="11" fillId="3" borderId="0" xfId="0" applyNumberFormat="1" applyFont="1" applyFill="1" applyAlignment="1">
      <alignment horizontal="center" vertical="center"/>
    </xf>
    <xf numFmtId="165" fontId="13" fillId="7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166" fontId="11" fillId="3" borderId="0" xfId="0" applyNumberFormat="1" applyFont="1" applyFill="1" applyAlignment="1">
      <alignment horizontal="center" vertical="center"/>
    </xf>
    <xf numFmtId="166" fontId="12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/>
    </xf>
    <xf numFmtId="0" fontId="8" fillId="2" borderId="0" xfId="0" applyFont="1" applyFill="1" applyAlignment="1">
      <alignment vertical="center"/>
    </xf>
    <xf numFmtId="15" fontId="8" fillId="2" borderId="0" xfId="0" applyNumberFormat="1" applyFont="1" applyFill="1" applyAlignment="1">
      <alignment horizontal="center" vertical="center"/>
    </xf>
    <xf numFmtId="166" fontId="12" fillId="5" borderId="1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66" fontId="12" fillId="3" borderId="13" xfId="0" applyNumberFormat="1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165" fontId="13" fillId="8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66" fontId="8" fillId="3" borderId="0" xfId="0" applyNumberFormat="1" applyFont="1" applyFill="1" applyAlignment="1">
      <alignment horizontal="center" vertical="center"/>
    </xf>
    <xf numFmtId="166" fontId="15" fillId="5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4" fontId="8" fillId="3" borderId="0" xfId="0" applyNumberFormat="1" applyFont="1" applyFill="1" applyAlignment="1">
      <alignment horizontal="center" vertical="center"/>
    </xf>
    <xf numFmtId="0" fontId="8" fillId="0" borderId="0" xfId="0" applyFont="1"/>
    <xf numFmtId="0" fontId="8" fillId="2" borderId="0" xfId="0" applyFont="1" applyFill="1"/>
    <xf numFmtId="166" fontId="8" fillId="3" borderId="0" xfId="0" applyNumberFormat="1" applyFont="1" applyFill="1"/>
    <xf numFmtId="166" fontId="15" fillId="5" borderId="0" xfId="0" applyNumberFormat="1" applyFont="1" applyFill="1"/>
    <xf numFmtId="168" fontId="8" fillId="3" borderId="0" xfId="0" applyNumberFormat="1" applyFont="1" applyFill="1"/>
    <xf numFmtId="0" fontId="8" fillId="3" borderId="0" xfId="0" applyFont="1" applyFill="1"/>
    <xf numFmtId="4" fontId="8" fillId="3" borderId="0" xfId="0" applyNumberFormat="1" applyFont="1" applyFill="1"/>
    <xf numFmtId="167" fontId="8" fillId="3" borderId="0" xfId="0" applyNumberFormat="1" applyFont="1" applyFill="1"/>
    <xf numFmtId="164" fontId="16" fillId="6" borderId="0" xfId="0" applyNumberFormat="1" applyFont="1" applyFill="1" applyAlignment="1">
      <alignment horizontal="center" vertical="center"/>
    </xf>
    <xf numFmtId="166" fontId="16" fillId="6" borderId="0" xfId="0" applyNumberFormat="1" applyFont="1" applyFill="1" applyAlignment="1">
      <alignment horizontal="center" vertical="center"/>
    </xf>
    <xf numFmtId="166" fontId="18" fillId="6" borderId="0" xfId="0" applyNumberFormat="1" applyFont="1" applyFill="1" applyAlignment="1">
      <alignment horizontal="center" vertical="center"/>
    </xf>
    <xf numFmtId="168" fontId="16" fillId="6" borderId="0" xfId="0" applyNumberFormat="1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4" fontId="16" fillId="6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166" fontId="21" fillId="3" borderId="0" xfId="0" applyNumberFormat="1" applyFont="1" applyFill="1" applyAlignment="1">
      <alignment horizontal="center" vertical="center" wrapText="1"/>
    </xf>
    <xf numFmtId="168" fontId="21" fillId="3" borderId="0" xfId="0" applyNumberFormat="1" applyFont="1" applyFill="1" applyAlignment="1">
      <alignment horizontal="center" vertical="center"/>
    </xf>
    <xf numFmtId="164" fontId="21" fillId="5" borderId="0" xfId="0" applyNumberFormat="1" applyFont="1" applyFill="1" applyAlignment="1">
      <alignment horizontal="center" vertical="center"/>
    </xf>
    <xf numFmtId="164" fontId="21" fillId="3" borderId="0" xfId="0" applyNumberFormat="1" applyFont="1" applyFill="1" applyAlignment="1">
      <alignment horizontal="center" vertical="center"/>
    </xf>
    <xf numFmtId="4" fontId="21" fillId="3" borderId="0" xfId="0" applyNumberFormat="1" applyFont="1" applyFill="1" applyAlignment="1">
      <alignment horizontal="center" vertical="center"/>
    </xf>
    <xf numFmtId="165" fontId="23" fillId="7" borderId="0" xfId="0" applyNumberFormat="1" applyFont="1" applyFill="1" applyAlignment="1">
      <alignment horizontal="center" vertical="center"/>
    </xf>
    <xf numFmtId="166" fontId="21" fillId="3" borderId="0" xfId="0" applyNumberFormat="1" applyFont="1" applyFill="1" applyAlignment="1">
      <alignment horizontal="center" vertical="center"/>
    </xf>
    <xf numFmtId="0" fontId="20" fillId="6" borderId="9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64" fontId="24" fillId="4" borderId="12" xfId="0" applyNumberFormat="1" applyFont="1" applyFill="1" applyBorder="1" applyAlignment="1">
      <alignment horizontal="center" vertical="center"/>
    </xf>
    <xf numFmtId="164" fontId="24" fillId="4" borderId="8" xfId="0" applyNumberFormat="1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15" fontId="19" fillId="2" borderId="0" xfId="0" applyNumberFormat="1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66" fontId="22" fillId="3" borderId="13" xfId="0" applyNumberFormat="1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/>
    </xf>
    <xf numFmtId="165" fontId="23" fillId="8" borderId="0" xfId="0" applyNumberFormat="1" applyFont="1" applyFill="1" applyAlignment="1">
      <alignment horizontal="center" vertical="center"/>
    </xf>
    <xf numFmtId="164" fontId="19" fillId="2" borderId="0" xfId="0" applyNumberFormat="1" applyFont="1" applyFill="1" applyAlignment="1">
      <alignment horizontal="center" vertical="center"/>
    </xf>
    <xf numFmtId="0" fontId="19" fillId="0" borderId="0" xfId="0" applyFont="1"/>
    <xf numFmtId="0" fontId="25" fillId="5" borderId="0" xfId="0" applyFont="1" applyFill="1" applyAlignment="1">
      <alignment horizontal="center" vertical="center"/>
    </xf>
    <xf numFmtId="166" fontId="25" fillId="3" borderId="0" xfId="0" applyNumberFormat="1" applyFont="1" applyFill="1" applyAlignment="1">
      <alignment horizontal="center" vertical="center"/>
    </xf>
    <xf numFmtId="168" fontId="25" fillId="3" borderId="0" xfId="0" applyNumberFormat="1" applyFont="1" applyFill="1" applyAlignment="1">
      <alignment horizontal="center" vertical="center"/>
    </xf>
    <xf numFmtId="164" fontId="25" fillId="5" borderId="0" xfId="0" applyNumberFormat="1" applyFont="1" applyFill="1" applyAlignment="1">
      <alignment horizontal="center" vertical="center"/>
    </xf>
    <xf numFmtId="164" fontId="25" fillId="3" borderId="0" xfId="0" applyNumberFormat="1" applyFont="1" applyFill="1" applyAlignment="1">
      <alignment horizontal="center" vertical="center"/>
    </xf>
    <xf numFmtId="4" fontId="25" fillId="3" borderId="0" xfId="0" applyNumberFormat="1" applyFont="1" applyFill="1" applyAlignment="1">
      <alignment horizontal="center" vertical="center"/>
    </xf>
    <xf numFmtId="165" fontId="26" fillId="7" borderId="0" xfId="0" applyNumberFormat="1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3" fontId="34" fillId="6" borderId="0" xfId="0" applyNumberFormat="1" applyFont="1" applyFill="1" applyAlignment="1">
      <alignment horizontal="center" vertical="center"/>
    </xf>
    <xf numFmtId="164" fontId="29" fillId="6" borderId="0" xfId="0" applyNumberFormat="1" applyFont="1" applyFill="1" applyAlignment="1">
      <alignment horizontal="center" vertical="center"/>
    </xf>
    <xf numFmtId="166" fontId="29" fillId="6" borderId="0" xfId="0" applyNumberFormat="1" applyFont="1" applyFill="1" applyAlignment="1">
      <alignment horizontal="center" vertical="center"/>
    </xf>
    <xf numFmtId="166" fontId="36" fillId="6" borderId="0" xfId="0" applyNumberFormat="1" applyFont="1" applyFill="1" applyAlignment="1">
      <alignment horizontal="center" vertical="center"/>
    </xf>
    <xf numFmtId="168" fontId="29" fillId="6" borderId="0" xfId="0" applyNumberFormat="1" applyFont="1" applyFill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4" fontId="29" fillId="6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167" fontId="35" fillId="6" borderId="0" xfId="0" applyNumberFormat="1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164" fontId="38" fillId="3" borderId="0" xfId="0" applyNumberFormat="1" applyFont="1" applyFill="1" applyAlignment="1">
      <alignment horizontal="center" vertical="center"/>
    </xf>
    <xf numFmtId="3" fontId="35" fillId="6" borderId="17" xfId="0" applyNumberFormat="1" applyFont="1" applyFill="1" applyBorder="1" applyAlignment="1">
      <alignment vertical="center"/>
    </xf>
    <xf numFmtId="166" fontId="22" fillId="3" borderId="0" xfId="0" applyNumberFormat="1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40" fillId="2" borderId="0" xfId="0" applyFont="1" applyFill="1"/>
    <xf numFmtId="3" fontId="0" fillId="5" borderId="0" xfId="0" applyNumberFormat="1" applyFill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6" fontId="11" fillId="3" borderId="1" xfId="0" applyNumberFormat="1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10" borderId="11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166" fontId="11" fillId="3" borderId="22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164" fontId="24" fillId="3" borderId="15" xfId="0" applyNumberFormat="1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164" fontId="24" fillId="5" borderId="23" xfId="0" applyNumberFormat="1" applyFont="1" applyFill="1" applyBorder="1" applyAlignment="1">
      <alignment horizontal="center" vertical="center"/>
    </xf>
    <xf numFmtId="164" fontId="24" fillId="3" borderId="23" xfId="0" applyNumberFormat="1" applyFont="1" applyFill="1" applyBorder="1" applyAlignment="1">
      <alignment horizontal="center" vertical="center"/>
    </xf>
    <xf numFmtId="0" fontId="24" fillId="5" borderId="23" xfId="0" applyFont="1" applyFill="1" applyBorder="1" applyAlignment="1">
      <alignment horizontal="center" vertical="center"/>
    </xf>
    <xf numFmtId="165" fontId="24" fillId="5" borderId="23" xfId="0" applyNumberFormat="1" applyFont="1" applyFill="1" applyBorder="1" applyAlignment="1">
      <alignment horizontal="center" vertical="center"/>
    </xf>
    <xf numFmtId="2" fontId="24" fillId="5" borderId="23" xfId="0" applyNumberFormat="1" applyFont="1" applyFill="1" applyBorder="1" applyAlignment="1">
      <alignment horizontal="center" vertical="center"/>
    </xf>
    <xf numFmtId="0" fontId="20" fillId="10" borderId="23" xfId="0" applyFont="1" applyFill="1" applyBorder="1" applyAlignment="1">
      <alignment horizontal="center" vertical="center"/>
    </xf>
    <xf numFmtId="0" fontId="20" fillId="9" borderId="23" xfId="0" applyFont="1" applyFill="1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19" fillId="5" borderId="23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horizontal="center" vertical="center"/>
    </xf>
    <xf numFmtId="166" fontId="27" fillId="5" borderId="23" xfId="0" applyNumberFormat="1" applyFont="1" applyFill="1" applyBorder="1" applyAlignment="1">
      <alignment horizontal="center" vertical="center"/>
    </xf>
    <xf numFmtId="0" fontId="27" fillId="3" borderId="23" xfId="0" applyFont="1" applyFill="1" applyBorder="1" applyAlignment="1">
      <alignment horizontal="center" vertical="center"/>
    </xf>
    <xf numFmtId="165" fontId="30" fillId="7" borderId="23" xfId="0" applyNumberFormat="1" applyFont="1" applyFill="1" applyBorder="1" applyAlignment="1">
      <alignment horizontal="center" vertical="center"/>
    </xf>
    <xf numFmtId="169" fontId="27" fillId="3" borderId="23" xfId="0" applyNumberFormat="1" applyFont="1" applyFill="1" applyBorder="1" applyAlignment="1">
      <alignment horizontal="center" vertical="center"/>
    </xf>
    <xf numFmtId="164" fontId="31" fillId="6" borderId="23" xfId="0" applyNumberFormat="1" applyFont="1" applyFill="1" applyBorder="1" applyAlignment="1">
      <alignment horizontal="center" vertical="center"/>
    </xf>
    <xf numFmtId="166" fontId="31" fillId="6" borderId="23" xfId="0" applyNumberFormat="1" applyFont="1" applyFill="1" applyBorder="1" applyAlignment="1">
      <alignment horizontal="center" vertical="center"/>
    </xf>
    <xf numFmtId="166" fontId="32" fillId="6" borderId="23" xfId="0" applyNumberFormat="1" applyFont="1" applyFill="1" applyBorder="1" applyAlignment="1">
      <alignment horizontal="center" vertical="center"/>
    </xf>
    <xf numFmtId="168" fontId="31" fillId="6" borderId="23" xfId="0" applyNumberFormat="1" applyFont="1" applyFill="1" applyBorder="1" applyAlignment="1">
      <alignment horizontal="center" vertical="center"/>
    </xf>
    <xf numFmtId="0" fontId="31" fillId="6" borderId="23" xfId="0" applyFont="1" applyFill="1" applyBorder="1" applyAlignment="1">
      <alignment horizontal="center" vertical="center"/>
    </xf>
    <xf numFmtId="0" fontId="29" fillId="6" borderId="23" xfId="0" applyFont="1" applyFill="1" applyBorder="1" applyAlignment="1">
      <alignment horizontal="center" vertical="center"/>
    </xf>
    <xf numFmtId="167" fontId="34" fillId="6" borderId="23" xfId="0" applyNumberFormat="1" applyFont="1" applyFill="1" applyBorder="1" applyAlignment="1">
      <alignment horizontal="center" vertical="center"/>
    </xf>
    <xf numFmtId="3" fontId="34" fillId="6" borderId="23" xfId="0" applyNumberFormat="1" applyFont="1" applyFill="1" applyBorder="1" applyAlignment="1">
      <alignment horizontal="center" vertical="center"/>
    </xf>
    <xf numFmtId="164" fontId="24" fillId="4" borderId="23" xfId="0" applyNumberFormat="1" applyFont="1" applyFill="1" applyBorder="1" applyAlignment="1">
      <alignment horizontal="center" vertical="center"/>
    </xf>
    <xf numFmtId="0" fontId="24" fillId="4" borderId="23" xfId="0" applyFont="1" applyFill="1" applyBorder="1" applyAlignment="1">
      <alignment horizontal="center" vertical="center"/>
    </xf>
    <xf numFmtId="165" fontId="24" fillId="4" borderId="23" xfId="0" applyNumberFormat="1" applyFont="1" applyFill="1" applyBorder="1" applyAlignment="1">
      <alignment horizontal="center" vertical="center"/>
    </xf>
    <xf numFmtId="2" fontId="24" fillId="4" borderId="23" xfId="0" applyNumberFormat="1" applyFont="1" applyFill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166" fontId="36" fillId="6" borderId="23" xfId="0" applyNumberFormat="1" applyFont="1" applyFill="1" applyBorder="1" applyAlignment="1">
      <alignment horizontal="center" vertical="center"/>
    </xf>
    <xf numFmtId="168" fontId="29" fillId="6" borderId="23" xfId="0" applyNumberFormat="1" applyFont="1" applyFill="1" applyBorder="1" applyAlignment="1">
      <alignment horizontal="center" vertical="center"/>
    </xf>
    <xf numFmtId="4" fontId="29" fillId="6" borderId="23" xfId="0" applyNumberFormat="1" applyFont="1" applyFill="1" applyBorder="1" applyAlignment="1">
      <alignment horizontal="center" vertical="center"/>
    </xf>
    <xf numFmtId="167" fontId="35" fillId="6" borderId="23" xfId="0" applyNumberFormat="1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0" fillId="10" borderId="25" xfId="0" applyFont="1" applyFill="1" applyBorder="1" applyAlignment="1">
      <alignment horizontal="center" vertical="center"/>
    </xf>
    <xf numFmtId="0" fontId="20" fillId="9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3" fontId="34" fillId="6" borderId="26" xfId="0" applyNumberFormat="1" applyFont="1" applyFill="1" applyBorder="1" applyAlignment="1">
      <alignment horizontal="center" vertical="center"/>
    </xf>
    <xf numFmtId="14" fontId="11" fillId="5" borderId="23" xfId="0" applyNumberFormat="1" applyFont="1" applyFill="1" applyBorder="1" applyAlignment="1">
      <alignment horizontal="center" vertical="center"/>
    </xf>
    <xf numFmtId="170" fontId="27" fillId="5" borderId="23" xfId="0" applyNumberFormat="1" applyFont="1" applyFill="1" applyBorder="1" applyAlignment="1">
      <alignment horizontal="center" vertical="center"/>
    </xf>
    <xf numFmtId="170" fontId="27" fillId="3" borderId="23" xfId="0" applyNumberFormat="1" applyFont="1" applyFill="1" applyBorder="1" applyAlignment="1">
      <alignment horizontal="center" vertical="center"/>
    </xf>
    <xf numFmtId="165" fontId="19" fillId="2" borderId="0" xfId="0" applyNumberFormat="1" applyFont="1" applyFill="1" applyAlignment="1">
      <alignment horizontal="center" vertical="center"/>
    </xf>
    <xf numFmtId="164" fontId="54" fillId="3" borderId="0" xfId="0" applyNumberFormat="1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31" fillId="6" borderId="26" xfId="0" applyFont="1" applyFill="1" applyBorder="1" applyAlignment="1">
      <alignment horizontal="center" vertical="center"/>
    </xf>
    <xf numFmtId="164" fontId="40" fillId="3" borderId="0" xfId="0" applyNumberFormat="1" applyFont="1" applyFill="1" applyAlignment="1">
      <alignment horizontal="center" vertical="center"/>
    </xf>
    <xf numFmtId="164" fontId="55" fillId="3" borderId="0" xfId="0" applyNumberFormat="1" applyFont="1" applyFill="1" applyAlignment="1">
      <alignment horizontal="center" vertical="center"/>
    </xf>
    <xf numFmtId="164" fontId="56" fillId="3" borderId="0" xfId="0" applyNumberFormat="1" applyFont="1" applyFill="1" applyAlignment="1">
      <alignment horizontal="center" vertical="center"/>
    </xf>
    <xf numFmtId="170" fontId="11" fillId="3" borderId="23" xfId="0" applyNumberFormat="1" applyFont="1" applyFill="1" applyBorder="1" applyAlignment="1">
      <alignment horizontal="center" vertical="center"/>
    </xf>
    <xf numFmtId="166" fontId="9" fillId="6" borderId="23" xfId="0" applyNumberFormat="1" applyFont="1" applyFill="1" applyBorder="1" applyAlignment="1">
      <alignment horizontal="center" vertical="center"/>
    </xf>
    <xf numFmtId="3" fontId="57" fillId="5" borderId="0" xfId="0" applyNumberFormat="1" applyFont="1" applyFill="1" applyAlignment="1">
      <alignment horizontal="center" vertical="center"/>
    </xf>
    <xf numFmtId="0" fontId="11" fillId="5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31" fillId="2" borderId="0" xfId="0" applyFont="1" applyFill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166" fontId="29" fillId="6" borderId="23" xfId="0" applyNumberFormat="1" applyFont="1" applyFill="1" applyBorder="1" applyAlignment="1">
      <alignment horizontal="center" vertical="center"/>
    </xf>
    <xf numFmtId="164" fontId="10" fillId="3" borderId="23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64" fontId="29" fillId="6" borderId="23" xfId="0" applyNumberFormat="1" applyFont="1" applyFill="1" applyBorder="1" applyAlignment="1">
      <alignment horizontal="center" vertical="center"/>
    </xf>
    <xf numFmtId="164" fontId="29" fillId="6" borderId="18" xfId="0" applyNumberFormat="1" applyFont="1" applyFill="1" applyBorder="1" applyAlignment="1">
      <alignment horizontal="center" vertical="center"/>
    </xf>
    <xf numFmtId="0" fontId="58" fillId="5" borderId="0" xfId="0" applyNumberFormat="1" applyFont="1" applyFill="1" applyAlignment="1">
      <alignment horizontal="center" vertical="center"/>
    </xf>
    <xf numFmtId="166" fontId="58" fillId="3" borderId="0" xfId="0" applyNumberFormat="1" applyFont="1" applyFill="1" applyAlignment="1">
      <alignment horizontal="center" vertical="center"/>
    </xf>
    <xf numFmtId="166" fontId="59" fillId="5" borderId="0" xfId="0" applyNumberFormat="1" applyFont="1" applyFill="1" applyAlignment="1">
      <alignment horizontal="center" vertical="center"/>
    </xf>
    <xf numFmtId="168" fontId="58" fillId="3" borderId="0" xfId="0" applyNumberFormat="1" applyFont="1" applyFill="1" applyAlignment="1">
      <alignment horizontal="center" vertical="center"/>
    </xf>
    <xf numFmtId="164" fontId="58" fillId="5" borderId="0" xfId="0" applyNumberFormat="1" applyFont="1" applyFill="1" applyAlignment="1">
      <alignment horizontal="center" vertical="center"/>
    </xf>
    <xf numFmtId="164" fontId="58" fillId="3" borderId="0" xfId="0" applyNumberFormat="1" applyFont="1" applyFill="1" applyAlignment="1">
      <alignment horizontal="center" vertical="center"/>
    </xf>
    <xf numFmtId="164" fontId="58" fillId="2" borderId="0" xfId="0" applyNumberFormat="1" applyFont="1" applyFill="1" applyAlignment="1">
      <alignment horizontal="center" vertical="center"/>
    </xf>
    <xf numFmtId="0" fontId="60" fillId="3" borderId="0" xfId="0" applyFont="1" applyFill="1" applyAlignment="1">
      <alignment horizontal="center" vertical="center" wrapText="1"/>
    </xf>
    <xf numFmtId="164" fontId="61" fillId="3" borderId="0" xfId="0" applyNumberFormat="1" applyFont="1" applyFill="1" applyAlignment="1">
      <alignment horizontal="center" vertical="center"/>
    </xf>
    <xf numFmtId="164" fontId="49" fillId="4" borderId="7" xfId="0" applyNumberFormat="1" applyFont="1" applyFill="1" applyBorder="1" applyAlignment="1">
      <alignment horizontal="right" vertical="center"/>
    </xf>
    <xf numFmtId="164" fontId="49" fillId="4" borderId="0" xfId="0" applyNumberFormat="1" applyFont="1" applyFill="1" applyAlignment="1">
      <alignment horizontal="right" vertical="center"/>
    </xf>
    <xf numFmtId="15" fontId="48" fillId="4" borderId="7" xfId="0" applyNumberFormat="1" applyFont="1" applyFill="1" applyBorder="1" applyAlignment="1">
      <alignment horizontal="center" vertical="center"/>
    </xf>
    <xf numFmtId="15" fontId="48" fillId="4" borderId="0" xfId="0" applyNumberFormat="1" applyFont="1" applyFill="1" applyAlignment="1">
      <alignment horizontal="center" vertical="center"/>
    </xf>
    <xf numFmtId="164" fontId="50" fillId="4" borderId="7" xfId="0" applyNumberFormat="1" applyFont="1" applyFill="1" applyBorder="1" applyAlignment="1">
      <alignment horizontal="right" vertical="center"/>
    </xf>
    <xf numFmtId="164" fontId="50" fillId="4" borderId="0" xfId="0" applyNumberFormat="1" applyFont="1" applyFill="1" applyAlignment="1">
      <alignment horizontal="right" vertical="center"/>
    </xf>
    <xf numFmtId="15" fontId="49" fillId="4" borderId="7" xfId="0" applyNumberFormat="1" applyFont="1" applyFill="1" applyBorder="1" applyAlignment="1">
      <alignment horizontal="right" vertical="center"/>
    </xf>
    <xf numFmtId="15" fontId="49" fillId="4" borderId="0" xfId="0" applyNumberFormat="1" applyFont="1" applyFill="1" applyAlignment="1">
      <alignment horizontal="right" vertical="center"/>
    </xf>
    <xf numFmtId="9" fontId="49" fillId="4" borderId="7" xfId="0" applyNumberFormat="1" applyFont="1" applyFill="1" applyBorder="1" applyAlignment="1">
      <alignment horizontal="right" vertical="center"/>
    </xf>
    <xf numFmtId="9" fontId="49" fillId="4" borderId="0" xfId="0" applyNumberFormat="1" applyFont="1" applyFill="1" applyAlignment="1">
      <alignment horizontal="right" vertical="center"/>
    </xf>
    <xf numFmtId="164" fontId="37" fillId="4" borderId="7" xfId="0" applyNumberFormat="1" applyFont="1" applyFill="1" applyBorder="1" applyAlignment="1">
      <alignment horizontal="right" vertical="center"/>
    </xf>
    <xf numFmtId="164" fontId="37" fillId="4" borderId="0" xfId="0" applyNumberFormat="1" applyFont="1" applyFill="1" applyAlignment="1">
      <alignment horizontal="right" vertical="center"/>
    </xf>
    <xf numFmtId="0" fontId="35" fillId="6" borderId="5" xfId="0" applyFont="1" applyFill="1" applyBorder="1" applyAlignment="1">
      <alignment horizontal="center" vertical="center"/>
    </xf>
    <xf numFmtId="0" fontId="35" fillId="6" borderId="9" xfId="0" applyFont="1" applyFill="1" applyBorder="1" applyAlignment="1">
      <alignment horizontal="center" vertical="center"/>
    </xf>
    <xf numFmtId="0" fontId="35" fillId="6" borderId="6" xfId="0" applyFont="1" applyFill="1" applyBorder="1" applyAlignment="1">
      <alignment horizontal="center" vertical="center"/>
    </xf>
    <xf numFmtId="164" fontId="52" fillId="4" borderId="7" xfId="0" applyNumberFormat="1" applyFont="1" applyFill="1" applyBorder="1" applyAlignment="1">
      <alignment horizontal="right" vertical="center"/>
    </xf>
    <xf numFmtId="0" fontId="46" fillId="6" borderId="5" xfId="0" applyFont="1" applyFill="1" applyBorder="1" applyAlignment="1">
      <alignment horizontal="center" vertical="center"/>
    </xf>
    <xf numFmtId="0" fontId="46" fillId="6" borderId="9" xfId="0" applyFont="1" applyFill="1" applyBorder="1" applyAlignment="1">
      <alignment horizontal="center" vertical="center"/>
    </xf>
    <xf numFmtId="0" fontId="46" fillId="6" borderId="6" xfId="0" applyFont="1" applyFill="1" applyBorder="1" applyAlignment="1">
      <alignment horizontal="center" vertical="center"/>
    </xf>
    <xf numFmtId="164" fontId="28" fillId="3" borderId="23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164" fontId="0" fillId="3" borderId="24" xfId="0" applyNumberFormat="1" applyFont="1" applyFill="1" applyBorder="1" applyAlignment="1">
      <alignment horizontal="center" vertical="center"/>
    </xf>
    <xf numFmtId="164" fontId="44" fillId="3" borderId="26" xfId="0" applyNumberFormat="1" applyFont="1" applyFill="1" applyBorder="1" applyAlignment="1">
      <alignment horizontal="center" vertical="center"/>
    </xf>
    <xf numFmtId="164" fontId="44" fillId="3" borderId="24" xfId="0" applyNumberFormat="1" applyFont="1" applyFill="1" applyBorder="1" applyAlignment="1">
      <alignment horizontal="center" vertical="center"/>
    </xf>
    <xf numFmtId="15" fontId="47" fillId="4" borderId="7" xfId="0" applyNumberFormat="1" applyFont="1" applyFill="1" applyBorder="1" applyAlignment="1">
      <alignment horizontal="center" vertical="center"/>
    </xf>
    <xf numFmtId="15" fontId="47" fillId="4" borderId="0" xfId="0" applyNumberFormat="1" applyFont="1" applyFill="1" applyAlignment="1">
      <alignment horizontal="center" vertical="center"/>
    </xf>
    <xf numFmtId="164" fontId="47" fillId="4" borderId="7" xfId="0" applyNumberFormat="1" applyFont="1" applyFill="1" applyBorder="1" applyAlignment="1">
      <alignment horizontal="center" vertical="center"/>
    </xf>
    <xf numFmtId="164" fontId="47" fillId="4" borderId="0" xfId="0" applyNumberFormat="1" applyFont="1" applyFill="1" applyAlignment="1">
      <alignment horizontal="center" vertical="center"/>
    </xf>
    <xf numFmtId="9" fontId="47" fillId="4" borderId="7" xfId="0" applyNumberFormat="1" applyFont="1" applyFill="1" applyBorder="1" applyAlignment="1">
      <alignment horizontal="center" vertical="center"/>
    </xf>
    <xf numFmtId="9" fontId="47" fillId="4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39" fillId="2" borderId="20" xfId="0" applyFont="1" applyFill="1" applyBorder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3" fontId="35" fillId="6" borderId="23" xfId="0" applyNumberFormat="1" applyFont="1" applyFill="1" applyBorder="1" applyAlignment="1">
      <alignment horizontal="center" vertical="center"/>
    </xf>
    <xf numFmtId="166" fontId="29" fillId="6" borderId="23" xfId="0" applyNumberFormat="1" applyFont="1" applyFill="1" applyBorder="1" applyAlignment="1">
      <alignment horizontal="center" vertical="center"/>
    </xf>
    <xf numFmtId="164" fontId="10" fillId="3" borderId="23" xfId="0" applyNumberFormat="1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46" fillId="6" borderId="23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64" fontId="10" fillId="3" borderId="23" xfId="0" applyNumberFormat="1" applyFont="1" applyFill="1" applyBorder="1" applyAlignment="1">
      <alignment horizontal="center"/>
    </xf>
    <xf numFmtId="164" fontId="29" fillId="6" borderId="23" xfId="0" applyNumberFormat="1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164" fontId="51" fillId="4" borderId="7" xfId="0" applyNumberFormat="1" applyFont="1" applyFill="1" applyBorder="1" applyAlignment="1">
      <alignment horizontal="center" vertical="center"/>
    </xf>
    <xf numFmtId="164" fontId="29" fillId="6" borderId="18" xfId="0" applyNumberFormat="1" applyFont="1" applyFill="1" applyBorder="1" applyAlignment="1">
      <alignment horizontal="center" vertical="center"/>
    </xf>
    <xf numFmtId="164" fontId="29" fillId="6" borderId="19" xfId="0" applyNumberFormat="1" applyFont="1" applyFill="1" applyBorder="1" applyAlignment="1">
      <alignment horizontal="center" vertical="center"/>
    </xf>
    <xf numFmtId="164" fontId="10" fillId="3" borderId="0" xfId="0" applyNumberFormat="1" applyFont="1" applyFill="1" applyAlignment="1">
      <alignment horizontal="center"/>
    </xf>
    <xf numFmtId="164" fontId="10" fillId="3" borderId="13" xfId="0" applyNumberFormat="1" applyFont="1" applyFill="1" applyBorder="1" applyAlignment="1">
      <alignment horizontal="center"/>
    </xf>
    <xf numFmtId="0" fontId="46" fillId="6" borderId="29" xfId="0" applyFont="1" applyFill="1" applyBorder="1" applyAlignment="1">
      <alignment horizontal="center" vertical="center"/>
    </xf>
    <xf numFmtId="0" fontId="46" fillId="6" borderId="30" xfId="0" applyFont="1" applyFill="1" applyBorder="1" applyAlignment="1">
      <alignment horizontal="center" vertical="center"/>
    </xf>
    <xf numFmtId="0" fontId="46" fillId="6" borderId="3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57"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5"/>
      </font>
    </dxf>
    <dxf>
      <font>
        <color rgb="FFFF0000"/>
      </font>
    </dxf>
    <dxf>
      <font>
        <color rgb="FF538335"/>
      </font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5"/>
      </font>
    </dxf>
    <dxf>
      <font>
        <color rgb="FFFF0000"/>
      </font>
    </dxf>
    <dxf>
      <font>
        <color rgb="FF538335"/>
      </font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5"/>
      </font>
    </dxf>
    <dxf>
      <font>
        <color rgb="FFFF0000"/>
      </font>
    </dxf>
    <dxf>
      <font>
        <color rgb="FF538335"/>
      </font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5"/>
      </font>
    </dxf>
    <dxf>
      <font>
        <color rgb="FFFF0000"/>
      </font>
    </dxf>
    <dxf>
      <font>
        <color rgb="FF538335"/>
      </font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5"/>
      </font>
    </dxf>
    <dxf>
      <font>
        <color rgb="FFFF0000"/>
      </font>
    </dxf>
    <dxf>
      <font>
        <color rgb="FF538335"/>
      </font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5"/>
      </font>
    </dxf>
    <dxf>
      <font>
        <color rgb="FFFF0000"/>
      </font>
    </dxf>
    <dxf>
      <font>
        <color rgb="FF538335"/>
      </font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5"/>
      </font>
    </dxf>
    <dxf>
      <font>
        <color theme="1"/>
      </font>
    </dxf>
    <dxf>
      <font>
        <color rgb="FF538335"/>
      </font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5"/>
      </font>
    </dxf>
    <dxf>
      <font>
        <color rgb="FFFF0000"/>
      </font>
    </dxf>
    <dxf>
      <font>
        <color rgb="FF538335"/>
      </font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5"/>
      </font>
    </dxf>
    <dxf>
      <font>
        <color rgb="FF538335"/>
      </font>
    </dxf>
    <dxf>
      <font>
        <color theme="1"/>
      </font>
    </dxf>
    <dxf>
      <font>
        <color rgb="FFFF0000"/>
      </font>
    </dxf>
    <dxf>
      <font>
        <color theme="1"/>
      </font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5"/>
      </font>
    </dxf>
    <dxf>
      <font>
        <color rgb="FF538335"/>
      </font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5"/>
      </font>
    </dxf>
    <dxf>
      <font>
        <color rgb="FFFF0000"/>
      </font>
    </dxf>
    <dxf>
      <font>
        <color rgb="FF538335"/>
      </font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5"/>
      </font>
    </dxf>
    <dxf>
      <font>
        <color rgb="FFFF0000"/>
      </font>
    </dxf>
    <dxf>
      <font>
        <color rgb="FF538335"/>
      </font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5"/>
      </font>
    </dxf>
    <dxf>
      <font>
        <color rgb="FF538335"/>
      </font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5"/>
      </font>
    </dxf>
    <dxf>
      <font>
        <color rgb="FF538335"/>
      </font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</dxf>
    <dxf>
      <font>
        <strike val="0"/>
        <outline val="0"/>
        <shadow val="0"/>
        <vertAlign val="baseline"/>
        <sz val="12"/>
      </font>
      <numFmt numFmtId="3" formatCode="#,##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</font>
      <numFmt numFmtId="167" formatCode="[$-409]yyyy\ mmm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2"/>
      </font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4"/>
        <name val="Arial"/>
        <family val="2"/>
        <scheme val="minor"/>
      </font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65" formatCode="&quot;%&quot;0.00"/>
      <fill>
        <patternFill patternType="solid">
          <fgColor rgb="FF000000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64" formatCode="#,##0.0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4" formatCode="#,##0.0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4" formatCode="#,##0.00\ [$ر.س.‏-401]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8" formatCode="#,##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auto="1"/>
        <name val="Arial"/>
        <scheme val="minor"/>
      </font>
      <numFmt numFmtId="166" formatCode="yyyy\-mm\-dd;@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6" formatCode="yyyy\-mm\-dd;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2"/>
      </font>
      <numFmt numFmtId="3" formatCode="#,##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</font>
      <numFmt numFmtId="167" formatCode="[$-409]yyyy\ mmm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4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65" formatCode="&quot;%&quot;0.00"/>
      <fill>
        <patternFill patternType="solid">
          <fgColor rgb="FF000000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4" formatCode="#,##0.0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4" formatCode="#,##0.0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4" formatCode="#,##0.00\ [$ر.س.‏-401]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8" formatCode="#,##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auto="1"/>
        <name val="Arial"/>
        <scheme val="minor"/>
      </font>
      <numFmt numFmtId="166" formatCode="yyyy\-mm\-dd;@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6" formatCode="yyyy\-mm\-dd;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</font>
      <numFmt numFmtId="3" formatCode="#,##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</font>
      <numFmt numFmtId="167" formatCode="[$-409]yyyy\ mmm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4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65" formatCode="&quot;%&quot;0.00"/>
      <fill>
        <patternFill patternType="solid">
          <fgColor rgb="FF000000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4" formatCode="#,##0.0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4" formatCode="#,##0.0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4" formatCode="#,##0.00\ [$ر.س.‏-401]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8" formatCode="#,##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auto="1"/>
        <name val="Arial"/>
        <scheme val="minor"/>
      </font>
      <numFmt numFmtId="166" formatCode="yyyy\-mm\-dd;@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6" formatCode="yyyy\-mm\-dd;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</font>
      <numFmt numFmtId="3" formatCode="#,##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</font>
      <numFmt numFmtId="167" formatCode="[$-409]yyyy\ mmm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2"/>
      </font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4"/>
        <name val="Arial"/>
        <family val="2"/>
        <scheme val="minor"/>
      </font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65" formatCode="&quot;%&quot;0.00"/>
      <fill>
        <patternFill patternType="solid">
          <fgColor rgb="FF000000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64" formatCode="#,##0.0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4" formatCode="#,##0.0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4" formatCode="#,##0.00\ [$ر.س.‏-401]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8" formatCode="#,##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auto="1"/>
        <name val="Arial"/>
        <scheme val="minor"/>
      </font>
      <numFmt numFmtId="166" formatCode="yyyy\-mm\-dd;@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6" formatCode="yyyy\-mm\-dd;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2"/>
      </font>
      <numFmt numFmtId="3" formatCode="#,##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</font>
      <numFmt numFmtId="167" formatCode="[$-409]yyyy\ mmm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2"/>
      </font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4"/>
        <name val="Arial"/>
        <family val="2"/>
        <scheme val="minor"/>
      </font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65" formatCode="&quot;%&quot;0.00"/>
      <fill>
        <patternFill patternType="solid">
          <fgColor rgb="FF000000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4" formatCode="#,##0.0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4" formatCode="#,##0.0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4" formatCode="#,##0.00\ [$ر.س.‏-401]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8" formatCode="#,##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auto="1"/>
        <name val="Arial"/>
        <scheme val="minor"/>
      </font>
      <numFmt numFmtId="166" formatCode="yyyy\-mm\-dd;@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6" formatCode="yyyy\-mm\-dd;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vertAlign val="baseline"/>
        <sz val="12"/>
      </font>
      <numFmt numFmtId="3" formatCode="#,##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</font>
      <numFmt numFmtId="167" formatCode="[$-409]yyyy\ mmm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2"/>
      </font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4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65" formatCode="&quot;%&quot;0.00"/>
      <fill>
        <patternFill patternType="solid">
          <fgColor rgb="FF000000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4" formatCode="#,##0.0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4" formatCode="#,##0.0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4" formatCode="#,##0.00\ [$ر.س.‏-401]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8" formatCode="#,##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auto="1"/>
        <name val="Arial"/>
        <scheme val="minor"/>
      </font>
      <numFmt numFmtId="166" formatCode="yyyy\-mm\-dd;@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66" formatCode="yyyy\-mm\-dd;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name val="Arial"/>
        <family val="2"/>
        <scheme val="minor"/>
      </font>
      <numFmt numFmtId="3" formatCode="#,##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Arial"/>
        <family val="2"/>
        <scheme val="minor"/>
      </font>
      <numFmt numFmtId="167" formatCode="[$-409]yyyy\ mmm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0" tint="-4.9989318521683403E-2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charset val="178"/>
        <scheme val="none"/>
      </font>
      <numFmt numFmtId="165" formatCode="&quot;%&quot;0.00"/>
      <fill>
        <patternFill patternType="solid">
          <fgColor rgb="FF000000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charset val="178"/>
        <scheme val="minor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78"/>
        <scheme val="minor"/>
      </font>
      <numFmt numFmtId="164" formatCode="#,##0.0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charset val="178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charset val="178"/>
        <scheme val="minor"/>
      </font>
      <numFmt numFmtId="164" formatCode="#,##0.0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charset val="178"/>
        <scheme val="minor"/>
      </font>
      <numFmt numFmtId="164" formatCode="#,##0.00\ [$ر.س.‏-401]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charset val="178"/>
        <scheme val="minor"/>
      </font>
      <numFmt numFmtId="168" formatCode="#,##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auto="1"/>
        <name val="Arial"/>
        <charset val="178"/>
        <scheme val="minor"/>
      </font>
      <numFmt numFmtId="166" formatCode="yyyy\-mm\-dd;@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charset val="178"/>
        <scheme val="minor"/>
      </font>
      <numFmt numFmtId="166" formatCode="yyyy\-mm\-dd;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charset val="178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charset val="178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vertAlign val="baseline"/>
        <sz val="12"/>
        <name val="Arial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sz val="12"/>
        <name val="Arial"/>
        <family val="2"/>
        <scheme val="minor"/>
      </font>
      <numFmt numFmtId="3" formatCode="#,##0"/>
      <fill>
        <patternFill patternType="solid">
          <fgColor indexed="64"/>
          <bgColor theme="0" tint="-0.249977111117893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sz val="12"/>
        <name val="Arial"/>
        <family val="2"/>
        <scheme val="minor"/>
      </font>
      <numFmt numFmtId="167" formatCode="[$-409]yyyy\ mmm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2"/>
        <name val="Arial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4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164" formatCode="#,##0.00\ [$ر.س.‏-401]"/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164" formatCode="#,##0.0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164" formatCode="#,##0.00\ [$ر.س.‏-401]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168" formatCode="#,##0\ [$ر.س.‏-401]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auto="1"/>
        <name val="Arial"/>
        <family val="2"/>
        <scheme val="minor"/>
      </font>
      <numFmt numFmtId="166" formatCode="yyyy\-mm\-dd;@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166" formatCode="yyyy\-mm\-dd;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538335"/>
      <color rgb="FF990000"/>
      <color rgb="FFDF9563"/>
      <color rgb="FF552579"/>
      <color rgb="FF193B1C"/>
      <color rgb="FF7C0D85"/>
      <color rgb="FF173D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ALL!$N$2:$N$38</c:f>
              <c:numCache>
                <c:formatCode>[$-409]yyyy\ mmm</c:formatCode>
                <c:ptCount val="37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  <c:pt idx="12">
                  <c:v>46266</c:v>
                </c:pt>
                <c:pt idx="13">
                  <c:v>46296</c:v>
                </c:pt>
                <c:pt idx="14">
                  <c:v>46327</c:v>
                </c:pt>
                <c:pt idx="15">
                  <c:v>46357</c:v>
                </c:pt>
                <c:pt idx="16">
                  <c:v>46388</c:v>
                </c:pt>
                <c:pt idx="17">
                  <c:v>46419</c:v>
                </c:pt>
                <c:pt idx="18">
                  <c:v>46447</c:v>
                </c:pt>
                <c:pt idx="19">
                  <c:v>46478</c:v>
                </c:pt>
                <c:pt idx="20">
                  <c:v>46508</c:v>
                </c:pt>
                <c:pt idx="21">
                  <c:v>46539</c:v>
                </c:pt>
                <c:pt idx="22">
                  <c:v>46569</c:v>
                </c:pt>
                <c:pt idx="23">
                  <c:v>46600</c:v>
                </c:pt>
                <c:pt idx="24">
                  <c:v>46631</c:v>
                </c:pt>
                <c:pt idx="25">
                  <c:v>46661</c:v>
                </c:pt>
                <c:pt idx="26">
                  <c:v>46692</c:v>
                </c:pt>
                <c:pt idx="27">
                  <c:v>46722</c:v>
                </c:pt>
                <c:pt idx="28">
                  <c:v>46753</c:v>
                </c:pt>
                <c:pt idx="29">
                  <c:v>46784</c:v>
                </c:pt>
                <c:pt idx="30">
                  <c:v>46813</c:v>
                </c:pt>
                <c:pt idx="31">
                  <c:v>46844</c:v>
                </c:pt>
                <c:pt idx="32">
                  <c:v>46874</c:v>
                </c:pt>
                <c:pt idx="33">
                  <c:v>46905</c:v>
                </c:pt>
                <c:pt idx="34">
                  <c:v>46935</c:v>
                </c:pt>
                <c:pt idx="35">
                  <c:v>46966</c:v>
                </c:pt>
                <c:pt idx="36">
                  <c:v>46997</c:v>
                </c:pt>
              </c:numCache>
            </c:numRef>
          </c:cat>
          <c:val>
            <c:numRef>
              <c:f>ALL!$O$2:$O$38</c:f>
              <c:numCache>
                <c:formatCode>#,##0</c:formatCode>
                <c:ptCount val="37"/>
                <c:pt idx="0">
                  <c:v>0</c:v>
                </c:pt>
                <c:pt idx="1">
                  <c:v>5843.34</c:v>
                </c:pt>
                <c:pt idx="2">
                  <c:v>10280.280000000001</c:v>
                </c:pt>
                <c:pt idx="3">
                  <c:v>10729.61</c:v>
                </c:pt>
                <c:pt idx="4">
                  <c:v>10463.540000000001</c:v>
                </c:pt>
                <c:pt idx="5">
                  <c:v>31643.95</c:v>
                </c:pt>
                <c:pt idx="6">
                  <c:v>23128.39</c:v>
                </c:pt>
                <c:pt idx="7">
                  <c:v>29364.49</c:v>
                </c:pt>
                <c:pt idx="8">
                  <c:v>18578.03</c:v>
                </c:pt>
                <c:pt idx="9">
                  <c:v>28338.37</c:v>
                </c:pt>
                <c:pt idx="10">
                  <c:v>6485.95</c:v>
                </c:pt>
                <c:pt idx="11">
                  <c:v>19687.91</c:v>
                </c:pt>
                <c:pt idx="12">
                  <c:v>0</c:v>
                </c:pt>
                <c:pt idx="13">
                  <c:v>24086</c:v>
                </c:pt>
                <c:pt idx="14">
                  <c:v>12083.619999999999</c:v>
                </c:pt>
                <c:pt idx="15">
                  <c:v>7297.5</c:v>
                </c:pt>
                <c:pt idx="16">
                  <c:v>6547.1</c:v>
                </c:pt>
                <c:pt idx="17">
                  <c:v>24220</c:v>
                </c:pt>
                <c:pt idx="18">
                  <c:v>37672.509999999995</c:v>
                </c:pt>
                <c:pt idx="19">
                  <c:v>7055.02</c:v>
                </c:pt>
                <c:pt idx="20">
                  <c:v>18844.23</c:v>
                </c:pt>
                <c:pt idx="21">
                  <c:v>10287</c:v>
                </c:pt>
                <c:pt idx="22">
                  <c:v>42606.080000000002</c:v>
                </c:pt>
                <c:pt idx="23">
                  <c:v>36468</c:v>
                </c:pt>
                <c:pt idx="24">
                  <c:v>13216.119999999999</c:v>
                </c:pt>
                <c:pt idx="25">
                  <c:v>0</c:v>
                </c:pt>
                <c:pt idx="26">
                  <c:v>39303.83</c:v>
                </c:pt>
                <c:pt idx="27">
                  <c:v>39263.230000000003</c:v>
                </c:pt>
                <c:pt idx="28">
                  <c:v>0</c:v>
                </c:pt>
                <c:pt idx="29">
                  <c:v>13760.06</c:v>
                </c:pt>
                <c:pt idx="30">
                  <c:v>34726.230000000003</c:v>
                </c:pt>
                <c:pt idx="31">
                  <c:v>0</c:v>
                </c:pt>
                <c:pt idx="32">
                  <c:v>7441.1900000000005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27780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2-4F4A-A97F-40CAF9AA0D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06807904"/>
        <c:axId val="1906808864"/>
      </c:barChart>
      <c:dateAx>
        <c:axId val="1906807904"/>
        <c:scaling>
          <c:orientation val="maxMin"/>
        </c:scaling>
        <c:delete val="0"/>
        <c:axPos val="l"/>
        <c:numFmt formatCode="[$-409]yyyy\ mmm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906808864"/>
        <c:crosses val="autoZero"/>
        <c:auto val="1"/>
        <c:lblOffset val="100"/>
        <c:baseTimeUnit val="months"/>
      </c:dateAx>
      <c:valAx>
        <c:axId val="1906808864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906807904"/>
        <c:crosses val="autoZero"/>
        <c:crossBetween val="between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0056546433737"/>
          <c:y val="0.18939168236540113"/>
          <c:w val="0.59102576522466088"/>
          <c:h val="0.74810843117414427"/>
        </c:manualLayout>
      </c:layout>
      <c:pieChart>
        <c:varyColors val="1"/>
        <c:ser>
          <c:idx val="0"/>
          <c:order val="0"/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dPt>
            <c:idx val="0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88-4F66-A9D8-2BE421D1D88C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88-4F66-A9D8-2BE421D1D88C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88-4F66-A9D8-2BE421D1D88C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88-4F66-A9D8-2BE421D1D8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C88-4F66-A9D8-2BE421D1D88C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C88-4F66-A9D8-2BE421D1D88C}"/>
              </c:ext>
            </c:extLst>
          </c:dPt>
          <c:dPt>
            <c:idx val="6"/>
            <c:bubble3D val="0"/>
            <c:spPr>
              <a:solidFill>
                <a:srgbClr val="538335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927-42E9-B5D5-A6BC438D5975}"/>
              </c:ext>
            </c:extLst>
          </c:dPt>
          <c:dLbls>
            <c:dLbl>
              <c:idx val="0"/>
              <c:layout>
                <c:manualLayout>
                  <c:x val="-0.21190381365510264"/>
                  <c:y val="1.299800715389967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88-4F66-A9D8-2BE421D1D88C}"/>
                </c:ext>
              </c:extLst>
            </c:dLbl>
            <c:dLbl>
              <c:idx val="2"/>
              <c:layout>
                <c:manualLayout>
                  <c:x val="-9.5031376812374196E-2"/>
                  <c:y val="0.1052820413138614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88-4F66-A9D8-2BE421D1D88C}"/>
                </c:ext>
              </c:extLst>
            </c:dLbl>
            <c:dLbl>
              <c:idx val="4"/>
              <c:layout>
                <c:manualLayout>
                  <c:x val="4.0277314331435339E-2"/>
                  <c:y val="-2.08299649934873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C88-4F66-A9D8-2BE421D1D8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ALL!$A$70:$A$76</c:f>
              <c:strCache>
                <c:ptCount val="7"/>
                <c:pt idx="0">
                  <c:v>صكوك </c:v>
                </c:pt>
                <c:pt idx="1">
                  <c:v>منافع</c:v>
                </c:pt>
                <c:pt idx="2">
                  <c:v>ليندو</c:v>
                </c:pt>
                <c:pt idx="3">
                  <c:v>تعمييد</c:v>
                </c:pt>
                <c:pt idx="4">
                  <c:v>دينار</c:v>
                </c:pt>
                <c:pt idx="5">
                  <c:v>صفقة</c:v>
                </c:pt>
                <c:pt idx="6">
                  <c:v>ترميز</c:v>
                </c:pt>
              </c:strCache>
            </c:strRef>
          </c:cat>
          <c:val>
            <c:numRef>
              <c:f>ALL!$B$70:$B$76</c:f>
              <c:numCache>
                <c:formatCode>#,##0\ "ر.س.‏"</c:formatCode>
                <c:ptCount val="7"/>
                <c:pt idx="0">
                  <c:v>400586.87</c:v>
                </c:pt>
                <c:pt idx="1">
                  <c:v>99426.240000000005</c:v>
                </c:pt>
                <c:pt idx="2">
                  <c:v>27321.49</c:v>
                </c:pt>
                <c:pt idx="3">
                  <c:v>1067.2</c:v>
                </c:pt>
                <c:pt idx="4">
                  <c:v>71925.5</c:v>
                </c:pt>
                <c:pt idx="5">
                  <c:v>62379.69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0-4D8C-AF07-434482726B3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0056546433737"/>
          <c:y val="0.18939168236540113"/>
          <c:w val="0.59102576522466088"/>
          <c:h val="0.74810843117414427"/>
        </c:manualLayout>
      </c:layout>
      <c:pieChart>
        <c:varyColors val="1"/>
        <c:ser>
          <c:idx val="0"/>
          <c:order val="0"/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09E-446C-BFBE-0458981D5A26}"/>
              </c:ext>
            </c:extLst>
          </c:dPt>
          <c:dPt>
            <c:idx val="1"/>
            <c:bubble3D val="0"/>
            <c:spPr>
              <a:solidFill>
                <a:srgbClr val="538335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09E-446C-BFBE-0458981D5A26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09E-446C-BFBE-0458981D5A26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09E-446C-BFBE-0458981D5A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09E-446C-BFBE-0458981D5A26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09E-446C-BFBE-0458981D5A26}"/>
              </c:ext>
            </c:extLst>
          </c:dPt>
          <c:dLbls>
            <c:dLbl>
              <c:idx val="0"/>
              <c:layout>
                <c:manualLayout>
                  <c:x val="0.10375261907864525"/>
                  <c:y val="1.299681406331201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09E-446C-BFBE-0458981D5A26}"/>
                </c:ext>
              </c:extLst>
            </c:dLbl>
            <c:dLbl>
              <c:idx val="2"/>
              <c:layout>
                <c:manualLayout>
                  <c:x val="0.2025875307534247"/>
                  <c:y val="-0.1893937682174571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09E-446C-BFBE-0458981D5A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ALL!$A$61:$C$61</c:f>
              <c:strCache>
                <c:ptCount val="3"/>
                <c:pt idx="0">
                  <c:v>الفرص المتأخرة</c:v>
                </c:pt>
                <c:pt idx="1">
                  <c:v>الفرص النشطة</c:v>
                </c:pt>
                <c:pt idx="2">
                  <c:v>الفرص المكتملة</c:v>
                </c:pt>
              </c:strCache>
            </c:strRef>
          </c:cat>
          <c:val>
            <c:numRef>
              <c:f>ALL!$A$62:$C$62</c:f>
              <c:numCache>
                <c:formatCode>General</c:formatCode>
                <c:ptCount val="3"/>
                <c:pt idx="0">
                  <c:v>14</c:v>
                </c:pt>
                <c:pt idx="1">
                  <c:v>48</c:v>
                </c:pt>
                <c:pt idx="2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09E-446C-BFBE-0458981D5A2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60"/>
      </c:pieChart>
    </c:plotArea>
    <c:plotVisOnly val="1"/>
    <c:dispBlanksAs val="gap"/>
    <c:showDLblsOverMax val="0"/>
  </c:chart>
  <c:spPr>
    <a:solidFill>
      <a:schemeClr val="bg1">
        <a:lumMod val="85000"/>
      </a:schemeClr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ar-SA"/>
              <a:t> </a:t>
            </a:r>
            <a:r>
              <a:rPr lang="en-US"/>
              <a:t> </a:t>
            </a:r>
            <a:endParaRPr lang="ar-S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ALL!$B$112</c:f>
              <c:strCache>
                <c:ptCount val="1"/>
                <c:pt idx="0">
                  <c:v>المستهدف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ALL!$A$113:$A$125</c:f>
              <c:numCache>
                <c:formatCode>m/d/yy</c:formatCode>
                <c:ptCount val="13"/>
                <c:pt idx="0">
                  <c:v>45788</c:v>
                </c:pt>
                <c:pt idx="1">
                  <c:v>45820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  <c:pt idx="12">
                  <c:v>46143</c:v>
                </c:pt>
              </c:numCache>
            </c:numRef>
          </c:cat>
          <c:val>
            <c:numRef>
              <c:f>ALL!$B$113:$B$125</c:f>
              <c:numCache>
                <c:formatCode>#,##0.00\ "ر.س.‏"</c:formatCode>
                <c:ptCount val="13"/>
                <c:pt idx="0">
                  <c:v>724198.82</c:v>
                </c:pt>
                <c:pt idx="1">
                  <c:v>732671.94619399996</c:v>
                </c:pt>
                <c:pt idx="2">
                  <c:v>741244.2079644698</c:v>
                </c:pt>
                <c:pt idx="3">
                  <c:v>749916.76519765414</c:v>
                </c:pt>
                <c:pt idx="4">
                  <c:v>758690.79135046678</c:v>
                </c:pt>
                <c:pt idx="5">
                  <c:v>767567.47360926727</c:v>
                </c:pt>
                <c:pt idx="6">
                  <c:v>776548.01305049576</c:v>
                </c:pt>
                <c:pt idx="7">
                  <c:v>785633.62480318663</c:v>
                </c:pt>
                <c:pt idx="8">
                  <c:v>794825.53821338399</c:v>
                </c:pt>
                <c:pt idx="9">
                  <c:v>804124.99701048061</c:v>
                </c:pt>
                <c:pt idx="10">
                  <c:v>813533.25947550323</c:v>
                </c:pt>
                <c:pt idx="11">
                  <c:v>823051.5986113667</c:v>
                </c:pt>
                <c:pt idx="12">
                  <c:v>832681.30231511977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68-4922-B9DB-442052C5F803}"/>
            </c:ext>
          </c:extLst>
        </c:ser>
        <c:ser>
          <c:idx val="1"/>
          <c:order val="1"/>
          <c:tx>
            <c:strRef>
              <c:f>ALL!$C$112</c:f>
              <c:strCache>
                <c:ptCount val="1"/>
                <c:pt idx="0">
                  <c:v>القيمة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ALL!$A$113:$A$125</c:f>
              <c:numCache>
                <c:formatCode>m/d/yy</c:formatCode>
                <c:ptCount val="13"/>
                <c:pt idx="0">
                  <c:v>45788</c:v>
                </c:pt>
                <c:pt idx="1">
                  <c:v>45820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  <c:pt idx="12">
                  <c:v>46143</c:v>
                </c:pt>
              </c:numCache>
            </c:numRef>
          </c:cat>
          <c:val>
            <c:numRef>
              <c:f>ALL!$C$113:$C$125</c:f>
              <c:numCache>
                <c:formatCode>#,##0.00\ "ر.س.‏"</c:formatCode>
                <c:ptCount val="13"/>
                <c:pt idx="0">
                  <c:v>724198.82</c:v>
                </c:pt>
                <c:pt idx="1">
                  <c:v>735540.12</c:v>
                </c:pt>
                <c:pt idx="2">
                  <c:v>731647</c:v>
                </c:pt>
                <c:pt idx="3">
                  <c:v>751621</c:v>
                </c:pt>
                <c:pt idx="4">
                  <c:v>801624</c:v>
                </c:pt>
                <c:pt idx="5">
                  <c:v>795952</c:v>
                </c:pt>
                <c:pt idx="6">
                  <c:v>790281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68-4922-B9DB-442052C5F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523535"/>
        <c:axId val="910524975"/>
      </c:lineChart>
      <c:dateAx>
        <c:axId val="910523535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910524975"/>
        <c:crosses val="autoZero"/>
        <c:auto val="1"/>
        <c:lblOffset val="100"/>
        <c:baseTimeUnit val="days"/>
      </c:dateAx>
      <c:valAx>
        <c:axId val="91052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ر.س.‏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91052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تحقيق الربح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(Sukuk!$B$23,Sukuk!$B$31)</c:f>
              <c:numCache>
                <c:formatCode>General</c:formatCode>
                <c:ptCount val="2"/>
                <c:pt idx="0" formatCode="#,##0.00\ [$ر.س.‏-401]">
                  <c:v>84142.680000000008</c:v>
                </c:pt>
                <c:pt idx="1">
                  <c:v>29150.259999999995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9-4A3A-8921-85E233CB3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6702336"/>
        <c:axId val="456699712"/>
      </c:barChart>
      <c:catAx>
        <c:axId val="456702336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56699712"/>
        <c:crosses val="autoZero"/>
        <c:auto val="1"/>
        <c:lblAlgn val="ctr"/>
        <c:lblOffset val="100"/>
        <c:noMultiLvlLbl val="0"/>
      </c:catAx>
      <c:valAx>
        <c:axId val="4566997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[$ر.س.‏-401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5670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500" baseline="0">
          <a:solidFill>
            <a:schemeClr val="bg1"/>
          </a:solidFill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0056546433737"/>
          <c:y val="0.18939168236540113"/>
          <c:w val="0.59102576522466088"/>
          <c:h val="0.74810843117414427"/>
        </c:manualLayout>
      </c:layout>
      <c:pieChart>
        <c:varyColors val="1"/>
        <c:ser>
          <c:idx val="0"/>
          <c:order val="0"/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explosion val="1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0A-4BF4-8594-247823AAF146}"/>
              </c:ext>
            </c:extLst>
          </c:dPt>
          <c:dPt>
            <c:idx val="1"/>
            <c:bubble3D val="0"/>
            <c:spPr>
              <a:solidFill>
                <a:srgbClr val="538335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0A-4BF4-8594-247823AAF146}"/>
              </c:ext>
            </c:extLst>
          </c:dPt>
          <c:dPt>
            <c:idx val="2"/>
            <c:bubble3D val="0"/>
            <c:explosion val="3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0A-4BF4-8594-247823AAF146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0A-4BF4-8594-247823AAF1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50A-4BF4-8594-247823AAF146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50A-4BF4-8594-247823AAF146}"/>
              </c:ext>
            </c:extLst>
          </c:dPt>
          <c:dLbls>
            <c:dLbl>
              <c:idx val="0"/>
              <c:layout>
                <c:manualLayout>
                  <c:x val="0.24819706911636044"/>
                  <c:y val="9.852179935841352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0A-4BF4-8594-247823AAF146}"/>
                </c:ext>
              </c:extLst>
            </c:dLbl>
            <c:dLbl>
              <c:idx val="1"/>
              <c:layout>
                <c:manualLayout>
                  <c:x val="-0.20305030621172354"/>
                  <c:y val="-3.4923082531350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0A-4BF4-8594-247823AAF146}"/>
                </c:ext>
              </c:extLst>
            </c:dLbl>
            <c:dLbl>
              <c:idx val="2"/>
              <c:layout>
                <c:manualLayout>
                  <c:x val="0.19703193350831147"/>
                  <c:y val="7.44951151939340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0A-4BF4-8594-247823AAF1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Sukuk!$A$26:$C$26</c:f>
              <c:strCache>
                <c:ptCount val="3"/>
                <c:pt idx="0">
                  <c:v>الفرص المتأخرة</c:v>
                </c:pt>
                <c:pt idx="1">
                  <c:v>الفرص النشطة</c:v>
                </c:pt>
                <c:pt idx="2">
                  <c:v>الفرص المكتملة</c:v>
                </c:pt>
              </c:strCache>
            </c:strRef>
          </c:cat>
          <c:val>
            <c:numRef>
              <c:f>Sukuk!$A$27:$C$27</c:f>
              <c:numCache>
                <c:formatCode>General</c:formatCode>
                <c:ptCount val="3"/>
                <c:pt idx="0">
                  <c:v>1</c:v>
                </c:pt>
                <c:pt idx="1">
                  <c:v>31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50A-4BF4-8594-247823AAF14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60"/>
      </c:pieChart>
    </c:plotArea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تحقيق الربح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(Sukuk!$B$23,Sukuk!$B$31)</c:f>
              <c:numCache>
                <c:formatCode>General</c:formatCode>
                <c:ptCount val="2"/>
                <c:pt idx="0" formatCode="#,##0.00\ [$ر.س.‏-401]">
                  <c:v>84142.680000000008</c:v>
                </c:pt>
                <c:pt idx="1">
                  <c:v>29150.259999999995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C-4697-AB2A-3114B9F62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6702336"/>
        <c:axId val="456699712"/>
      </c:barChart>
      <c:catAx>
        <c:axId val="456702336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56699712"/>
        <c:crosses val="autoZero"/>
        <c:auto val="1"/>
        <c:lblAlgn val="ctr"/>
        <c:lblOffset val="100"/>
        <c:noMultiLvlLbl val="0"/>
      </c:catAx>
      <c:valAx>
        <c:axId val="4566997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[$ر.س.‏-401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5670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500" baseline="0">
          <a:solidFill>
            <a:schemeClr val="bg1"/>
          </a:solidFill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تحقيق الربح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(Sukuk!$B$23,Sukuk!$B$31)</c:f>
              <c:numCache>
                <c:formatCode>General</c:formatCode>
                <c:ptCount val="2"/>
                <c:pt idx="0" formatCode="#,##0.00\ [$ر.س.‏-401]">
                  <c:v>84142.680000000008</c:v>
                </c:pt>
                <c:pt idx="1">
                  <c:v>29150.259999999995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9-48CE-9F2E-07189568F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6702336"/>
        <c:axId val="456699712"/>
      </c:barChart>
      <c:catAx>
        <c:axId val="456702336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56699712"/>
        <c:crosses val="autoZero"/>
        <c:auto val="1"/>
        <c:lblAlgn val="ctr"/>
        <c:lblOffset val="100"/>
        <c:noMultiLvlLbl val="0"/>
      </c:catAx>
      <c:valAx>
        <c:axId val="4566997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[$ر.س.‏-401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5670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500" baseline="0">
          <a:solidFill>
            <a:schemeClr val="bg1"/>
          </a:solidFill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0056546433737"/>
          <c:y val="0.18939168236540113"/>
          <c:w val="0.59102576522466088"/>
          <c:h val="0.74810843117414427"/>
        </c:manualLayout>
      </c:layout>
      <c:pieChart>
        <c:varyColors val="1"/>
        <c:ser>
          <c:idx val="0"/>
          <c:order val="0"/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explosion val="1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B2-4601-B4BC-06C0FABAE119}"/>
              </c:ext>
            </c:extLst>
          </c:dPt>
          <c:dPt>
            <c:idx val="1"/>
            <c:bubble3D val="0"/>
            <c:spPr>
              <a:solidFill>
                <a:srgbClr val="538335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B2-4601-B4BC-06C0FABAE119}"/>
              </c:ext>
            </c:extLst>
          </c:dPt>
          <c:dPt>
            <c:idx val="2"/>
            <c:bubble3D val="0"/>
            <c:explosion val="3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B2-4601-B4BC-06C0FABAE119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B2-4601-B4BC-06C0FABAE1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B2-4601-B4BC-06C0FABAE119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8B2-4601-B4BC-06C0FABAE119}"/>
              </c:ext>
            </c:extLst>
          </c:dPt>
          <c:dLbls>
            <c:dLbl>
              <c:idx val="0"/>
              <c:layout>
                <c:manualLayout>
                  <c:x val="0.24819706911636044"/>
                  <c:y val="9.852179935841352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B2-4601-B4BC-06C0FABAE119}"/>
                </c:ext>
              </c:extLst>
            </c:dLbl>
            <c:dLbl>
              <c:idx val="1"/>
              <c:layout>
                <c:manualLayout>
                  <c:x val="-0.20305030621172354"/>
                  <c:y val="-3.4923082531350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B2-4601-B4BC-06C0FABAE119}"/>
                </c:ext>
              </c:extLst>
            </c:dLbl>
            <c:dLbl>
              <c:idx val="2"/>
              <c:layout>
                <c:manualLayout>
                  <c:x val="0.19703193350831147"/>
                  <c:y val="7.44951151939340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B2-4601-B4BC-06C0FABAE1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Sukuk!$A$26:$C$26</c:f>
              <c:strCache>
                <c:ptCount val="3"/>
                <c:pt idx="0">
                  <c:v>الفرص المتأخرة</c:v>
                </c:pt>
                <c:pt idx="1">
                  <c:v>الفرص النشطة</c:v>
                </c:pt>
                <c:pt idx="2">
                  <c:v>الفرص المكتملة</c:v>
                </c:pt>
              </c:strCache>
            </c:strRef>
          </c:cat>
          <c:val>
            <c:numRef>
              <c:f>Sukuk!$A$27:$C$27</c:f>
              <c:numCache>
                <c:formatCode>General</c:formatCode>
                <c:ptCount val="3"/>
                <c:pt idx="0">
                  <c:v>1</c:v>
                </c:pt>
                <c:pt idx="1">
                  <c:v>31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8B2-4601-B4BC-06C0FABAE11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60"/>
      </c:pieChart>
    </c:plotArea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تحقيق الربح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(Sukuk!$B$23,Sukuk!$B$31)</c:f>
              <c:numCache>
                <c:formatCode>General</c:formatCode>
                <c:ptCount val="2"/>
                <c:pt idx="0" formatCode="#,##0.00\ [$ر.س.‏-401]">
                  <c:v>84142.680000000008</c:v>
                </c:pt>
                <c:pt idx="1">
                  <c:v>29150.259999999995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9-4BB5-ABAD-235C19AE8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6702336"/>
        <c:axId val="456699712"/>
      </c:barChart>
      <c:catAx>
        <c:axId val="456702336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56699712"/>
        <c:crosses val="autoZero"/>
        <c:auto val="1"/>
        <c:lblAlgn val="ctr"/>
        <c:lblOffset val="100"/>
        <c:noMultiLvlLbl val="0"/>
      </c:catAx>
      <c:valAx>
        <c:axId val="4566997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[$ر.س.‏-401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5670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500" baseline="0">
          <a:solidFill>
            <a:schemeClr val="bg1"/>
          </a:solidFill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0056546433737"/>
          <c:y val="0.18939168236540113"/>
          <c:w val="0.59102576522466088"/>
          <c:h val="0.74810843117414427"/>
        </c:manualLayout>
      </c:layout>
      <c:pieChart>
        <c:varyColors val="1"/>
        <c:ser>
          <c:idx val="0"/>
          <c:order val="0"/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explosion val="1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1C-4C0A-8CFE-1E479E81A112}"/>
              </c:ext>
            </c:extLst>
          </c:dPt>
          <c:dPt>
            <c:idx val="1"/>
            <c:bubble3D val="0"/>
            <c:spPr>
              <a:solidFill>
                <a:srgbClr val="538335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1C-4C0A-8CFE-1E479E81A112}"/>
              </c:ext>
            </c:extLst>
          </c:dPt>
          <c:dPt>
            <c:idx val="2"/>
            <c:bubble3D val="0"/>
            <c:explosion val="3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1C-4C0A-8CFE-1E479E81A112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91C-4C0A-8CFE-1E479E81A1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91C-4C0A-8CFE-1E479E81A11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91C-4C0A-8CFE-1E479E81A112}"/>
              </c:ext>
            </c:extLst>
          </c:dPt>
          <c:dLbls>
            <c:dLbl>
              <c:idx val="0"/>
              <c:layout>
                <c:manualLayout>
                  <c:x val="0.24819706911636044"/>
                  <c:y val="9.852179935841352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1C-4C0A-8CFE-1E479E81A112}"/>
                </c:ext>
              </c:extLst>
            </c:dLbl>
            <c:dLbl>
              <c:idx val="1"/>
              <c:layout>
                <c:manualLayout>
                  <c:x val="-0.20305030621172354"/>
                  <c:y val="-3.4923082531350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1C-4C0A-8CFE-1E479E81A112}"/>
                </c:ext>
              </c:extLst>
            </c:dLbl>
            <c:dLbl>
              <c:idx val="2"/>
              <c:layout>
                <c:manualLayout>
                  <c:x val="0.19703193350831147"/>
                  <c:y val="7.44951151939340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1C-4C0A-8CFE-1E479E81A1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Sukuk!$A$26:$C$26</c:f>
              <c:strCache>
                <c:ptCount val="3"/>
                <c:pt idx="0">
                  <c:v>الفرص المتأخرة</c:v>
                </c:pt>
                <c:pt idx="1">
                  <c:v>الفرص النشطة</c:v>
                </c:pt>
                <c:pt idx="2">
                  <c:v>الفرص المكتملة</c:v>
                </c:pt>
              </c:strCache>
            </c:strRef>
          </c:cat>
          <c:val>
            <c:numRef>
              <c:f>Sukuk!$A$27:$C$27</c:f>
              <c:numCache>
                <c:formatCode>General</c:formatCode>
                <c:ptCount val="3"/>
                <c:pt idx="0">
                  <c:v>1</c:v>
                </c:pt>
                <c:pt idx="1">
                  <c:v>31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91C-4C0A-8CFE-1E479E81A11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60"/>
      </c:pieChart>
    </c:plotArea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تحقيق الربح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(Sukuk!$B$23,Sukuk!$B$31)</c:f>
              <c:numCache>
                <c:formatCode>General</c:formatCode>
                <c:ptCount val="2"/>
                <c:pt idx="0" formatCode="#,##0.00\ [$ر.س.‏-401]">
                  <c:v>84142.680000000008</c:v>
                </c:pt>
                <c:pt idx="1">
                  <c:v>29150.259999999995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9-41A1-B09A-DB8351C33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6702336"/>
        <c:axId val="456699712"/>
      </c:barChart>
      <c:catAx>
        <c:axId val="456702336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56699712"/>
        <c:crosses val="autoZero"/>
        <c:auto val="1"/>
        <c:lblAlgn val="ctr"/>
        <c:lblOffset val="100"/>
        <c:noMultiLvlLbl val="0"/>
      </c:catAx>
      <c:valAx>
        <c:axId val="4566997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[$ر.س.‏-401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5670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500" baseline="0">
          <a:solidFill>
            <a:schemeClr val="bg1"/>
          </a:solidFill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0056546433737"/>
          <c:y val="0.18939168236540113"/>
          <c:w val="0.59102576522466088"/>
          <c:h val="0.74810843117414427"/>
        </c:manualLayout>
      </c:layout>
      <c:pieChart>
        <c:varyColors val="1"/>
        <c:ser>
          <c:idx val="0"/>
          <c:order val="0"/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explosion val="1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35-4C94-A642-27C1AF0F316B}"/>
              </c:ext>
            </c:extLst>
          </c:dPt>
          <c:dPt>
            <c:idx val="1"/>
            <c:bubble3D val="0"/>
            <c:spPr>
              <a:solidFill>
                <a:srgbClr val="538335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35-4C94-A642-27C1AF0F316B}"/>
              </c:ext>
            </c:extLst>
          </c:dPt>
          <c:dPt>
            <c:idx val="2"/>
            <c:bubble3D val="0"/>
            <c:explosion val="3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35-4C94-A642-27C1AF0F316B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35-4C94-A642-27C1AF0F316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135-4C94-A642-27C1AF0F316B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135-4C94-A642-27C1AF0F316B}"/>
              </c:ext>
            </c:extLst>
          </c:dPt>
          <c:dLbls>
            <c:dLbl>
              <c:idx val="0"/>
              <c:layout>
                <c:manualLayout>
                  <c:x val="0.24819706911636044"/>
                  <c:y val="9.852179935841352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35-4C94-A642-27C1AF0F316B}"/>
                </c:ext>
              </c:extLst>
            </c:dLbl>
            <c:dLbl>
              <c:idx val="1"/>
              <c:layout>
                <c:manualLayout>
                  <c:x val="-0.20305030621172354"/>
                  <c:y val="-3.4923082531350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35-4C94-A642-27C1AF0F316B}"/>
                </c:ext>
              </c:extLst>
            </c:dLbl>
            <c:dLbl>
              <c:idx val="2"/>
              <c:layout>
                <c:manualLayout>
                  <c:x val="0.19703193350831147"/>
                  <c:y val="7.44951151939340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35-4C94-A642-27C1AF0F31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Sukuk!$A$26:$C$26</c:f>
              <c:strCache>
                <c:ptCount val="3"/>
                <c:pt idx="0">
                  <c:v>الفرص المتأخرة</c:v>
                </c:pt>
                <c:pt idx="1">
                  <c:v>الفرص النشطة</c:v>
                </c:pt>
                <c:pt idx="2">
                  <c:v>الفرص المكتملة</c:v>
                </c:pt>
              </c:strCache>
            </c:strRef>
          </c:cat>
          <c:val>
            <c:numRef>
              <c:f>Sukuk!$A$27:$C$27</c:f>
              <c:numCache>
                <c:formatCode>General</c:formatCode>
                <c:ptCount val="3"/>
                <c:pt idx="0">
                  <c:v>1</c:v>
                </c:pt>
                <c:pt idx="1">
                  <c:v>31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135-4C94-A642-27C1AF0F316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60"/>
      </c:pieChart>
    </c:plotArea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تحقيق الربح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(Sukuk!$B$23,Sukuk!$B$31)</c:f>
              <c:numCache>
                <c:formatCode>General</c:formatCode>
                <c:ptCount val="2"/>
                <c:pt idx="0" formatCode="#,##0.00\ [$ر.س.‏-401]">
                  <c:v>84142.680000000008</c:v>
                </c:pt>
                <c:pt idx="1">
                  <c:v>29150.259999999995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1-48AE-8883-1DB8C6DDC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6702336"/>
        <c:axId val="456699712"/>
      </c:barChart>
      <c:catAx>
        <c:axId val="456702336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56699712"/>
        <c:crosses val="autoZero"/>
        <c:auto val="1"/>
        <c:lblAlgn val="ctr"/>
        <c:lblOffset val="100"/>
        <c:noMultiLvlLbl val="0"/>
      </c:catAx>
      <c:valAx>
        <c:axId val="4566997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[$ر.س.‏-401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5670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500" baseline="0">
          <a:solidFill>
            <a:schemeClr val="bg1"/>
          </a:solidFill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0056546433737"/>
          <c:y val="0.18939168236540113"/>
          <c:w val="0.59102576522466088"/>
          <c:h val="0.74810843117414427"/>
        </c:manualLayout>
      </c:layout>
      <c:pieChart>
        <c:varyColors val="1"/>
        <c:ser>
          <c:idx val="0"/>
          <c:order val="0"/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explosion val="1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65-42D2-A81F-61729B24DF7D}"/>
              </c:ext>
            </c:extLst>
          </c:dPt>
          <c:dPt>
            <c:idx val="1"/>
            <c:bubble3D val="0"/>
            <c:spPr>
              <a:solidFill>
                <a:srgbClr val="538335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65-42D2-A81F-61729B24DF7D}"/>
              </c:ext>
            </c:extLst>
          </c:dPt>
          <c:dPt>
            <c:idx val="2"/>
            <c:bubble3D val="0"/>
            <c:explosion val="3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65-42D2-A81F-61729B24DF7D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65-42D2-A81F-61729B24DF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E65-42D2-A81F-61729B24DF7D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E65-42D2-A81F-61729B24DF7D}"/>
              </c:ext>
            </c:extLst>
          </c:dPt>
          <c:dLbls>
            <c:dLbl>
              <c:idx val="0"/>
              <c:layout>
                <c:manualLayout>
                  <c:x val="0.24819706911636044"/>
                  <c:y val="9.852179935841352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65-42D2-A81F-61729B24DF7D}"/>
                </c:ext>
              </c:extLst>
            </c:dLbl>
            <c:dLbl>
              <c:idx val="1"/>
              <c:layout>
                <c:manualLayout>
                  <c:x val="-0.20305030621172354"/>
                  <c:y val="-3.4923082531350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65-42D2-A81F-61729B24DF7D}"/>
                </c:ext>
              </c:extLst>
            </c:dLbl>
            <c:dLbl>
              <c:idx val="2"/>
              <c:layout>
                <c:manualLayout>
                  <c:x val="0.19703193350831147"/>
                  <c:y val="7.44951151939340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65-42D2-A81F-61729B24DF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Sukuk!$A$26:$C$26</c:f>
              <c:strCache>
                <c:ptCount val="3"/>
                <c:pt idx="0">
                  <c:v>الفرص المتأخرة</c:v>
                </c:pt>
                <c:pt idx="1">
                  <c:v>الفرص النشطة</c:v>
                </c:pt>
                <c:pt idx="2">
                  <c:v>الفرص المكتملة</c:v>
                </c:pt>
              </c:strCache>
            </c:strRef>
          </c:cat>
          <c:val>
            <c:numRef>
              <c:f>Sukuk!$A$27:$C$27</c:f>
              <c:numCache>
                <c:formatCode>General</c:formatCode>
                <c:ptCount val="3"/>
                <c:pt idx="0">
                  <c:v>1</c:v>
                </c:pt>
                <c:pt idx="1">
                  <c:v>31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E65-42D2-A81F-61729B24DF7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60"/>
      </c:pieChart>
    </c:plotArea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تحقيق الربح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(Sukuk!$B$23,Sukuk!$B$31)</c:f>
              <c:numCache>
                <c:formatCode>General</c:formatCode>
                <c:ptCount val="2"/>
                <c:pt idx="0" formatCode="#,##0.00\ [$ر.س.‏-401]">
                  <c:v>84142.680000000008</c:v>
                </c:pt>
                <c:pt idx="1">
                  <c:v>29150.259999999995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7-4893-A495-72B39D0DA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6702336"/>
        <c:axId val="456699712"/>
      </c:barChart>
      <c:catAx>
        <c:axId val="456702336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56699712"/>
        <c:crosses val="autoZero"/>
        <c:auto val="1"/>
        <c:lblAlgn val="ctr"/>
        <c:lblOffset val="100"/>
        <c:noMultiLvlLbl val="0"/>
      </c:catAx>
      <c:valAx>
        <c:axId val="4566997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[$ر.س.‏-401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5670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500" baseline="0">
          <a:solidFill>
            <a:schemeClr val="bg1"/>
          </a:solidFill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60056546433737"/>
          <c:y val="0.18939168236540113"/>
          <c:w val="0.59102576522466088"/>
          <c:h val="0.74810843117414427"/>
        </c:manualLayout>
      </c:layout>
      <c:pieChart>
        <c:varyColors val="1"/>
        <c:ser>
          <c:idx val="0"/>
          <c:order val="0"/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explosion val="1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91-4CEA-B462-770E340F55F5}"/>
              </c:ext>
            </c:extLst>
          </c:dPt>
          <c:dPt>
            <c:idx val="1"/>
            <c:bubble3D val="0"/>
            <c:spPr>
              <a:solidFill>
                <a:srgbClr val="538335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91-4CEA-B462-770E340F55F5}"/>
              </c:ext>
            </c:extLst>
          </c:dPt>
          <c:dPt>
            <c:idx val="2"/>
            <c:bubble3D val="0"/>
            <c:explosion val="3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91-4CEA-B462-770E340F55F5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91-4CEA-B462-770E340F55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B91-4CEA-B462-770E340F55F5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B91-4CEA-B462-770E340F55F5}"/>
              </c:ext>
            </c:extLst>
          </c:dPt>
          <c:dLbls>
            <c:dLbl>
              <c:idx val="0"/>
              <c:layout>
                <c:manualLayout>
                  <c:x val="0.24819706911636044"/>
                  <c:y val="9.852179935841352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91-4CEA-B462-770E340F55F5}"/>
                </c:ext>
              </c:extLst>
            </c:dLbl>
            <c:dLbl>
              <c:idx val="1"/>
              <c:layout>
                <c:manualLayout>
                  <c:x val="-0.20305030621172354"/>
                  <c:y val="-3.4923082531350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91-4CEA-B462-770E340F55F5}"/>
                </c:ext>
              </c:extLst>
            </c:dLbl>
            <c:dLbl>
              <c:idx val="2"/>
              <c:layout>
                <c:manualLayout>
                  <c:x val="0.19703193350831147"/>
                  <c:y val="7.44951151939340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91-4CEA-B462-770E340F55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Sukuk!$A$26:$C$26</c:f>
              <c:strCache>
                <c:ptCount val="3"/>
                <c:pt idx="0">
                  <c:v>الفرص المتأخرة</c:v>
                </c:pt>
                <c:pt idx="1">
                  <c:v>الفرص النشطة</c:v>
                </c:pt>
                <c:pt idx="2">
                  <c:v>الفرص المكتملة</c:v>
                </c:pt>
              </c:strCache>
            </c:strRef>
          </c:cat>
          <c:val>
            <c:numRef>
              <c:f>Sukuk!$A$27:$C$27</c:f>
              <c:numCache>
                <c:formatCode>General</c:formatCode>
                <c:ptCount val="3"/>
                <c:pt idx="0">
                  <c:v>1</c:v>
                </c:pt>
                <c:pt idx="1">
                  <c:v>31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B91-4CEA-B462-770E340F55F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60"/>
      </c:pieChart>
    </c:plotArea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218454</xdr:rowOff>
    </xdr:from>
    <xdr:to>
      <xdr:col>3</xdr:col>
      <xdr:colOff>445</xdr:colOff>
      <xdr:row>53</xdr:row>
      <xdr:rowOff>230123</xdr:rowOff>
    </xdr:to>
    <xdr:graphicFrame macro="">
      <xdr:nvGraphicFramePr>
        <xdr:cNvPr id="2" name="مخطط 13">
          <a:extLst>
            <a:ext uri="{FF2B5EF4-FFF2-40B4-BE49-F238E27FC236}">
              <a16:creationId xmlns:a16="http://schemas.microsoft.com/office/drawing/2014/main" id="{F62D7CFA-B8E8-E973-14A8-47DEF7662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87784</xdr:rowOff>
    </xdr:from>
    <xdr:to>
      <xdr:col>1</xdr:col>
      <xdr:colOff>885138</xdr:colOff>
      <xdr:row>12</xdr:row>
      <xdr:rowOff>117045</xdr:rowOff>
    </xdr:to>
    <xdr:graphicFrame macro="">
      <xdr:nvGraphicFramePr>
        <xdr:cNvPr id="16" name="مخطط 15">
          <a:extLst>
            <a:ext uri="{FF2B5EF4-FFF2-40B4-BE49-F238E27FC236}">
              <a16:creationId xmlns:a16="http://schemas.microsoft.com/office/drawing/2014/main" id="{BD7E2963-0D72-7153-2875-ED658D833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1009497</xdr:colOff>
      <xdr:row>3</xdr:row>
      <xdr:rowOff>84123</xdr:rowOff>
    </xdr:from>
    <xdr:to>
      <xdr:col>2</xdr:col>
      <xdr:colOff>1967789</xdr:colOff>
      <xdr:row>12</xdr:row>
      <xdr:rowOff>124358</xdr:rowOff>
    </xdr:to>
    <xdr:graphicFrame macro="">
      <xdr:nvGraphicFramePr>
        <xdr:cNvPr id="6" name="مخطط 2">
          <a:extLst>
            <a:ext uri="{FF2B5EF4-FFF2-40B4-BE49-F238E27FC236}">
              <a16:creationId xmlns:a16="http://schemas.microsoft.com/office/drawing/2014/main" id="{6C9CB068-E2D4-B796-54D3-2DC17B358E08}"/>
            </a:ext>
            <a:ext uri="{147F2762-F138-4A5C-976F-8EAC2B608ADB}">
              <a16:predDERef xmlns:a16="http://schemas.microsoft.com/office/drawing/2014/main" pred="{BD7E2963-0D72-7153-2875-ED658D833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126</xdr:row>
      <xdr:rowOff>7315</xdr:rowOff>
    </xdr:from>
    <xdr:to>
      <xdr:col>3</xdr:col>
      <xdr:colOff>441</xdr:colOff>
      <xdr:row>141</xdr:row>
      <xdr:rowOff>153619</xdr:rowOff>
    </xdr:to>
    <xdr:graphicFrame macro="">
      <xdr:nvGraphicFramePr>
        <xdr:cNvPr id="10" name="مخطط 5">
          <a:extLst>
            <a:ext uri="{FF2B5EF4-FFF2-40B4-BE49-F238E27FC236}">
              <a16:creationId xmlns:a16="http://schemas.microsoft.com/office/drawing/2014/main" id="{0303922B-E87E-E7FA-FE9E-594AB43B3518}"/>
            </a:ext>
            <a:ext uri="{147F2762-F138-4A5C-976F-8EAC2B608ADB}">
              <a16:predDERef xmlns:a16="http://schemas.microsoft.com/office/drawing/2014/main" pred="{6C9CB068-E2D4-B796-54D3-2DC17B358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51207</xdr:colOff>
      <xdr:row>17</xdr:row>
      <xdr:rowOff>80470</xdr:rowOff>
    </xdr:from>
    <xdr:to>
      <xdr:col>20</xdr:col>
      <xdr:colOff>14631</xdr:colOff>
      <xdr:row>28</xdr:row>
      <xdr:rowOff>76812</xdr:rowOff>
    </xdr:to>
    <xdr:graphicFrame macro="">
      <xdr:nvGraphicFramePr>
        <xdr:cNvPr id="5" name="مخطط 4">
          <a:extLst>
            <a:ext uri="{FF2B5EF4-FFF2-40B4-BE49-F238E27FC236}">
              <a16:creationId xmlns:a16="http://schemas.microsoft.com/office/drawing/2014/main" id="{9CD080AA-2F2C-4734-9E20-4B892B640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490118</xdr:colOff>
      <xdr:row>28</xdr:row>
      <xdr:rowOff>7316</xdr:rowOff>
    </xdr:from>
    <xdr:to>
      <xdr:col>20</xdr:col>
      <xdr:colOff>109728</xdr:colOff>
      <xdr:row>38</xdr:row>
      <xdr:rowOff>208482</xdr:rowOff>
    </xdr:to>
    <xdr:graphicFrame macro="">
      <xdr:nvGraphicFramePr>
        <xdr:cNvPr id="6" name="مخطط 5">
          <a:extLst>
            <a:ext uri="{FF2B5EF4-FFF2-40B4-BE49-F238E27FC236}">
              <a16:creationId xmlns:a16="http://schemas.microsoft.com/office/drawing/2014/main" id="{683F060E-9243-4C31-9C65-88B3415EB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51207</xdr:colOff>
      <xdr:row>17</xdr:row>
      <xdr:rowOff>80470</xdr:rowOff>
    </xdr:from>
    <xdr:to>
      <xdr:col>20</xdr:col>
      <xdr:colOff>14631</xdr:colOff>
      <xdr:row>28</xdr:row>
      <xdr:rowOff>76812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22F404C5-FB0A-4AEF-8F4A-EC9A932DD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51207</xdr:colOff>
      <xdr:row>17</xdr:row>
      <xdr:rowOff>80470</xdr:rowOff>
    </xdr:from>
    <xdr:to>
      <xdr:col>20</xdr:col>
      <xdr:colOff>14631</xdr:colOff>
      <xdr:row>28</xdr:row>
      <xdr:rowOff>76812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290C3D06-9A81-4A5D-971C-B907621D6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490118</xdr:colOff>
      <xdr:row>28</xdr:row>
      <xdr:rowOff>7316</xdr:rowOff>
    </xdr:from>
    <xdr:to>
      <xdr:col>20</xdr:col>
      <xdr:colOff>109728</xdr:colOff>
      <xdr:row>38</xdr:row>
      <xdr:rowOff>208482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BFB87E3D-746E-4DDA-9019-4885EB1691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51207</xdr:colOff>
      <xdr:row>17</xdr:row>
      <xdr:rowOff>80470</xdr:rowOff>
    </xdr:from>
    <xdr:to>
      <xdr:col>20</xdr:col>
      <xdr:colOff>14631</xdr:colOff>
      <xdr:row>28</xdr:row>
      <xdr:rowOff>76812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7B9DA514-91A6-4143-BE56-D0EBA5FB0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490118</xdr:colOff>
      <xdr:row>28</xdr:row>
      <xdr:rowOff>7316</xdr:rowOff>
    </xdr:from>
    <xdr:to>
      <xdr:col>20</xdr:col>
      <xdr:colOff>109728</xdr:colOff>
      <xdr:row>38</xdr:row>
      <xdr:rowOff>208482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38CD8E54-6F09-4D49-BB97-ABB1633C7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51207</xdr:colOff>
      <xdr:row>17</xdr:row>
      <xdr:rowOff>80470</xdr:rowOff>
    </xdr:from>
    <xdr:to>
      <xdr:col>20</xdr:col>
      <xdr:colOff>14631</xdr:colOff>
      <xdr:row>28</xdr:row>
      <xdr:rowOff>76812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903A9748-2807-4B22-B9EA-461FCF922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490118</xdr:colOff>
      <xdr:row>28</xdr:row>
      <xdr:rowOff>7316</xdr:rowOff>
    </xdr:from>
    <xdr:to>
      <xdr:col>20</xdr:col>
      <xdr:colOff>109728</xdr:colOff>
      <xdr:row>38</xdr:row>
      <xdr:rowOff>208482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CC146D42-F35F-458C-B94C-783E43498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51207</xdr:colOff>
      <xdr:row>17</xdr:row>
      <xdr:rowOff>80470</xdr:rowOff>
    </xdr:from>
    <xdr:to>
      <xdr:col>20</xdr:col>
      <xdr:colOff>14631</xdr:colOff>
      <xdr:row>28</xdr:row>
      <xdr:rowOff>76812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EE84B397-1BA4-45DC-ACF7-14410A438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490118</xdr:colOff>
      <xdr:row>28</xdr:row>
      <xdr:rowOff>7316</xdr:rowOff>
    </xdr:from>
    <xdr:to>
      <xdr:col>20</xdr:col>
      <xdr:colOff>109728</xdr:colOff>
      <xdr:row>38</xdr:row>
      <xdr:rowOff>208482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FC9F5BD0-B983-45AA-A9B1-19D74384C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51207</xdr:colOff>
      <xdr:row>17</xdr:row>
      <xdr:rowOff>80470</xdr:rowOff>
    </xdr:from>
    <xdr:to>
      <xdr:col>20</xdr:col>
      <xdr:colOff>14631</xdr:colOff>
      <xdr:row>28</xdr:row>
      <xdr:rowOff>76812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2A3AE6C4-E020-4DA9-A7C6-850CA5463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490118</xdr:colOff>
      <xdr:row>28</xdr:row>
      <xdr:rowOff>7316</xdr:rowOff>
    </xdr:from>
    <xdr:to>
      <xdr:col>20</xdr:col>
      <xdr:colOff>109728</xdr:colOff>
      <xdr:row>38</xdr:row>
      <xdr:rowOff>208482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4ABF604D-9048-43CC-A3FB-44E6E14783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E1:M326" totalsRowShown="0" headerRowDxfId="256" dataDxfId="254" headerRowBorderDxfId="255">
  <autoFilter ref="E1:M326" xr:uid="{00000000-0009-0000-0100-000003000000}"/>
  <tableColumns count="9">
    <tableColumn id="1" xr3:uid="{00000000-0010-0000-0000-000001000000}" name="المدة" dataDxfId="253"/>
    <tableColumn id="2" xr3:uid="{00000000-0010-0000-0000-000002000000}" name="تاريخ الأستحقاق" dataDxfId="252"/>
    <tableColumn id="3" xr3:uid="{00000000-0010-0000-0000-000003000000}" name="تاريخ السداد" dataDxfId="251"/>
    <tableColumn id="4" xr3:uid="{00000000-0010-0000-0000-000004000000}" name="القيمة الأسمية" dataDxfId="250"/>
    <tableColumn id="5" xr3:uid="{00000000-0010-0000-0000-000005000000}" name="صافي الربح" dataDxfId="249"/>
    <tableColumn id="6" xr3:uid="{00000000-0010-0000-0000-000006000000}" name="الدفعة" dataDxfId="248"/>
    <tableColumn id="7" xr3:uid="{00000000-0010-0000-0000-000007000000}" name="الحالة" dataDxfId="247"/>
    <tableColumn id="8" xr3:uid="{00000000-0010-0000-0000-000008000000}" name="C" dataDxfId="246"/>
    <tableColumn id="9" xr3:uid="{B271450C-EFED-BF4B-BABE-74D3BFE53649}" name="A" dataDxfId="2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5" displayName="Table5" ref="N1:P179" totalsRowShown="0" headerRowDxfId="244" dataDxfId="242" headerRowBorderDxfId="243">
  <autoFilter ref="N1:P179" xr:uid="{00000000-0009-0000-0100-000005000000}"/>
  <tableColumns count="3">
    <tableColumn id="1" xr3:uid="{00000000-0010-0000-0100-000001000000}" name="الشهر" dataDxfId="241"/>
    <tableColumn id="2" xr3:uid="{00000000-0010-0000-0100-000002000000}" name="التدفقات" dataDxfId="240">
      <calculatedColumnFormula>SUMIFS(J1:J379,F1:F326,"&gt;="&amp;DATE(YEAR(N2),MONTH(N2),1),F1:F326,"&lt;="&amp;EOMONTH(N2,0))</calculatedColumnFormula>
    </tableColumn>
    <tableColumn id="3" xr3:uid="{65ECBA94-6E00-4F0B-B50B-C694C7A1A237}" name="رقم" dataDxfId="2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325" displayName="Table325" ref="E1:N167" totalsRowShown="0" headerRowDxfId="238" dataDxfId="236" headerRowBorderDxfId="237">
  <autoFilter ref="E1:N167" xr:uid="{00000000-0009-0000-0100-000001000000}"/>
  <tableColumns count="10">
    <tableColumn id="1" xr3:uid="{00000000-0010-0000-0200-000001000000}" name="المدة" dataDxfId="235"/>
    <tableColumn id="2" xr3:uid="{00000000-0010-0000-0200-000002000000}" name="تاريخ الأستحقاق" dataDxfId="234"/>
    <tableColumn id="3" xr3:uid="{00000000-0010-0000-0200-000003000000}" name="تاريخ السداد" dataDxfId="233"/>
    <tableColumn id="4" xr3:uid="{00000000-0010-0000-0200-000004000000}" name="القيمة الأسمية" dataDxfId="232"/>
    <tableColumn id="5" xr3:uid="{00000000-0010-0000-0200-000005000000}" name="صافي الربح" dataDxfId="231"/>
    <tableColumn id="6" xr3:uid="{00000000-0010-0000-0200-000006000000}" name="الدفعة" dataDxfId="230">
      <calculatedColumnFormula>SUM(H2:I2)</calculatedColumnFormula>
    </tableColumn>
    <tableColumn id="7" xr3:uid="{00000000-0010-0000-0200-000007000000}" name="الحالة" dataDxfId="229">
      <calculatedColumnFormula>IF(F2&lt;=TODAY(),"Check!","Waiting")</calculatedColumnFormula>
    </tableColumn>
    <tableColumn id="8" xr3:uid="{00000000-0010-0000-0200-000008000000}" name="C" dataDxfId="228"/>
    <tableColumn id="9" xr3:uid="{00000000-0010-0000-0200-000009000000}" name="أسم الصك" dataDxfId="227"/>
    <tableColumn id="10" xr3:uid="{00000000-0010-0000-0200-00000A000000}" name="النسبة السنوية" dataDxfId="2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537" displayName="Table537" ref="P1:Q1048576" totalsRowShown="0" headerRowDxfId="225" dataDxfId="223" headerRowBorderDxfId="224">
  <autoFilter ref="P1:Q1048576" xr:uid="{00000000-0009-0000-0100-000002000000}"/>
  <tableColumns count="2">
    <tableColumn id="1" xr3:uid="{00000000-0010-0000-0300-000001000000}" name="الشهر" dataDxfId="222"/>
    <tableColumn id="2" xr3:uid="{00000000-0010-0000-0300-000002000000}" name="التدفقات" dataDxfId="2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3258" displayName="Table3258" ref="E1:N123" totalsRowShown="0" headerRowDxfId="220" dataDxfId="218" headerRowBorderDxfId="219">
  <autoFilter ref="E1:N123" xr:uid="{00000000-0009-0000-0100-000007000000}"/>
  <tableColumns count="10">
    <tableColumn id="1" xr3:uid="{00000000-0010-0000-0400-000001000000}" name="المدة" dataDxfId="217"/>
    <tableColumn id="2" xr3:uid="{00000000-0010-0000-0400-000002000000}" name="تاريخ الأستحقاق" dataDxfId="216"/>
    <tableColumn id="3" xr3:uid="{00000000-0010-0000-0400-000003000000}" name="تاريخ السداد" dataDxfId="215"/>
    <tableColumn id="4" xr3:uid="{00000000-0010-0000-0400-000004000000}" name="القيمة الأسمية" dataDxfId="214"/>
    <tableColumn id="5" xr3:uid="{00000000-0010-0000-0400-000005000000}" name="صافي الربح" dataDxfId="213"/>
    <tableColumn id="6" xr3:uid="{00000000-0010-0000-0400-000006000000}" name="الدفعة" dataDxfId="212">
      <calculatedColumnFormula>SUM(H2:I2)</calculatedColumnFormula>
    </tableColumn>
    <tableColumn id="7" xr3:uid="{00000000-0010-0000-0400-000007000000}" name="الحالة" dataDxfId="211">
      <calculatedColumnFormula>IF(F2&lt;=TODAY(),"Check!","Waiting")</calculatedColumnFormula>
    </tableColumn>
    <tableColumn id="8" xr3:uid="{00000000-0010-0000-0400-000008000000}" name="C" dataDxfId="210"/>
    <tableColumn id="9" xr3:uid="{00000000-0010-0000-0400-000009000000}" name="أسم الصك" dataDxfId="209"/>
    <tableColumn id="10" xr3:uid="{00000000-0010-0000-0400-00000A000000}" name="النسبة السنوية" dataDxfId="2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5379" displayName="Table5379" ref="P1:Q1048576" totalsRowShown="0" headerRowDxfId="207" dataDxfId="205" headerRowBorderDxfId="206">
  <autoFilter ref="P1:Q1048576" xr:uid="{00000000-0009-0000-0100-000008000000}"/>
  <tableColumns count="2">
    <tableColumn id="1" xr3:uid="{00000000-0010-0000-0500-000001000000}" name="الشهر" dataDxfId="204"/>
    <tableColumn id="2" xr3:uid="{00000000-0010-0000-0500-000002000000}" name="التدفقات" dataDxfId="20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CE1CCA8-8AA5-4855-8C2B-EA65ABE2BF5C}" name="الجدول9" displayName="الجدول9" ref="A26:C27" totalsRowShown="0" headerRowBorderDxfId="202" tableBorderDxfId="201" totalsRowBorderDxfId="200">
  <autoFilter ref="A26:C27" xr:uid="{FCE1CCA8-8AA5-4855-8C2B-EA65ABE2BF5C}"/>
  <tableColumns count="3">
    <tableColumn id="1" xr3:uid="{EEDCBA5C-C97E-4C45-9F5A-D509DAF70DDB}" name="الفرص المتأخرة" dataDxfId="199">
      <calculatedColumnFormula>COUNTIF(K2:K300, "CHECK!")</calculatedColumnFormula>
    </tableColumn>
    <tableColumn id="2" xr3:uid="{5DE367D6-BDEC-47A1-BF66-6D6412EBB5B6}" name="الفرص النشطة" dataDxfId="198">
      <calculatedColumnFormula>COUNTIF(K2:K300, "WAITING")</calculatedColumnFormula>
    </tableColumn>
    <tableColumn id="3" xr3:uid="{8C03C4F2-212D-4B2F-BE09-3F161C2E8049}" name="الفرص المكتملة" dataDxfId="197">
      <calculatedColumnFormula>COUNTIF(K2:K300, "PAID")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52AA49A-6153-403A-9C20-4CB7A43827AF}" name="Table325851012" displayName="Table325851012" ref="E1:N110" totalsRowShown="0" headerRowDxfId="196" dataDxfId="194" headerRowBorderDxfId="195">
  <autoFilter ref="E1:N110" xr:uid="{00000000-0009-0000-0100-000007000000}"/>
  <tableColumns count="10">
    <tableColumn id="1" xr3:uid="{E0D32B27-B6E9-4C5E-A5E1-968FCB8C165D}" name="المدة" dataDxfId="193"/>
    <tableColumn id="2" xr3:uid="{CCE7D795-B78C-4EBF-B45A-60F2D7FB8E60}" name="تاريخ الأستحقاق" dataDxfId="192"/>
    <tableColumn id="3" xr3:uid="{FCF676BE-BC98-4C8D-B438-5A491840DC74}" name="تاريخ السداد" dataDxfId="191"/>
    <tableColumn id="4" xr3:uid="{255F3A97-41B9-4F21-9B89-DF2D850B90C1}" name="القيمة الأسمية" dataDxfId="190"/>
    <tableColumn id="5" xr3:uid="{4CE234DD-808B-4E5C-BD9D-FDAADD5161C1}" name="صافي الربح" dataDxfId="189"/>
    <tableColumn id="6" xr3:uid="{393F66E0-03D0-4D31-9A73-F3A532AB85FF}" name="الدفعة" dataDxfId="188">
      <calculatedColumnFormula>SUM(H2:I2)</calculatedColumnFormula>
    </tableColumn>
    <tableColumn id="7" xr3:uid="{F9FD1A39-B83B-4734-92E8-F7C12D371084}" name="الحالة" dataDxfId="187">
      <calculatedColumnFormula>IF(F2&lt;=TODAY(),"Check!","Waiting")</calculatedColumnFormula>
    </tableColumn>
    <tableColumn id="8" xr3:uid="{AF2DD6ED-2557-4DC1-9278-C81C616F5345}" name="C" dataDxfId="186"/>
    <tableColumn id="9" xr3:uid="{79F5624C-8712-45CC-A338-2AD56B6A57FF}" name="أسم الصك" dataDxfId="185"/>
    <tableColumn id="10" xr3:uid="{74E52F74-D61C-4E67-9788-0AAE05AE6A9C}" name="النسبة السنوية" dataDxfId="18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612837B-4B78-4EE2-9AE8-F8C1B832C090}" name="Table537971113" displayName="Table537971113" ref="P1:Q1048551" totalsRowShown="0" headerRowDxfId="183" dataDxfId="181" headerRowBorderDxfId="182">
  <autoFilter ref="P1:Q1048551" xr:uid="{00000000-0009-0000-0100-000008000000}"/>
  <tableColumns count="2">
    <tableColumn id="1" xr3:uid="{2FA342FF-15A5-4577-80D3-C856B6CE210E}" name="الشهر" dataDxfId="180"/>
    <tableColumn id="2" xr3:uid="{B686FADE-D9B1-449F-941E-E48022AABF9E}" name="التدفقات" dataDxfId="179">
      <calculatedColumnFormula>SUMIFS(J2:J301,F2:F301,"&gt;="&amp;DATE(YEAR(P2),MONTH(P2),1),F2:F301,"&lt;="&amp;EOMONTH(P2,0))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30B004-8FB7-49E1-A39A-8480C800773F}" name="Table32585" displayName="Table32585" ref="E1:N123" totalsRowShown="0" headerRowDxfId="178" dataDxfId="176" headerRowBorderDxfId="177">
  <autoFilter ref="E1:N123" xr:uid="{00000000-0009-0000-0100-000007000000}"/>
  <tableColumns count="10">
    <tableColumn id="1" xr3:uid="{1AF90375-D7E9-484F-A3E6-ABC3BC9F62BB}" name="المدة" dataDxfId="175"/>
    <tableColumn id="2" xr3:uid="{C9337D14-6882-4BC1-8B0F-61C41154A331}" name="تاريخ الأستحقاق" dataDxfId="174"/>
    <tableColumn id="3" xr3:uid="{3355C159-E04A-41C6-8B3F-7A116BD01D54}" name="تاريخ السداد" dataDxfId="173"/>
    <tableColumn id="4" xr3:uid="{35916B72-38BE-471E-90B9-EDCBF6995511}" name="القيمة الأسمية" dataDxfId="172"/>
    <tableColumn id="5" xr3:uid="{9EE516A4-260B-496B-83B3-4E5B37C8CFE7}" name="صافي الربح" dataDxfId="171"/>
    <tableColumn id="6" xr3:uid="{512BD912-0D59-450D-85CC-53F61A5738F1}" name="الدفعة" dataDxfId="170">
      <calculatedColumnFormula>SUM(H2:I2)</calculatedColumnFormula>
    </tableColumn>
    <tableColumn id="7" xr3:uid="{62F516BF-3863-47AB-B75B-049632007E7E}" name="الحالة" dataDxfId="169">
      <calculatedColumnFormula>IF(F2&lt;=TODAY(),"Check!","Waiting")</calculatedColumnFormula>
    </tableColumn>
    <tableColumn id="8" xr3:uid="{7E9051EE-C21D-4084-8811-49DD67565D65}" name="C" dataDxfId="168"/>
    <tableColumn id="9" xr3:uid="{BA51FFC1-7D36-407F-850C-57D9E79626B1}" name="أسم الصك" dataDxfId="167"/>
    <tableColumn id="10" xr3:uid="{E67BC6BB-EDC8-4C57-ADA6-28E344C10D4A}" name="النسبة السنوية" dataDxfId="16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46C31E-6FBD-4D6F-A371-B4B6C6B533D0}" name="Table53797" displayName="Table53797" ref="P1:Q1048551" totalsRowShown="0" headerRowDxfId="165" dataDxfId="163" headerRowBorderDxfId="164">
  <autoFilter ref="P1:Q1048551" xr:uid="{00000000-0009-0000-0100-000008000000}"/>
  <tableColumns count="2">
    <tableColumn id="1" xr3:uid="{7A13DE41-0844-4DE7-B927-5C4F6654E370}" name="الشهر" dataDxfId="162"/>
    <tableColumn id="2" xr3:uid="{D42B6586-AEA4-4FAB-9022-44642FD42A37}" name="التدفقات" dataDxfId="161">
      <calculatedColumnFormula>SUMIFS(J$2:J$1000, F$2:F$1000, "&gt;=" &amp; DATE(YEAR(P2), MONTH(P2), 1), F$2:F$1000, "&lt;=" &amp; EOMONTH(P2, 0))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95A9E7C-1BC2-4292-9323-34362A1C17BF}" name="Table32585101214" displayName="Table32585101214" ref="E1:N123" totalsRowShown="0" headerRowDxfId="160" dataDxfId="159">
  <autoFilter ref="E1:N123" xr:uid="{00000000-0009-0000-0100-000007000000}"/>
  <tableColumns count="10">
    <tableColumn id="1" xr3:uid="{DB0E1DA4-88BE-4DC5-8831-3B6C0F152E89}" name="المدة" dataDxfId="158"/>
    <tableColumn id="2" xr3:uid="{2F97FD7C-7720-4AA6-A837-5D034DA362CE}" name="تاريخ الأستحقاق" dataDxfId="157"/>
    <tableColumn id="3" xr3:uid="{5D9417D6-4689-4156-8BF9-CB4DB837E270}" name="تاريخ السداد" dataDxfId="156"/>
    <tableColumn id="4" xr3:uid="{AE93E5AD-8E3F-409E-8D28-F6A55B42B9DF}" name="القيمة الأسمية" dataDxfId="155"/>
    <tableColumn id="5" xr3:uid="{B02E26BB-C7E7-4694-941B-D57344E933AE}" name="صافي الربح" dataDxfId="154"/>
    <tableColumn id="6" xr3:uid="{59F8602B-9C5C-4AB8-9B57-EA32D5474CCC}" name="الدفعة" dataDxfId="153">
      <calculatedColumnFormula>SUM(H2:I2)</calculatedColumnFormula>
    </tableColumn>
    <tableColumn id="7" xr3:uid="{94D558B0-CAF1-4550-BDA4-AB0F1D95FE65}" name="الحالة" dataDxfId="152">
      <calculatedColumnFormula>IF(F2&lt;=TODAY(),"Check!","Waiting")</calculatedColumnFormula>
    </tableColumn>
    <tableColumn id="8" xr3:uid="{AB2EE620-CA71-4BDB-9C1C-C3D3BC2D4E43}" name="C" dataDxfId="151"/>
    <tableColumn id="9" xr3:uid="{A6ED9544-E0EC-445D-8080-F508FDA9AF4D}" name="أسم الصك" dataDxfId="150"/>
    <tableColumn id="10" xr3:uid="{5E01874E-6FED-40A2-8747-3F715FC8FC92}" name="النسبة السنوية" dataDxfId="14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A8358AD-BC75-41D9-8FE0-5B96DF000132}" name="Table53797111315" displayName="Table53797111315" ref="P1:Q1048576" totalsRowShown="0" headerRowDxfId="148" dataDxfId="147">
  <autoFilter ref="P1:Q1048576" xr:uid="{00000000-0009-0000-0100-000008000000}"/>
  <tableColumns count="2">
    <tableColumn id="1" xr3:uid="{E35CFB18-30C3-4634-89DC-580E55D12E72}" name="الشهر" dataDxfId="146"/>
    <tableColumn id="2" xr3:uid="{C1928F45-34AA-4CD0-BDED-0DDDAA395B18}" name="التدفقات" dataDxfId="14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2BF70B-1D83-404F-9877-D6353D044036}" name="Table3258510121411" displayName="Table3258510121411" ref="E1:N123" totalsRowShown="0" headerRowDxfId="144" dataDxfId="143">
  <autoFilter ref="E1:N123" xr:uid="{00000000-0009-0000-0100-000007000000}"/>
  <tableColumns count="10">
    <tableColumn id="1" xr3:uid="{6580FB7A-A6BD-4983-BD30-F5E9A832EEDB}" name="المدة" dataDxfId="142"/>
    <tableColumn id="2" xr3:uid="{9CF79FFF-0BD0-44CA-A9A5-CF6C7371D3CC}" name="تاريخ الأستحقاق" dataDxfId="141"/>
    <tableColumn id="3" xr3:uid="{4B71F415-D8D6-4222-B239-A45BAB9EF633}" name="تاريخ السداد" dataDxfId="140"/>
    <tableColumn id="4" xr3:uid="{EA7A8D14-3826-486F-A706-1FACC6B6E40A}" name="القيمة الأسمية" dataDxfId="139"/>
    <tableColumn id="5" xr3:uid="{00CEF4DC-520A-48E6-938B-A6E091D59D31}" name="صافي الربح" dataDxfId="138"/>
    <tableColumn id="6" xr3:uid="{658D0713-1919-4D88-81D2-77843A12CD7C}" name="الدفعة" dataDxfId="137">
      <calculatedColumnFormula>SUM(H2:I2)</calculatedColumnFormula>
    </tableColumn>
    <tableColumn id="7" xr3:uid="{FF8A82C8-AFE9-4204-B9EA-A0FCE64696F5}" name="الحالة" dataDxfId="136">
      <calculatedColumnFormula>IF(F2&lt;=TODAY(),"Check!","Waiting")</calculatedColumnFormula>
    </tableColumn>
    <tableColumn id="8" xr3:uid="{71147381-2464-453D-B566-20D3280B57A7}" name="C" dataDxfId="135"/>
    <tableColumn id="9" xr3:uid="{740E91A5-9BA5-4384-AE2C-837D33949558}" name="أسم الصك" dataDxfId="134"/>
    <tableColumn id="10" xr3:uid="{FCD0DF2A-894A-4391-A070-77B5A853A431}" name="النسبة السنوية" dataDxfId="13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49930C0-2A37-414C-A7FD-3076C10315DE}" name="Table5379711131516" displayName="Table5379711131516" ref="P1:Q1048576" totalsRowShown="0" headerRowDxfId="132" dataDxfId="131">
  <autoFilter ref="P1:Q1048576" xr:uid="{00000000-0009-0000-0100-000008000000}"/>
  <tableColumns count="2">
    <tableColumn id="1" xr3:uid="{7185EE19-9E4E-44E8-8696-89B6E04DCF19}" name="الشهر" dataDxfId="130"/>
    <tableColumn id="2" xr3:uid="{7907C26F-18E7-4F99-8C60-8F95AFD9476D}" name="التدفقات" dataDxfId="12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0DF97E9-9164-424E-965A-0EB92F52333C}" name="Table3258518" displayName="Table3258518" ref="E1:N123" totalsRowShown="0" headerRowDxfId="128" dataDxfId="126" headerRowBorderDxfId="127">
  <autoFilter ref="E1:N123" xr:uid="{00000000-0009-0000-0100-000007000000}"/>
  <tableColumns count="10">
    <tableColumn id="1" xr3:uid="{5230BA2B-C9A2-4510-8CE7-B97CC19DA135}" name="المدة" dataDxfId="125"/>
    <tableColumn id="2" xr3:uid="{22F9FA06-D6DE-435C-B449-63867F0D8589}" name="تاريخ الأستحقاق" dataDxfId="124"/>
    <tableColumn id="3" xr3:uid="{AF7A06F0-3F44-4155-B097-82E9FBF509B7}" name="تاريخ السداد" dataDxfId="123"/>
    <tableColumn id="4" xr3:uid="{A5A217A3-C31C-4E41-9E49-B8662835D62A}" name="القيمة الأسمية" dataDxfId="122"/>
    <tableColumn id="5" xr3:uid="{597F7445-4654-4C88-BBFB-302096C5920E}" name="صافي الربح" dataDxfId="121"/>
    <tableColumn id="6" xr3:uid="{853F0F40-72AE-4A8B-BDA0-926EDE30C3C3}" name="الدفعة" dataDxfId="120">
      <calculatedColumnFormula>SUM(H2:I2)</calculatedColumnFormula>
    </tableColumn>
    <tableColumn id="7" xr3:uid="{D440DC73-4AEB-40A7-A7B8-65D70C5A8CBD}" name="الحالة" dataDxfId="119">
      <calculatedColumnFormula>IF(F2&lt;=TODAY(),"Check!","Waiting")</calculatedColumnFormula>
    </tableColumn>
    <tableColumn id="8" xr3:uid="{42D4EC9E-13E5-4AEE-AF00-5A1C37BF6438}" name="C" dataDxfId="118"/>
    <tableColumn id="9" xr3:uid="{483EFB09-8311-44EE-A1A0-D64F17EB8087}" name="أسم الصك" dataDxfId="117"/>
    <tableColumn id="10" xr3:uid="{369FAA81-7E4E-43FA-A8D2-DC0EAA21A063}" name="النسبة السنوية" dataDxfId="11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ABBC56E-9B3A-478B-98B5-DED138A41353}" name="Table5379719" displayName="Table5379719" ref="P1:Q1048551" totalsRowShown="0" headerRowDxfId="115" dataDxfId="113" headerRowBorderDxfId="114">
  <autoFilter ref="P1:Q1048551" xr:uid="{00000000-0009-0000-0100-000008000000}"/>
  <tableColumns count="2">
    <tableColumn id="1" xr3:uid="{BB574577-D5D3-469C-B47A-8E8BF9E4263C}" name="الشهر" dataDxfId="112"/>
    <tableColumn id="2" xr3:uid="{F7359E8A-29D1-4ED8-B272-2B83374E95A8}" name="التدفقات" dataDxfId="111">
      <calculatedColumnFormula>SUMIFS(J2:J301,F2:F301,"&gt;="&amp;DATE(YEAR(P2),MONTH(P2),1),F2:F301,"&lt;="&amp;EOMONTH(P2,0))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B1:M142"/>
  <sheetViews>
    <sheetView workbookViewId="0">
      <selection activeCell="J13" sqref="J13"/>
    </sheetView>
  </sheetViews>
  <sheetFormatPr defaultRowHeight="15" x14ac:dyDescent="0.2"/>
  <cols>
    <col min="3" max="3" width="13.046875" bestFit="1" customWidth="1"/>
    <col min="4" max="4" width="7.93359375" customWidth="1"/>
    <col min="5" max="5" width="11.8359375" customWidth="1"/>
    <col min="6" max="6" width="13.046875" customWidth="1"/>
    <col min="7" max="7" width="9.68359375" customWidth="1"/>
    <col min="8" max="8" width="17.21875" bestFit="1" customWidth="1"/>
    <col min="9" max="9" width="16.94921875" bestFit="1" customWidth="1"/>
    <col min="10" max="10" width="14.66015625" bestFit="1" customWidth="1"/>
    <col min="11" max="11" width="16.6796875" bestFit="1" customWidth="1"/>
    <col min="12" max="13" width="11.02734375" bestFit="1" customWidth="1"/>
  </cols>
  <sheetData>
    <row r="1" spans="2:13" s="1" customFormat="1" x14ac:dyDescent="0.2"/>
    <row r="2" spans="2:13" s="1" customFormat="1" x14ac:dyDescent="0.2"/>
    <row r="3" spans="2:13" s="1" customFormat="1" ht="25.5" x14ac:dyDescent="0.35">
      <c r="F3" s="2" t="s">
        <v>0</v>
      </c>
    </row>
    <row r="4" spans="2:13" s="3" customFormat="1" ht="18.75" x14ac:dyDescent="0.25">
      <c r="C4" s="4" t="s">
        <v>1</v>
      </c>
      <c r="D4" s="4" t="s">
        <v>2</v>
      </c>
      <c r="E4" s="4" t="s">
        <v>3</v>
      </c>
      <c r="F4" s="5" t="s">
        <v>4</v>
      </c>
      <c r="G4" s="6" t="s">
        <v>5</v>
      </c>
      <c r="H4" s="4" t="s">
        <v>6</v>
      </c>
      <c r="I4" s="4" t="s">
        <v>7</v>
      </c>
      <c r="J4" s="4" t="s">
        <v>8</v>
      </c>
      <c r="K4" s="8" t="s">
        <v>9</v>
      </c>
      <c r="L4" s="8" t="s">
        <v>10</v>
      </c>
      <c r="M4" s="8" t="s">
        <v>11</v>
      </c>
    </row>
    <row r="5" spans="2:13" s="1" customFormat="1" x14ac:dyDescent="0.2">
      <c r="C5" s="7" t="s">
        <v>12</v>
      </c>
      <c r="D5" s="7">
        <f>Sukuk!A19</f>
        <v>0.7</v>
      </c>
      <c r="E5" s="7">
        <f>Sukuk!C23</f>
        <v>67</v>
      </c>
      <c r="F5" s="7">
        <v>1</v>
      </c>
      <c r="G5" s="7">
        <v>0</v>
      </c>
      <c r="H5" s="7">
        <f>Sukuk!B31</f>
        <v>29150.259999999995</v>
      </c>
      <c r="I5" s="7">
        <f>Sukuk!B23-Sukuk!B31</f>
        <v>54992.420000000013</v>
      </c>
      <c r="J5" s="7">
        <f>D5+H5</f>
        <v>29150.959999999995</v>
      </c>
      <c r="K5" s="9">
        <f>J5/100</f>
        <v>291.50959999999998</v>
      </c>
      <c r="L5" s="9">
        <f>J5-K5</f>
        <v>28859.450399999994</v>
      </c>
      <c r="M5" s="10">
        <f>(L5-D5)/D5</f>
        <v>41226.786285714283</v>
      </c>
    </row>
    <row r="6" spans="2:13" s="1" customFormat="1" x14ac:dyDescent="0.2">
      <c r="C6" s="7" t="s">
        <v>13</v>
      </c>
      <c r="D6" s="7" t="e">
        <f>#REF!</f>
        <v>#REF!</v>
      </c>
      <c r="E6" s="7" t="e">
        <f>#REF!</f>
        <v>#REF!</v>
      </c>
      <c r="F6" s="7">
        <v>0</v>
      </c>
      <c r="G6" s="7">
        <v>0</v>
      </c>
      <c r="H6" s="7" t="e">
        <f>#REF!</f>
        <v>#REF!</v>
      </c>
      <c r="I6" s="7" t="e">
        <f>#REF!-#REF!</f>
        <v>#REF!</v>
      </c>
      <c r="J6" s="7" t="e">
        <f>D6+H6</f>
        <v>#REF!</v>
      </c>
      <c r="K6" s="9" t="e">
        <f>J6/100</f>
        <v>#REF!</v>
      </c>
      <c r="L6" s="9" t="e">
        <f>J6-K6</f>
        <v>#REF!</v>
      </c>
      <c r="M6" s="10" t="e">
        <f>(L6-D6)/D6</f>
        <v>#REF!</v>
      </c>
    </row>
    <row r="7" spans="2:13" s="1" customFormat="1" x14ac:dyDescent="0.2">
      <c r="C7" s="7"/>
      <c r="D7" s="7" t="e">
        <f>SUM(D5:D6)</f>
        <v>#REF!</v>
      </c>
      <c r="E7" s="7" t="e">
        <f>SUM(E5:E6)</f>
        <v>#REF!</v>
      </c>
      <c r="F7" s="7">
        <f t="shared" ref="F7:L7" si="0">SUM(F5:F6)</f>
        <v>1</v>
      </c>
      <c r="G7" s="7">
        <f t="shared" si="0"/>
        <v>0</v>
      </c>
      <c r="H7" s="7" t="e">
        <f t="shared" si="0"/>
        <v>#REF!</v>
      </c>
      <c r="I7" s="7" t="e">
        <f t="shared" si="0"/>
        <v>#REF!</v>
      </c>
      <c r="J7" s="7" t="e">
        <f t="shared" si="0"/>
        <v>#REF!</v>
      </c>
      <c r="K7" s="9" t="e">
        <f>SUM(K5:K6)</f>
        <v>#REF!</v>
      </c>
      <c r="L7" s="7" t="e">
        <f t="shared" si="0"/>
        <v>#REF!</v>
      </c>
      <c r="M7" s="10" t="e">
        <f>(L7-D7)/D7</f>
        <v>#REF!</v>
      </c>
    </row>
    <row r="8" spans="2:13" s="1" customFormat="1" x14ac:dyDescent="0.2">
      <c r="F8" s="1" t="s">
        <v>14</v>
      </c>
      <c r="G8" s="1" t="s">
        <v>14</v>
      </c>
    </row>
    <row r="9" spans="2:13" s="1" customFormat="1" x14ac:dyDescent="0.2"/>
    <row r="10" spans="2:13" s="1" customFormat="1" x14ac:dyDescent="0.2"/>
    <row r="11" spans="2:13" s="1" customFormat="1" x14ac:dyDescent="0.2"/>
    <row r="12" spans="2:13" s="1" customFormat="1" x14ac:dyDescent="0.2">
      <c r="B12" s="1" t="s">
        <v>15</v>
      </c>
    </row>
    <row r="13" spans="2:13" s="1" customFormat="1" x14ac:dyDescent="0.2"/>
    <row r="14" spans="2:13" s="1" customFormat="1" x14ac:dyDescent="0.2"/>
    <row r="15" spans="2:13" s="1" customFormat="1" x14ac:dyDescent="0.2"/>
    <row r="16" spans="2:13" s="1" customFormat="1" x14ac:dyDescent="0.2"/>
    <row r="17" s="1" customFormat="1" x14ac:dyDescent="0.2"/>
    <row r="18" s="1" customFormat="1" x14ac:dyDescent="0.2"/>
    <row r="19" s="1" customFormat="1" x14ac:dyDescent="0.2"/>
    <row r="20" s="1" customFormat="1" x14ac:dyDescent="0.2"/>
    <row r="21" s="1" customFormat="1" x14ac:dyDescent="0.2"/>
    <row r="22" s="1" customFormat="1" x14ac:dyDescent="0.2"/>
    <row r="23" s="1" customFormat="1" x14ac:dyDescent="0.2"/>
    <row r="24" s="1" customFormat="1" x14ac:dyDescent="0.2"/>
    <row r="25" s="1" customFormat="1" x14ac:dyDescent="0.2"/>
    <row r="26" s="1" customFormat="1" x14ac:dyDescent="0.2"/>
    <row r="27" s="1" customFormat="1" x14ac:dyDescent="0.2"/>
    <row r="28" s="1" customFormat="1" x14ac:dyDescent="0.2"/>
    <row r="29" s="1" customFormat="1" x14ac:dyDescent="0.2"/>
    <row r="30" s="1" customFormat="1" x14ac:dyDescent="0.2"/>
    <row r="31" s="1" customFormat="1" x14ac:dyDescent="0.2"/>
    <row r="32" s="1" customFormat="1" x14ac:dyDescent="0.2"/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  <row r="40" s="1" customFormat="1" x14ac:dyDescent="0.2"/>
    <row r="41" s="1" customFormat="1" x14ac:dyDescent="0.2"/>
    <row r="42" s="1" customFormat="1" x14ac:dyDescent="0.2"/>
    <row r="43" s="1" customFormat="1" x14ac:dyDescent="0.2"/>
    <row r="44" s="1" customFormat="1" x14ac:dyDescent="0.2"/>
    <row r="45" s="1" customFormat="1" x14ac:dyDescent="0.2"/>
    <row r="46" s="1" customFormat="1" x14ac:dyDescent="0.2"/>
    <row r="47" s="1" customFormat="1" x14ac:dyDescent="0.2"/>
    <row r="48" s="1" customFormat="1" x14ac:dyDescent="0.2"/>
    <row r="49" s="1" customFormat="1" x14ac:dyDescent="0.2"/>
    <row r="50" s="1" customFormat="1" x14ac:dyDescent="0.2"/>
    <row r="51" s="1" customFormat="1" x14ac:dyDescent="0.2"/>
    <row r="52" s="1" customFormat="1" x14ac:dyDescent="0.2"/>
    <row r="53" s="1" customFormat="1" x14ac:dyDescent="0.2"/>
    <row r="54" s="1" customFormat="1" x14ac:dyDescent="0.2"/>
    <row r="55" s="1" customFormat="1" x14ac:dyDescent="0.2"/>
    <row r="56" s="1" customFormat="1" x14ac:dyDescent="0.2"/>
    <row r="57" s="1" customFormat="1" x14ac:dyDescent="0.2"/>
    <row r="58" s="1" customFormat="1" x14ac:dyDescent="0.2"/>
    <row r="59" s="1" customFormat="1" x14ac:dyDescent="0.2"/>
    <row r="60" s="1" customFormat="1" x14ac:dyDescent="0.2"/>
    <row r="61" s="1" customFormat="1" x14ac:dyDescent="0.2"/>
    <row r="62" s="1" customFormat="1" x14ac:dyDescent="0.2"/>
    <row r="63" s="1" customFormat="1" x14ac:dyDescent="0.2"/>
    <row r="64" s="1" customFormat="1" x14ac:dyDescent="0.2"/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  <row r="91" s="1" customFormat="1" x14ac:dyDescent="0.2"/>
    <row r="92" s="1" customFormat="1" x14ac:dyDescent="0.2"/>
    <row r="93" s="1" customFormat="1" x14ac:dyDescent="0.2"/>
    <row r="94" s="1" customFormat="1" x14ac:dyDescent="0.2"/>
    <row r="95" s="1" customFormat="1" x14ac:dyDescent="0.2"/>
    <row r="9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="1" customFormat="1" x14ac:dyDescent="0.2"/>
    <row r="114" s="1" customFormat="1" x14ac:dyDescent="0.2"/>
    <row r="115" s="1" customFormat="1" x14ac:dyDescent="0.2"/>
    <row r="116" s="1" customFormat="1" x14ac:dyDescent="0.2"/>
    <row r="117" s="1" customFormat="1" x14ac:dyDescent="0.2"/>
    <row r="118" s="1" customFormat="1" x14ac:dyDescent="0.2"/>
    <row r="119" s="1" customFormat="1" x14ac:dyDescent="0.2"/>
    <row r="120" s="1" customFormat="1" x14ac:dyDescent="0.2"/>
    <row r="121" s="1" customFormat="1" x14ac:dyDescent="0.2"/>
    <row r="122" s="1" customFormat="1" x14ac:dyDescent="0.2"/>
    <row r="123" s="1" customFormat="1" x14ac:dyDescent="0.2"/>
    <row r="124" s="1" customFormat="1" x14ac:dyDescent="0.2"/>
    <row r="125" s="1" customFormat="1" x14ac:dyDescent="0.2"/>
    <row r="126" s="1" customFormat="1" x14ac:dyDescent="0.2"/>
    <row r="127" s="1" customFormat="1" x14ac:dyDescent="0.2"/>
    <row r="128" s="1" customFormat="1" x14ac:dyDescent="0.2"/>
    <row r="129" s="1" customFormat="1" x14ac:dyDescent="0.2"/>
    <row r="130" s="1" customFormat="1" x14ac:dyDescent="0.2"/>
    <row r="131" s="1" customFormat="1" x14ac:dyDescent="0.2"/>
    <row r="132" s="1" customFormat="1" x14ac:dyDescent="0.2"/>
    <row r="133" s="1" customFormat="1" x14ac:dyDescent="0.2"/>
    <row r="134" s="1" customFormat="1" x14ac:dyDescent="0.2"/>
    <row r="135" s="1" customFormat="1" x14ac:dyDescent="0.2"/>
    <row r="136" s="1" customFormat="1" x14ac:dyDescent="0.2"/>
    <row r="137" s="1" customFormat="1" x14ac:dyDescent="0.2"/>
    <row r="138" s="1" customFormat="1" x14ac:dyDescent="0.2"/>
    <row r="139" s="1" customFormat="1" x14ac:dyDescent="0.2"/>
    <row r="140" s="1" customFormat="1" x14ac:dyDescent="0.2"/>
    <row r="141" s="1" customFormat="1" x14ac:dyDescent="0.2"/>
    <row r="142" s="1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326"/>
  <sheetViews>
    <sheetView topLeftCell="C1" zoomScaleNormal="100" workbookViewId="0">
      <selection activeCell="R31" sqref="R31:R35"/>
    </sheetView>
  </sheetViews>
  <sheetFormatPr defaultColWidth="15.6015625" defaultRowHeight="15" x14ac:dyDescent="0.2"/>
  <cols>
    <col min="1" max="3" width="24.48046875" style="12" customWidth="1"/>
    <col min="4" max="4" width="4.4375" style="12" customWidth="1"/>
    <col min="5" max="5" width="7.6640625" style="12" customWidth="1"/>
    <col min="6" max="10" width="18.6953125" style="12" customWidth="1"/>
    <col min="11" max="11" width="9.68359375" style="12" customWidth="1"/>
    <col min="12" max="12" width="5.6484375" style="12" customWidth="1"/>
    <col min="13" max="13" width="4.70703125" style="12" customWidth="1"/>
    <col min="14" max="14" width="12.64453125" style="12" customWidth="1"/>
    <col min="15" max="15" width="10.35546875" style="12" customWidth="1"/>
    <col min="16" max="16" width="4.03515625" style="12" customWidth="1"/>
    <col min="17" max="16384" width="15.6015625" style="12"/>
  </cols>
  <sheetData>
    <row r="1" spans="1:19" ht="23.1" customHeight="1" x14ac:dyDescent="0.2">
      <c r="A1" s="175" t="s">
        <v>16</v>
      </c>
      <c r="B1" s="175" t="s">
        <v>17</v>
      </c>
      <c r="C1" s="175" t="s">
        <v>18</v>
      </c>
      <c r="D1" s="173"/>
      <c r="E1" s="131" t="s">
        <v>19</v>
      </c>
      <c r="F1" s="132" t="s">
        <v>20</v>
      </c>
      <c r="G1" s="133" t="s">
        <v>21</v>
      </c>
      <c r="H1" s="134" t="s">
        <v>22</v>
      </c>
      <c r="I1" s="135" t="s">
        <v>23</v>
      </c>
      <c r="J1" s="135" t="s">
        <v>24</v>
      </c>
      <c r="K1" s="135" t="s">
        <v>25</v>
      </c>
      <c r="L1" s="136" t="s">
        <v>26</v>
      </c>
      <c r="M1" s="163" t="s">
        <v>27</v>
      </c>
      <c r="N1" s="137" t="s">
        <v>28</v>
      </c>
      <c r="O1" s="138" t="s">
        <v>29</v>
      </c>
      <c r="P1" s="156" t="s">
        <v>30</v>
      </c>
      <c r="Q1" s="107"/>
      <c r="R1" s="107"/>
      <c r="S1" s="107"/>
    </row>
    <row r="2" spans="1:19" ht="19.149999999999999" customHeight="1" x14ac:dyDescent="0.2">
      <c r="A2" s="213">
        <f>SUM(B78:C78)+B2</f>
        <v>844787.09000000008</v>
      </c>
      <c r="B2" s="211">
        <f>SUMIFS(J2:J326,F2:F326,"&lt;&gt;")+C2</f>
        <v>672337.44000000006</v>
      </c>
      <c r="C2" s="208">
        <f>SUM(Sukuk!C1+Sukuk!C2+MANAFA!C2+LENDO!C2+TAMEED!C2+DINAR!C2+SAFQA!C2+TARMEEZ!C2)</f>
        <v>34443.08</v>
      </c>
      <c r="D2" s="107"/>
      <c r="E2" s="56">
        <v>16</v>
      </c>
      <c r="F2" s="57"/>
      <c r="G2" s="25">
        <v>45484</v>
      </c>
      <c r="H2" s="58">
        <v>5000</v>
      </c>
      <c r="I2" s="59">
        <v>976.19</v>
      </c>
      <c r="J2" s="60">
        <f t="shared" ref="J2:J65" si="0">SUM(H2:I2)</f>
        <v>5976.1900000000005</v>
      </c>
      <c r="K2" s="56" t="s">
        <v>31</v>
      </c>
      <c r="L2" s="100"/>
      <c r="M2" s="31"/>
      <c r="N2" s="22">
        <v>45901</v>
      </c>
      <c r="O2" s="105">
        <f t="shared" ref="O2:O33" si="1">SUMIFS(J$2:J$1009, F$2:F$1009, "&gt;=" &amp; DATE(YEAR(N2), MONTH(N2), 1), F$2:F$1009, "&lt;=" &amp; EOMONTH(N2, 0))</f>
        <v>0</v>
      </c>
      <c r="P2" s="39">
        <v>0</v>
      </c>
      <c r="Q2" s="171"/>
      <c r="R2" s="107"/>
      <c r="S2" s="107"/>
    </row>
    <row r="3" spans="1:19" ht="19.149999999999999" customHeight="1" x14ac:dyDescent="0.2">
      <c r="A3" s="212"/>
      <c r="B3" s="212"/>
      <c r="C3" s="208"/>
      <c r="D3" s="107"/>
      <c r="E3" s="56">
        <v>18</v>
      </c>
      <c r="F3" s="63"/>
      <c r="G3" s="25">
        <v>45551</v>
      </c>
      <c r="H3" s="58">
        <v>5000</v>
      </c>
      <c r="I3" s="59">
        <v>1122.6600000000001</v>
      </c>
      <c r="J3" s="60">
        <f t="shared" si="0"/>
        <v>6122.66</v>
      </c>
      <c r="K3" s="56" t="s">
        <v>31</v>
      </c>
      <c r="L3" s="100"/>
      <c r="M3" s="31"/>
      <c r="N3" s="22">
        <v>45931</v>
      </c>
      <c r="O3" s="105">
        <f t="shared" si="1"/>
        <v>5843.34</v>
      </c>
      <c r="P3" s="39">
        <v>0</v>
      </c>
      <c r="Q3" s="107"/>
      <c r="R3" s="107"/>
      <c r="S3" s="107"/>
    </row>
    <row r="4" spans="1:19" ht="19.149999999999999" customHeight="1" x14ac:dyDescent="0.2">
      <c r="A4" s="112"/>
      <c r="B4" s="112"/>
      <c r="C4" s="112"/>
      <c r="D4" s="107"/>
      <c r="E4" s="56">
        <v>20</v>
      </c>
      <c r="F4" s="63"/>
      <c r="G4" s="25">
        <v>45575</v>
      </c>
      <c r="H4" s="58">
        <v>10000</v>
      </c>
      <c r="I4" s="59">
        <v>2378.56</v>
      </c>
      <c r="J4" s="60">
        <f t="shared" si="0"/>
        <v>12378.56</v>
      </c>
      <c r="K4" s="56" t="s">
        <v>31</v>
      </c>
      <c r="L4" s="100"/>
      <c r="M4" s="31"/>
      <c r="N4" s="22">
        <v>45962</v>
      </c>
      <c r="O4" s="105">
        <f t="shared" si="1"/>
        <v>10280.280000000001</v>
      </c>
      <c r="P4" s="39">
        <v>0</v>
      </c>
      <c r="Q4" s="107"/>
      <c r="R4" s="107"/>
      <c r="S4" s="107"/>
    </row>
    <row r="5" spans="1:19" ht="19.149999999999999" customHeight="1" x14ac:dyDescent="0.2">
      <c r="A5" s="27"/>
      <c r="B5" s="27"/>
      <c r="C5" s="27"/>
      <c r="D5" s="107"/>
      <c r="E5" s="56">
        <v>9</v>
      </c>
      <c r="F5" s="63"/>
      <c r="G5" s="25">
        <v>45286</v>
      </c>
      <c r="H5" s="58">
        <v>5000</v>
      </c>
      <c r="I5" s="59">
        <v>459</v>
      </c>
      <c r="J5" s="60">
        <f t="shared" si="0"/>
        <v>5459</v>
      </c>
      <c r="K5" s="56" t="s">
        <v>31</v>
      </c>
      <c r="L5" s="100"/>
      <c r="M5" s="31"/>
      <c r="N5" s="22">
        <v>45992</v>
      </c>
      <c r="O5" s="105">
        <f t="shared" si="1"/>
        <v>10729.61</v>
      </c>
      <c r="P5" s="39">
        <v>1</v>
      </c>
      <c r="Q5" s="107"/>
      <c r="R5" s="107"/>
      <c r="S5" s="107"/>
    </row>
    <row r="6" spans="1:19" ht="19.149999999999999" customHeight="1" x14ac:dyDescent="0.2">
      <c r="A6" s="27"/>
      <c r="B6" s="27"/>
      <c r="C6" s="27"/>
      <c r="D6" s="107"/>
      <c r="E6" s="56">
        <v>12</v>
      </c>
      <c r="F6" s="63"/>
      <c r="G6" s="25">
        <v>45286</v>
      </c>
      <c r="H6" s="58">
        <v>5000</v>
      </c>
      <c r="I6" s="59">
        <v>607.04999999999995</v>
      </c>
      <c r="J6" s="60">
        <f t="shared" si="0"/>
        <v>5607.05</v>
      </c>
      <c r="K6" s="56" t="s">
        <v>31</v>
      </c>
      <c r="L6" s="100"/>
      <c r="M6" s="31"/>
      <c r="N6" s="22">
        <v>46023</v>
      </c>
      <c r="O6" s="105">
        <f t="shared" si="1"/>
        <v>10463.540000000001</v>
      </c>
      <c r="P6" s="39">
        <v>2</v>
      </c>
      <c r="Q6" s="107"/>
      <c r="R6" s="107"/>
      <c r="S6" s="107"/>
    </row>
    <row r="7" spans="1:19" ht="19.149999999999999" customHeight="1" x14ac:dyDescent="0.2">
      <c r="A7" s="27"/>
      <c r="B7" s="27"/>
      <c r="C7" s="27"/>
      <c r="D7" s="107"/>
      <c r="E7" s="56">
        <v>9</v>
      </c>
      <c r="F7" s="63"/>
      <c r="G7" s="25">
        <v>45413</v>
      </c>
      <c r="H7" s="58">
        <v>20000</v>
      </c>
      <c r="I7" s="59">
        <v>1963.57</v>
      </c>
      <c r="J7" s="60">
        <f t="shared" si="0"/>
        <v>21963.57</v>
      </c>
      <c r="K7" s="56" t="s">
        <v>31</v>
      </c>
      <c r="L7" s="100" t="s">
        <v>32</v>
      </c>
      <c r="M7" s="31"/>
      <c r="N7" s="22">
        <v>46054</v>
      </c>
      <c r="O7" s="105">
        <f t="shared" si="1"/>
        <v>31643.95</v>
      </c>
      <c r="P7" s="39">
        <v>3</v>
      </c>
      <c r="Q7" s="107"/>
      <c r="R7" s="107"/>
      <c r="S7" s="107"/>
    </row>
    <row r="8" spans="1:19" ht="19.149999999999999" customHeight="1" x14ac:dyDescent="0.2">
      <c r="A8" s="27"/>
      <c r="B8" s="27"/>
      <c r="C8" s="27"/>
      <c r="D8" s="107"/>
      <c r="E8" s="56">
        <v>4</v>
      </c>
      <c r="F8" s="63"/>
      <c r="G8" s="25">
        <v>45351</v>
      </c>
      <c r="H8" s="58">
        <v>20000</v>
      </c>
      <c r="I8" s="59">
        <v>826.52</v>
      </c>
      <c r="J8" s="60">
        <f t="shared" si="0"/>
        <v>20826.52</v>
      </c>
      <c r="K8" s="56" t="s">
        <v>31</v>
      </c>
      <c r="L8" s="100"/>
      <c r="M8" s="31"/>
      <c r="N8" s="22">
        <v>46082</v>
      </c>
      <c r="O8" s="105">
        <f t="shared" si="1"/>
        <v>23128.39</v>
      </c>
      <c r="P8" s="39">
        <v>4</v>
      </c>
      <c r="Q8" s="107"/>
      <c r="R8" s="107"/>
      <c r="S8" s="107"/>
    </row>
    <row r="9" spans="1:19" ht="19.149999999999999" customHeight="1" x14ac:dyDescent="0.2">
      <c r="A9" s="27"/>
      <c r="B9" s="27"/>
      <c r="C9" s="27"/>
      <c r="D9" s="107"/>
      <c r="E9" s="56">
        <v>9</v>
      </c>
      <c r="F9" s="63"/>
      <c r="G9" s="25">
        <v>45519</v>
      </c>
      <c r="H9" s="58">
        <v>10000</v>
      </c>
      <c r="I9" s="59">
        <v>953.2</v>
      </c>
      <c r="J9" s="60">
        <f t="shared" si="0"/>
        <v>10953.2</v>
      </c>
      <c r="K9" s="56" t="s">
        <v>31</v>
      </c>
      <c r="L9" s="100" t="s">
        <v>32</v>
      </c>
      <c r="M9" s="31"/>
      <c r="N9" s="22">
        <v>46113</v>
      </c>
      <c r="O9" s="105">
        <f t="shared" si="1"/>
        <v>29364.49</v>
      </c>
      <c r="P9" s="39">
        <v>5</v>
      </c>
      <c r="Q9" s="107"/>
      <c r="R9" s="107"/>
      <c r="S9" s="107"/>
    </row>
    <row r="10" spans="1:19" ht="19.149999999999999" customHeight="1" x14ac:dyDescent="0.2">
      <c r="A10" s="27"/>
      <c r="B10" s="27"/>
      <c r="C10" s="27"/>
      <c r="D10" s="107"/>
      <c r="E10" s="56">
        <v>17</v>
      </c>
      <c r="F10" s="63"/>
      <c r="G10" s="25">
        <v>45742</v>
      </c>
      <c r="H10" s="58">
        <v>20000</v>
      </c>
      <c r="I10" s="59">
        <v>3744.86</v>
      </c>
      <c r="J10" s="60">
        <f t="shared" si="0"/>
        <v>23744.86</v>
      </c>
      <c r="K10" s="56" t="s">
        <v>31</v>
      </c>
      <c r="L10" s="100"/>
      <c r="M10" s="31"/>
      <c r="N10" s="22">
        <v>46143</v>
      </c>
      <c r="O10" s="105">
        <f t="shared" si="1"/>
        <v>18578.03</v>
      </c>
      <c r="P10" s="39">
        <v>6</v>
      </c>
      <c r="Q10" s="107"/>
      <c r="R10" s="107"/>
      <c r="S10" s="107"/>
    </row>
    <row r="11" spans="1:19" ht="19.149999999999999" customHeight="1" x14ac:dyDescent="0.2">
      <c r="A11" s="27"/>
      <c r="B11" s="27"/>
      <c r="C11" s="27"/>
      <c r="D11" s="107"/>
      <c r="E11" s="56">
        <v>28</v>
      </c>
      <c r="F11" s="63">
        <v>46147</v>
      </c>
      <c r="G11" s="25"/>
      <c r="H11" s="58">
        <v>5000</v>
      </c>
      <c r="I11" s="59">
        <v>1652.77</v>
      </c>
      <c r="J11" s="60">
        <f t="shared" si="0"/>
        <v>6652.77</v>
      </c>
      <c r="K11" s="56" t="str">
        <f ca="1">IF(F11&lt;=TODAY(),"Check!","Waiting")</f>
        <v>Waiting</v>
      </c>
      <c r="L11" s="100"/>
      <c r="M11" s="31"/>
      <c r="N11" s="22">
        <v>46174</v>
      </c>
      <c r="O11" s="105">
        <f t="shared" si="1"/>
        <v>28338.37</v>
      </c>
      <c r="P11" s="39">
        <v>7</v>
      </c>
      <c r="Q11" s="107"/>
      <c r="R11" s="107"/>
      <c r="S11" s="107"/>
    </row>
    <row r="12" spans="1:19" ht="19.149999999999999" customHeight="1" x14ac:dyDescent="0.2">
      <c r="A12" s="27"/>
      <c r="B12" s="27"/>
      <c r="C12" s="27"/>
      <c r="D12" s="107"/>
      <c r="E12" s="56">
        <v>9</v>
      </c>
      <c r="F12" s="63"/>
      <c r="G12" s="25">
        <v>45592</v>
      </c>
      <c r="H12" s="58">
        <v>5000</v>
      </c>
      <c r="I12" s="59">
        <v>463.86</v>
      </c>
      <c r="J12" s="60">
        <f t="shared" si="0"/>
        <v>5463.86</v>
      </c>
      <c r="K12" s="56" t="s">
        <v>31</v>
      </c>
      <c r="L12" s="100"/>
      <c r="M12" s="31"/>
      <c r="N12" s="22">
        <v>46204</v>
      </c>
      <c r="O12" s="105">
        <f t="shared" si="1"/>
        <v>6485.95</v>
      </c>
      <c r="P12" s="39">
        <v>8</v>
      </c>
      <c r="Q12" s="107"/>
      <c r="R12" s="107"/>
      <c r="S12" s="107"/>
    </row>
    <row r="13" spans="1:19" ht="19.149999999999999" customHeight="1" x14ac:dyDescent="0.2">
      <c r="A13" s="27"/>
      <c r="B13" s="27"/>
      <c r="C13" s="27"/>
      <c r="D13" s="107"/>
      <c r="E13" s="56">
        <v>14</v>
      </c>
      <c r="F13" s="63"/>
      <c r="G13" s="25">
        <v>45683</v>
      </c>
      <c r="H13" s="58">
        <v>5000</v>
      </c>
      <c r="I13" s="59">
        <v>631.95000000000005</v>
      </c>
      <c r="J13" s="60">
        <f t="shared" si="0"/>
        <v>5631.95</v>
      </c>
      <c r="K13" s="56" t="s">
        <v>31</v>
      </c>
      <c r="L13" s="100"/>
      <c r="M13" s="31"/>
      <c r="N13" s="22">
        <v>46235</v>
      </c>
      <c r="O13" s="105">
        <f t="shared" si="1"/>
        <v>19687.91</v>
      </c>
      <c r="P13" s="39">
        <v>9</v>
      </c>
      <c r="Q13" s="107"/>
      <c r="R13" s="107"/>
      <c r="S13" s="107"/>
    </row>
    <row r="14" spans="1:19" ht="19.149999999999999" customHeight="1" x14ac:dyDescent="0.2">
      <c r="A14" s="27"/>
      <c r="B14" s="27"/>
      <c r="C14" s="27"/>
      <c r="D14" s="107"/>
      <c r="E14" s="56">
        <v>38</v>
      </c>
      <c r="F14" s="63">
        <v>46481</v>
      </c>
      <c r="G14" s="25"/>
      <c r="H14" s="58">
        <v>5000</v>
      </c>
      <c r="I14" s="59">
        <v>2055.02</v>
      </c>
      <c r="J14" s="60">
        <f t="shared" si="0"/>
        <v>7055.02</v>
      </c>
      <c r="K14" s="56" t="str">
        <f ca="1">IF(F14&lt;=TODAY(),"Check!","Waiting")</f>
        <v>Waiting</v>
      </c>
      <c r="L14" s="100"/>
      <c r="M14" s="31"/>
      <c r="N14" s="22">
        <v>46266</v>
      </c>
      <c r="O14" s="105">
        <f t="shared" si="1"/>
        <v>0</v>
      </c>
      <c r="P14" s="39">
        <v>10</v>
      </c>
      <c r="Q14" s="107"/>
      <c r="R14" s="107"/>
      <c r="S14" s="107"/>
    </row>
    <row r="15" spans="1:19" ht="19.149999999999999" customHeight="1" x14ac:dyDescent="0.2">
      <c r="A15" s="27"/>
      <c r="B15" s="27"/>
      <c r="C15" s="27"/>
      <c r="D15" s="107"/>
      <c r="E15" s="56">
        <v>24</v>
      </c>
      <c r="F15" s="63"/>
      <c r="G15" s="25">
        <v>45452</v>
      </c>
      <c r="H15" s="58">
        <v>5000</v>
      </c>
      <c r="I15" s="59">
        <v>205.51</v>
      </c>
      <c r="J15" s="60">
        <f t="shared" si="0"/>
        <v>5205.51</v>
      </c>
      <c r="K15" s="56" t="s">
        <v>31</v>
      </c>
      <c r="L15" s="100"/>
      <c r="M15" s="31"/>
      <c r="N15" s="22">
        <v>46296</v>
      </c>
      <c r="O15" s="105">
        <f t="shared" si="1"/>
        <v>24086</v>
      </c>
      <c r="P15" s="39">
        <v>11</v>
      </c>
      <c r="Q15" s="107"/>
      <c r="R15" s="107"/>
      <c r="S15" s="107"/>
    </row>
    <row r="16" spans="1:19" ht="19.149999999999999" customHeight="1" x14ac:dyDescent="0.2">
      <c r="A16" s="27"/>
      <c r="B16" s="27"/>
      <c r="C16" s="27"/>
      <c r="D16" s="107"/>
      <c r="E16" s="56">
        <v>16</v>
      </c>
      <c r="F16" s="63"/>
      <c r="G16" s="25">
        <v>45812</v>
      </c>
      <c r="H16" s="58">
        <v>5000</v>
      </c>
      <c r="I16" s="59">
        <v>713.33</v>
      </c>
      <c r="J16" s="60">
        <f t="shared" ref="J16" si="2">SUM(H16:I16)</f>
        <v>5713.33</v>
      </c>
      <c r="K16" s="56" t="s">
        <v>31</v>
      </c>
      <c r="L16" s="162" t="s">
        <v>33</v>
      </c>
      <c r="M16" s="31"/>
      <c r="N16" s="22">
        <v>46327</v>
      </c>
      <c r="O16" s="105">
        <f t="shared" si="1"/>
        <v>12083.619999999999</v>
      </c>
      <c r="P16" s="39">
        <v>12</v>
      </c>
      <c r="Q16" s="107"/>
      <c r="R16" s="107"/>
      <c r="S16" s="107"/>
    </row>
    <row r="17" spans="1:19" ht="19.149999999999999" customHeight="1" x14ac:dyDescent="0.2">
      <c r="A17" s="27"/>
      <c r="B17" s="27"/>
      <c r="C17" s="27"/>
      <c r="D17" s="107"/>
      <c r="E17" s="56">
        <v>6</v>
      </c>
      <c r="F17" s="63"/>
      <c r="G17" s="25">
        <v>45512</v>
      </c>
      <c r="H17" s="58">
        <v>10000</v>
      </c>
      <c r="I17" s="59">
        <v>569.01</v>
      </c>
      <c r="J17" s="60">
        <f t="shared" si="0"/>
        <v>10569.01</v>
      </c>
      <c r="K17" s="56" t="s">
        <v>31</v>
      </c>
      <c r="L17" s="100"/>
      <c r="M17" s="31"/>
      <c r="N17" s="22">
        <v>46357</v>
      </c>
      <c r="O17" s="105">
        <f t="shared" si="1"/>
        <v>7297.5</v>
      </c>
      <c r="P17" s="39">
        <v>13</v>
      </c>
      <c r="Q17" s="107"/>
      <c r="R17" s="107"/>
      <c r="S17" s="107"/>
    </row>
    <row r="18" spans="1:19" ht="19.149999999999999" customHeight="1" x14ac:dyDescent="0.2">
      <c r="A18" s="27"/>
      <c r="B18" s="27"/>
      <c r="C18" s="27"/>
      <c r="D18" s="107"/>
      <c r="E18" s="56">
        <v>9</v>
      </c>
      <c r="F18" s="63"/>
      <c r="G18" s="25">
        <v>45600</v>
      </c>
      <c r="H18" s="58">
        <v>5000</v>
      </c>
      <c r="I18" s="59">
        <v>390.38</v>
      </c>
      <c r="J18" s="60">
        <f t="shared" si="0"/>
        <v>5390.38</v>
      </c>
      <c r="K18" s="56" t="s">
        <v>31</v>
      </c>
      <c r="L18" s="100"/>
      <c r="M18" s="31"/>
      <c r="N18" s="22">
        <v>46388</v>
      </c>
      <c r="O18" s="105">
        <f t="shared" si="1"/>
        <v>6547.1</v>
      </c>
      <c r="P18" s="39">
        <v>14</v>
      </c>
      <c r="Q18" s="107"/>
      <c r="R18" s="107"/>
      <c r="S18" s="107"/>
    </row>
    <row r="19" spans="1:19" ht="19.149999999999999" customHeight="1" x14ac:dyDescent="0.2">
      <c r="A19" s="27"/>
      <c r="B19" s="27"/>
      <c r="C19" s="27"/>
      <c r="D19" s="107"/>
      <c r="E19" s="56">
        <v>10</v>
      </c>
      <c r="F19" s="63"/>
      <c r="G19" s="25">
        <v>45669</v>
      </c>
      <c r="H19" s="58">
        <v>5000</v>
      </c>
      <c r="I19" s="59">
        <v>428.76</v>
      </c>
      <c r="J19" s="60">
        <f t="shared" si="0"/>
        <v>5428.76</v>
      </c>
      <c r="K19" s="56" t="s">
        <v>31</v>
      </c>
      <c r="L19" s="100"/>
      <c r="M19" s="31"/>
      <c r="N19" s="22">
        <v>46419</v>
      </c>
      <c r="O19" s="105">
        <f t="shared" si="1"/>
        <v>24220</v>
      </c>
      <c r="P19" s="39">
        <v>15</v>
      </c>
      <c r="Q19" s="107"/>
      <c r="R19" s="107"/>
      <c r="S19" s="107"/>
    </row>
    <row r="20" spans="1:19" ht="19.149999999999999" customHeight="1" x14ac:dyDescent="0.2">
      <c r="A20" s="27"/>
      <c r="B20" s="27"/>
      <c r="C20" s="27"/>
      <c r="D20" s="107"/>
      <c r="E20" s="56">
        <v>6</v>
      </c>
      <c r="F20" s="63"/>
      <c r="G20" s="25">
        <v>45561</v>
      </c>
      <c r="H20" s="58">
        <v>5000</v>
      </c>
      <c r="I20" s="59">
        <v>300.25</v>
      </c>
      <c r="J20" s="60">
        <f t="shared" si="0"/>
        <v>5300.25</v>
      </c>
      <c r="K20" s="56" t="s">
        <v>31</v>
      </c>
      <c r="L20" s="100"/>
      <c r="M20" s="31"/>
      <c r="N20" s="22">
        <v>46447</v>
      </c>
      <c r="O20" s="105">
        <f t="shared" si="1"/>
        <v>37672.509999999995</v>
      </c>
      <c r="P20" s="39">
        <v>16</v>
      </c>
      <c r="Q20" s="107"/>
      <c r="R20" s="107"/>
      <c r="S20" s="107"/>
    </row>
    <row r="21" spans="1:19" ht="19.149999999999999" customHeight="1" x14ac:dyDescent="0.2">
      <c r="A21" s="27"/>
      <c r="B21" s="27"/>
      <c r="C21" s="27"/>
      <c r="D21" s="107"/>
      <c r="E21" s="56">
        <v>9</v>
      </c>
      <c r="F21" s="63"/>
      <c r="G21" s="25">
        <v>45655</v>
      </c>
      <c r="H21" s="58">
        <v>5000</v>
      </c>
      <c r="I21" s="59">
        <v>458.24</v>
      </c>
      <c r="J21" s="60">
        <f t="shared" si="0"/>
        <v>5458.24</v>
      </c>
      <c r="K21" s="56" t="s">
        <v>31</v>
      </c>
      <c r="L21" s="100"/>
      <c r="M21" s="31"/>
      <c r="N21" s="22">
        <v>46478</v>
      </c>
      <c r="O21" s="105">
        <f t="shared" si="1"/>
        <v>7055.02</v>
      </c>
      <c r="P21" s="39">
        <v>17</v>
      </c>
      <c r="Q21" s="107"/>
      <c r="R21" s="107"/>
      <c r="S21" s="107"/>
    </row>
    <row r="22" spans="1:19" ht="19.149999999999999" customHeight="1" x14ac:dyDescent="0.2">
      <c r="A22" s="107"/>
      <c r="B22" s="107"/>
      <c r="C22" s="107"/>
      <c r="D22" s="107"/>
      <c r="E22" s="56">
        <v>6</v>
      </c>
      <c r="F22" s="63"/>
      <c r="G22" s="25">
        <v>45565</v>
      </c>
      <c r="H22" s="58">
        <v>5000</v>
      </c>
      <c r="I22" s="59">
        <v>280</v>
      </c>
      <c r="J22" s="60">
        <f t="shared" si="0"/>
        <v>5280</v>
      </c>
      <c r="K22" s="56" t="s">
        <v>31</v>
      </c>
      <c r="L22" s="100"/>
      <c r="M22" s="31"/>
      <c r="N22" s="22">
        <v>46508</v>
      </c>
      <c r="O22" s="105">
        <f t="shared" si="1"/>
        <v>18844.23</v>
      </c>
      <c r="P22" s="39">
        <v>18</v>
      </c>
      <c r="Q22" s="107"/>
      <c r="R22" s="107"/>
      <c r="S22" s="107"/>
    </row>
    <row r="23" spans="1:19" ht="19.149999999999999" customHeight="1" x14ac:dyDescent="0.2">
      <c r="A23" s="172"/>
      <c r="B23" s="172"/>
      <c r="C23" s="172"/>
      <c r="D23" s="107"/>
      <c r="E23" s="56">
        <v>9</v>
      </c>
      <c r="F23" s="63"/>
      <c r="G23" s="25">
        <v>45649</v>
      </c>
      <c r="H23" s="58">
        <v>5000</v>
      </c>
      <c r="I23" s="59">
        <v>431.37</v>
      </c>
      <c r="J23" s="60">
        <f t="shared" si="0"/>
        <v>5431.37</v>
      </c>
      <c r="K23" s="56" t="s">
        <v>31</v>
      </c>
      <c r="L23" s="100"/>
      <c r="M23" s="31"/>
      <c r="N23" s="22">
        <v>46539</v>
      </c>
      <c r="O23" s="105">
        <f t="shared" si="1"/>
        <v>10287</v>
      </c>
      <c r="P23" s="39">
        <v>19</v>
      </c>
      <c r="Q23" s="107"/>
      <c r="R23" s="107"/>
      <c r="S23" s="107"/>
    </row>
    <row r="24" spans="1:19" ht="19.149999999999999" customHeight="1" x14ac:dyDescent="0.2">
      <c r="A24" s="210"/>
      <c r="B24" s="210"/>
      <c r="C24" s="210"/>
      <c r="D24" s="172"/>
      <c r="E24" s="56">
        <v>13</v>
      </c>
      <c r="F24" s="63">
        <v>45792</v>
      </c>
      <c r="G24" s="25"/>
      <c r="H24" s="58">
        <v>5000</v>
      </c>
      <c r="I24" s="59">
        <v>610.29</v>
      </c>
      <c r="J24" s="60">
        <f t="shared" si="0"/>
        <v>5610.29</v>
      </c>
      <c r="K24" s="56" t="str">
        <f ca="1">IF(F24&lt;=TODAY(),"Check!","Waiting")</f>
        <v>Check!</v>
      </c>
      <c r="L24" s="100" t="s">
        <v>34</v>
      </c>
      <c r="M24" s="31"/>
      <c r="N24" s="22">
        <v>46569</v>
      </c>
      <c r="O24" s="105">
        <f t="shared" si="1"/>
        <v>42606.080000000002</v>
      </c>
      <c r="P24" s="39">
        <v>20</v>
      </c>
      <c r="Q24" s="107"/>
      <c r="R24" s="107"/>
      <c r="S24" s="107"/>
    </row>
    <row r="25" spans="1:19" ht="19.149999999999999" customHeight="1" x14ac:dyDescent="0.2">
      <c r="A25" s="209"/>
      <c r="B25" s="209"/>
      <c r="C25" s="209"/>
      <c r="D25" s="172"/>
      <c r="E25" s="56">
        <v>24</v>
      </c>
      <c r="F25" s="63"/>
      <c r="G25" s="25">
        <v>45705</v>
      </c>
      <c r="H25" s="58">
        <v>5000</v>
      </c>
      <c r="I25" s="59">
        <v>481.39</v>
      </c>
      <c r="J25" s="60">
        <f t="shared" si="0"/>
        <v>5481.39</v>
      </c>
      <c r="K25" s="56" t="s">
        <v>31</v>
      </c>
      <c r="L25" s="100"/>
      <c r="M25" s="31"/>
      <c r="N25" s="22">
        <v>46600</v>
      </c>
      <c r="O25" s="105">
        <f t="shared" si="1"/>
        <v>36468</v>
      </c>
      <c r="P25" s="39">
        <v>21</v>
      </c>
      <c r="Q25" s="107"/>
      <c r="R25" s="107"/>
      <c r="S25" s="107"/>
    </row>
    <row r="26" spans="1:19" ht="19.149999999999999" customHeight="1" x14ac:dyDescent="0.2">
      <c r="A26" s="209"/>
      <c r="B26" s="209"/>
      <c r="C26" s="209"/>
      <c r="D26" s="172"/>
      <c r="E26" s="56">
        <v>24</v>
      </c>
      <c r="F26" s="63">
        <v>46140</v>
      </c>
      <c r="G26" s="25"/>
      <c r="H26" s="58">
        <v>5000</v>
      </c>
      <c r="I26" s="59">
        <v>1151.3399999999999</v>
      </c>
      <c r="J26" s="60">
        <f t="shared" si="0"/>
        <v>6151.34</v>
      </c>
      <c r="K26" s="56" t="str">
        <f ca="1">IF(F26&lt;=TODAY(),"Check!","Waiting")</f>
        <v>Waiting</v>
      </c>
      <c r="L26" s="100"/>
      <c r="M26" s="31"/>
      <c r="N26" s="22">
        <v>46631</v>
      </c>
      <c r="O26" s="105">
        <f t="shared" si="1"/>
        <v>13216.119999999999</v>
      </c>
      <c r="P26" s="39">
        <v>22</v>
      </c>
      <c r="Q26" s="107"/>
      <c r="R26" s="107"/>
      <c r="S26" s="107"/>
    </row>
    <row r="27" spans="1:19" ht="19.149999999999999" customHeight="1" x14ac:dyDescent="0.2">
      <c r="A27" s="209"/>
      <c r="B27" s="209"/>
      <c r="C27" s="209"/>
      <c r="D27" s="172"/>
      <c r="E27" s="56">
        <v>17</v>
      </c>
      <c r="F27" s="63"/>
      <c r="G27" s="25">
        <v>45922</v>
      </c>
      <c r="H27" s="58">
        <v>5000</v>
      </c>
      <c r="I27" s="59">
        <v>936.94</v>
      </c>
      <c r="J27" s="60">
        <f t="shared" si="0"/>
        <v>5936.9400000000005</v>
      </c>
      <c r="K27" s="56" t="s">
        <v>31</v>
      </c>
      <c r="L27" s="100"/>
      <c r="M27" s="61" t="s">
        <v>35</v>
      </c>
      <c r="N27" s="22">
        <v>46661</v>
      </c>
      <c r="O27" s="105">
        <f t="shared" si="1"/>
        <v>0</v>
      </c>
      <c r="P27" s="39">
        <v>23</v>
      </c>
      <c r="Q27" s="107"/>
      <c r="R27" s="107"/>
      <c r="S27" s="107"/>
    </row>
    <row r="28" spans="1:19" ht="19.149999999999999" customHeight="1" x14ac:dyDescent="0.2">
      <c r="A28" s="209"/>
      <c r="B28" s="209"/>
      <c r="C28" s="209"/>
      <c r="D28" s="172"/>
      <c r="E28" s="56">
        <v>17</v>
      </c>
      <c r="F28" s="63">
        <v>45931</v>
      </c>
      <c r="G28" s="25"/>
      <c r="H28" s="58">
        <v>5000</v>
      </c>
      <c r="I28" s="59">
        <v>843.34</v>
      </c>
      <c r="J28" s="60">
        <f>SUM(H28:I28)</f>
        <v>5843.34</v>
      </c>
      <c r="K28" s="56" t="s">
        <v>31</v>
      </c>
      <c r="L28" s="100"/>
      <c r="M28" s="31" t="s">
        <v>35</v>
      </c>
      <c r="N28" s="22">
        <v>46692</v>
      </c>
      <c r="O28" s="105">
        <f t="shared" si="1"/>
        <v>39303.83</v>
      </c>
      <c r="P28" s="39">
        <v>24</v>
      </c>
      <c r="Q28" s="107"/>
      <c r="R28" s="107"/>
      <c r="S28" s="107"/>
    </row>
    <row r="29" spans="1:19" ht="19.149999999999999" customHeight="1" x14ac:dyDescent="0.2">
      <c r="A29" s="209"/>
      <c r="B29" s="209"/>
      <c r="C29" s="209"/>
      <c r="D29" s="27"/>
      <c r="E29" s="56">
        <v>13</v>
      </c>
      <c r="F29" s="63"/>
      <c r="G29" s="25">
        <v>45811</v>
      </c>
      <c r="H29" s="58">
        <v>5000</v>
      </c>
      <c r="I29" s="59">
        <v>622.41</v>
      </c>
      <c r="J29" s="60">
        <f>SUM(H29:I29)</f>
        <v>5622.41</v>
      </c>
      <c r="K29" s="56" t="s">
        <v>31</v>
      </c>
      <c r="L29" s="162" t="s">
        <v>36</v>
      </c>
      <c r="M29" s="31"/>
      <c r="N29" s="22">
        <v>46722</v>
      </c>
      <c r="O29" s="105">
        <f t="shared" si="1"/>
        <v>39263.230000000003</v>
      </c>
      <c r="P29" s="39">
        <v>25</v>
      </c>
      <c r="Q29" s="107"/>
      <c r="R29" s="107"/>
      <c r="S29" s="107"/>
    </row>
    <row r="30" spans="1:19" ht="19.149999999999999" customHeight="1" x14ac:dyDescent="0.2">
      <c r="A30" s="209" t="s">
        <v>37</v>
      </c>
      <c r="B30" s="209"/>
      <c r="C30" s="209"/>
      <c r="D30" s="172"/>
      <c r="E30" s="56">
        <v>24</v>
      </c>
      <c r="F30" s="63">
        <v>46145</v>
      </c>
      <c r="G30" s="25"/>
      <c r="H30" s="58">
        <v>5000</v>
      </c>
      <c r="I30" s="59">
        <v>1251.93</v>
      </c>
      <c r="J30" s="60">
        <f t="shared" si="0"/>
        <v>6251.93</v>
      </c>
      <c r="K30" s="56" t="str">
        <f ca="1">IF(F30&lt;=TODAY(),"Check!","Waiting")</f>
        <v>Waiting</v>
      </c>
      <c r="L30" s="100"/>
      <c r="M30" s="31"/>
      <c r="N30" s="22">
        <v>46753</v>
      </c>
      <c r="O30" s="105">
        <f t="shared" si="1"/>
        <v>0</v>
      </c>
      <c r="P30" s="39">
        <v>26</v>
      </c>
      <c r="Q30" s="107"/>
      <c r="R30" s="107"/>
      <c r="S30" s="107"/>
    </row>
    <row r="31" spans="1:19" ht="19.149999999999999" customHeight="1" x14ac:dyDescent="0.2">
      <c r="A31" s="209" t="s">
        <v>38</v>
      </c>
      <c r="B31" s="209"/>
      <c r="C31" s="209"/>
      <c r="D31" s="172"/>
      <c r="E31" s="56">
        <v>9</v>
      </c>
      <c r="F31" s="63"/>
      <c r="G31" s="25">
        <v>45753</v>
      </c>
      <c r="H31" s="58">
        <v>5000</v>
      </c>
      <c r="I31" s="59">
        <v>341.49</v>
      </c>
      <c r="J31" s="60">
        <f t="shared" si="0"/>
        <v>5341.49</v>
      </c>
      <c r="K31" s="56" t="s">
        <v>31</v>
      </c>
      <c r="L31" s="100"/>
      <c r="M31" s="31"/>
      <c r="N31" s="22">
        <v>46784</v>
      </c>
      <c r="O31" s="105">
        <f t="shared" si="1"/>
        <v>13760.06</v>
      </c>
      <c r="P31" s="39">
        <v>27</v>
      </c>
      <c r="Q31" s="107"/>
      <c r="R31" s="107"/>
      <c r="S31" s="107"/>
    </row>
    <row r="32" spans="1:19" ht="19.149999999999999" customHeight="1" x14ac:dyDescent="0.2">
      <c r="A32" s="107"/>
      <c r="B32" s="107"/>
      <c r="C32" s="107"/>
      <c r="D32" s="107"/>
      <c r="E32" s="56">
        <v>18</v>
      </c>
      <c r="F32" s="63">
        <v>46196</v>
      </c>
      <c r="G32" s="25"/>
      <c r="H32" s="58">
        <v>20000</v>
      </c>
      <c r="I32" s="59">
        <v>2154.87</v>
      </c>
      <c r="J32" s="60">
        <f t="shared" si="0"/>
        <v>22154.87</v>
      </c>
      <c r="K32" s="56" t="str">
        <f t="shared" ref="K32:K45" ca="1" si="3">IF(F32&lt;=TODAY(),"Check!","Waiting")</f>
        <v>Waiting</v>
      </c>
      <c r="L32" s="100"/>
      <c r="M32" s="31"/>
      <c r="N32" s="22">
        <v>46813</v>
      </c>
      <c r="O32" s="105">
        <f t="shared" si="1"/>
        <v>34726.230000000003</v>
      </c>
      <c r="P32" s="39">
        <v>28</v>
      </c>
      <c r="Q32" s="107"/>
      <c r="R32" s="107"/>
      <c r="S32" s="107"/>
    </row>
    <row r="33" spans="1:19" ht="19.149999999999999" customHeight="1" x14ac:dyDescent="0.2">
      <c r="A33" s="107"/>
      <c r="B33" s="107"/>
      <c r="C33" s="107"/>
      <c r="D33" s="107"/>
      <c r="E33" s="56">
        <v>30</v>
      </c>
      <c r="F33" s="63">
        <v>46110</v>
      </c>
      <c r="G33" s="25"/>
      <c r="H33" s="58">
        <v>8000</v>
      </c>
      <c r="I33" s="59">
        <v>2571.94</v>
      </c>
      <c r="J33" s="60">
        <f t="shared" si="0"/>
        <v>10571.94</v>
      </c>
      <c r="K33" s="56" t="str">
        <f t="shared" ca="1" si="3"/>
        <v>Waiting</v>
      </c>
      <c r="L33" s="100"/>
      <c r="M33" s="31"/>
      <c r="N33" s="22">
        <v>46844</v>
      </c>
      <c r="O33" s="105">
        <f t="shared" si="1"/>
        <v>0</v>
      </c>
      <c r="P33" s="39">
        <v>29</v>
      </c>
      <c r="Q33" s="107"/>
      <c r="R33" s="107"/>
      <c r="S33" s="107"/>
    </row>
    <row r="34" spans="1:19" ht="19.149999999999999" customHeight="1" x14ac:dyDescent="0.2">
      <c r="A34" s="27"/>
      <c r="B34" s="27"/>
      <c r="C34" s="27"/>
      <c r="D34" s="107"/>
      <c r="E34" s="56">
        <v>12</v>
      </c>
      <c r="F34" s="63">
        <v>46021</v>
      </c>
      <c r="G34" s="25"/>
      <c r="H34" s="58">
        <v>4000</v>
      </c>
      <c r="I34" s="59">
        <v>396.34</v>
      </c>
      <c r="J34" s="60">
        <f t="shared" si="0"/>
        <v>4396.34</v>
      </c>
      <c r="K34" s="56" t="str">
        <f t="shared" ca="1" si="3"/>
        <v>Waiting</v>
      </c>
      <c r="L34" s="100"/>
      <c r="M34" s="31"/>
      <c r="N34" s="22">
        <v>46874</v>
      </c>
      <c r="O34" s="105">
        <f t="shared" ref="O34:O65" si="4">SUMIFS(J$2:J$1009, F$2:F$1009, "&gt;=" &amp; DATE(YEAR(N34), MONTH(N34), 1), F$2:F$1009, "&lt;=" &amp; EOMONTH(N34, 0))</f>
        <v>7441.1900000000005</v>
      </c>
      <c r="P34" s="39">
        <v>30</v>
      </c>
      <c r="Q34" s="107"/>
      <c r="R34" s="107"/>
      <c r="S34" s="107"/>
    </row>
    <row r="35" spans="1:19" ht="19.149999999999999" customHeight="1" x14ac:dyDescent="0.2">
      <c r="A35" s="107"/>
      <c r="B35" s="107"/>
      <c r="C35" s="107"/>
      <c r="D35" s="107"/>
      <c r="E35" s="56">
        <v>9</v>
      </c>
      <c r="F35" s="63"/>
      <c r="G35" s="25">
        <v>45901</v>
      </c>
      <c r="H35" s="58">
        <v>5000</v>
      </c>
      <c r="I35" s="59">
        <v>532.94000000000005</v>
      </c>
      <c r="J35" s="60">
        <f>SUM(H35:I35)</f>
        <v>5532.9400000000005</v>
      </c>
      <c r="K35" s="56" t="s">
        <v>31</v>
      </c>
      <c r="L35" s="162" t="s">
        <v>39</v>
      </c>
      <c r="M35" s="61" t="s">
        <v>40</v>
      </c>
      <c r="N35" s="22">
        <v>46905</v>
      </c>
      <c r="O35" s="105">
        <f t="shared" si="4"/>
        <v>0</v>
      </c>
      <c r="P35" s="39">
        <v>31</v>
      </c>
      <c r="Q35" s="107"/>
      <c r="R35" s="107"/>
      <c r="S35" s="107"/>
    </row>
    <row r="36" spans="1:19" ht="19.149999999999999" customHeight="1" x14ac:dyDescent="0.2">
      <c r="A36" s="107"/>
      <c r="B36" s="107"/>
      <c r="C36" s="107"/>
      <c r="D36" s="107"/>
      <c r="E36" s="56">
        <v>26</v>
      </c>
      <c r="F36" s="63">
        <v>46453</v>
      </c>
      <c r="G36" s="25"/>
      <c r="H36" s="58">
        <v>5000</v>
      </c>
      <c r="I36" s="59">
        <v>1518.87</v>
      </c>
      <c r="J36" s="60">
        <f t="shared" si="0"/>
        <v>6518.87</v>
      </c>
      <c r="K36" s="56" t="str">
        <f t="shared" ca="1" si="3"/>
        <v>Waiting</v>
      </c>
      <c r="L36" s="100"/>
      <c r="M36" s="31"/>
      <c r="N36" s="22">
        <v>46935</v>
      </c>
      <c r="O36" s="105">
        <f t="shared" si="4"/>
        <v>0</v>
      </c>
      <c r="P36" s="39">
        <v>32</v>
      </c>
      <c r="Q36" s="107"/>
      <c r="R36" s="107"/>
      <c r="S36" s="107"/>
    </row>
    <row r="37" spans="1:19" ht="19.149999999999999" customHeight="1" x14ac:dyDescent="0.2">
      <c r="A37" s="27"/>
      <c r="B37" s="27"/>
      <c r="C37" s="27"/>
      <c r="D37" s="107"/>
      <c r="E37" s="56">
        <v>23</v>
      </c>
      <c r="F37" s="63">
        <v>46448</v>
      </c>
      <c r="G37" s="25"/>
      <c r="H37" s="58">
        <v>10000</v>
      </c>
      <c r="I37" s="59">
        <v>2583.52</v>
      </c>
      <c r="J37" s="60">
        <f t="shared" si="0"/>
        <v>12583.52</v>
      </c>
      <c r="K37" s="56" t="str">
        <f t="shared" ca="1" si="3"/>
        <v>Waiting</v>
      </c>
      <c r="L37" s="100"/>
      <c r="M37" s="31"/>
      <c r="N37" s="22">
        <v>46966</v>
      </c>
      <c r="O37" s="105">
        <f t="shared" si="4"/>
        <v>0</v>
      </c>
      <c r="P37" s="39">
        <v>33</v>
      </c>
      <c r="Q37" s="107"/>
      <c r="R37" s="107"/>
      <c r="S37" s="107"/>
    </row>
    <row r="38" spans="1:19" ht="19.149999999999999" customHeight="1" x14ac:dyDescent="0.2">
      <c r="A38" s="27"/>
      <c r="B38" s="27"/>
      <c r="C38" s="27"/>
      <c r="D38" s="107"/>
      <c r="E38" s="56">
        <v>13</v>
      </c>
      <c r="F38" s="63">
        <v>46145</v>
      </c>
      <c r="G38" s="25"/>
      <c r="H38" s="58">
        <v>5000</v>
      </c>
      <c r="I38" s="59">
        <v>673.33</v>
      </c>
      <c r="J38" s="60">
        <f t="shared" si="0"/>
        <v>5673.33</v>
      </c>
      <c r="K38" s="56" t="str">
        <f t="shared" ca="1" si="3"/>
        <v>Waiting</v>
      </c>
      <c r="L38" s="100"/>
      <c r="M38" s="31"/>
      <c r="N38" s="22">
        <v>46997</v>
      </c>
      <c r="O38" s="105">
        <f t="shared" si="4"/>
        <v>27780</v>
      </c>
      <c r="P38" s="39">
        <v>34</v>
      </c>
      <c r="Q38" s="107"/>
      <c r="R38" s="107"/>
      <c r="S38" s="107"/>
    </row>
    <row r="39" spans="1:19" ht="19.149999999999999" customHeight="1" x14ac:dyDescent="0.2">
      <c r="A39" s="172"/>
      <c r="B39" s="172"/>
      <c r="C39" s="172"/>
      <c r="D39" s="107"/>
      <c r="E39" s="56">
        <v>27</v>
      </c>
      <c r="F39" s="63">
        <v>46575</v>
      </c>
      <c r="G39" s="25"/>
      <c r="H39" s="58">
        <v>10000</v>
      </c>
      <c r="I39" s="59">
        <v>2885.89</v>
      </c>
      <c r="J39" s="60">
        <f t="shared" si="0"/>
        <v>12885.89</v>
      </c>
      <c r="K39" s="56" t="str">
        <f t="shared" ca="1" si="3"/>
        <v>Waiting</v>
      </c>
      <c r="L39" s="100"/>
      <c r="M39" s="31"/>
      <c r="N39" s="22">
        <v>47027</v>
      </c>
      <c r="O39" s="105">
        <f t="shared" si="4"/>
        <v>0</v>
      </c>
      <c r="P39" s="39">
        <v>35</v>
      </c>
      <c r="Q39" s="107"/>
      <c r="R39" s="107"/>
      <c r="S39" s="107"/>
    </row>
    <row r="40" spans="1:19" ht="19.149999999999999" customHeight="1" x14ac:dyDescent="0.2">
      <c r="A40" s="172"/>
      <c r="B40" s="172"/>
      <c r="C40" s="172"/>
      <c r="D40" s="107"/>
      <c r="E40" s="56">
        <v>19</v>
      </c>
      <c r="F40" s="63">
        <v>46348</v>
      </c>
      <c r="G40" s="25"/>
      <c r="H40" s="58">
        <v>10000</v>
      </c>
      <c r="I40" s="59">
        <v>2083.62</v>
      </c>
      <c r="J40" s="60">
        <f t="shared" si="0"/>
        <v>12083.619999999999</v>
      </c>
      <c r="K40" s="56" t="str">
        <f t="shared" ca="1" si="3"/>
        <v>Waiting</v>
      </c>
      <c r="L40" s="100"/>
      <c r="M40" s="31"/>
      <c r="N40" s="22">
        <v>47058</v>
      </c>
      <c r="O40" s="105">
        <f t="shared" si="4"/>
        <v>0</v>
      </c>
      <c r="P40" s="39"/>
      <c r="Q40" s="107"/>
      <c r="R40" s="107"/>
      <c r="S40" s="107"/>
    </row>
    <row r="41" spans="1:19" ht="19.149999999999999" customHeight="1" x14ac:dyDescent="0.2">
      <c r="A41" s="172"/>
      <c r="B41" s="172"/>
      <c r="C41" s="172"/>
      <c r="D41" s="107"/>
      <c r="E41" s="56">
        <v>31</v>
      </c>
      <c r="F41" s="63">
        <v>46729</v>
      </c>
      <c r="G41" s="25"/>
      <c r="H41" s="58">
        <v>10000</v>
      </c>
      <c r="I41" s="59">
        <v>3045.67</v>
      </c>
      <c r="J41" s="60">
        <f t="shared" si="0"/>
        <v>13045.67</v>
      </c>
      <c r="K41" s="56" t="str">
        <f t="shared" ca="1" si="3"/>
        <v>Waiting</v>
      </c>
      <c r="L41" s="100"/>
      <c r="M41" s="31"/>
      <c r="N41" s="22">
        <v>47088</v>
      </c>
      <c r="O41" s="105">
        <f t="shared" si="4"/>
        <v>0</v>
      </c>
      <c r="P41" s="39"/>
      <c r="Q41" s="107"/>
      <c r="R41" s="107"/>
      <c r="S41" s="107"/>
    </row>
    <row r="42" spans="1:19" ht="19.149999999999999" customHeight="1" x14ac:dyDescent="0.2">
      <c r="A42" s="172"/>
      <c r="B42" s="172"/>
      <c r="C42" s="172"/>
      <c r="D42" s="107"/>
      <c r="E42" s="56">
        <v>43</v>
      </c>
      <c r="F42" s="63">
        <v>46573</v>
      </c>
      <c r="G42" s="25"/>
      <c r="H42" s="58">
        <v>20000</v>
      </c>
      <c r="I42" s="59">
        <v>9720.19</v>
      </c>
      <c r="J42" s="60">
        <f t="shared" si="0"/>
        <v>29720.190000000002</v>
      </c>
      <c r="K42" s="56" t="str">
        <f t="shared" ca="1" si="3"/>
        <v>Waiting</v>
      </c>
      <c r="L42" s="19"/>
      <c r="M42" s="31"/>
      <c r="N42" s="22">
        <v>47119</v>
      </c>
      <c r="O42" s="105">
        <f t="shared" si="4"/>
        <v>0</v>
      </c>
      <c r="P42" s="39"/>
      <c r="Q42" s="107"/>
      <c r="R42" s="107"/>
      <c r="S42" s="107"/>
    </row>
    <row r="43" spans="1:19" ht="19.149999999999999" customHeight="1" x14ac:dyDescent="0.2">
      <c r="A43" s="172"/>
      <c r="B43" s="172"/>
      <c r="C43" s="172"/>
      <c r="D43" s="107"/>
      <c r="E43" s="56">
        <v>21</v>
      </c>
      <c r="F43" s="63"/>
      <c r="G43" s="25">
        <v>45900</v>
      </c>
      <c r="H43" s="58">
        <v>5000</v>
      </c>
      <c r="I43" s="59">
        <v>1153.08</v>
      </c>
      <c r="J43" s="60">
        <f t="shared" ref="J43" si="5">SUM(H43:I43)</f>
        <v>6153.08</v>
      </c>
      <c r="K43" s="56" t="s">
        <v>31</v>
      </c>
      <c r="L43" s="165" t="s">
        <v>41</v>
      </c>
      <c r="M43" s="31" t="s">
        <v>42</v>
      </c>
      <c r="N43" s="22">
        <v>47150</v>
      </c>
      <c r="O43" s="105">
        <f t="shared" si="4"/>
        <v>0</v>
      </c>
      <c r="P43" s="39"/>
      <c r="Q43" s="107"/>
      <c r="R43" s="107"/>
      <c r="S43" s="107"/>
    </row>
    <row r="44" spans="1:19" ht="19.149999999999999" customHeight="1" x14ac:dyDescent="0.2">
      <c r="A44" s="27"/>
      <c r="B44" s="27"/>
      <c r="C44" s="27"/>
      <c r="D44" s="107"/>
      <c r="E44" s="56">
        <v>24</v>
      </c>
      <c r="F44" s="63">
        <v>45998</v>
      </c>
      <c r="G44" s="25"/>
      <c r="H44" s="58">
        <v>5000</v>
      </c>
      <c r="I44" s="59">
        <v>1333.27</v>
      </c>
      <c r="J44" s="60">
        <f t="shared" si="0"/>
        <v>6333.27</v>
      </c>
      <c r="K44" s="56" t="str">
        <f t="shared" ca="1" si="3"/>
        <v>Waiting</v>
      </c>
      <c r="L44" s="19"/>
      <c r="M44" s="31"/>
      <c r="N44" s="22">
        <v>47178</v>
      </c>
      <c r="O44" s="105">
        <f t="shared" si="4"/>
        <v>0</v>
      </c>
      <c r="P44" s="39"/>
      <c r="Q44" s="107"/>
      <c r="R44" s="107"/>
      <c r="S44" s="107"/>
    </row>
    <row r="45" spans="1:19" ht="19.149999999999999" customHeight="1" x14ac:dyDescent="0.2">
      <c r="A45" s="172"/>
      <c r="B45" s="172"/>
      <c r="C45" s="172"/>
      <c r="D45" s="107"/>
      <c r="E45" s="56">
        <v>27</v>
      </c>
      <c r="F45" s="63">
        <v>46089</v>
      </c>
      <c r="G45" s="25"/>
      <c r="H45" s="58">
        <v>5000</v>
      </c>
      <c r="I45" s="59">
        <v>1618.95</v>
      </c>
      <c r="J45" s="60">
        <f t="shared" si="0"/>
        <v>6618.95</v>
      </c>
      <c r="K45" s="56" t="str">
        <f t="shared" ca="1" si="3"/>
        <v>Waiting</v>
      </c>
      <c r="L45" s="19"/>
      <c r="M45" s="31"/>
      <c r="N45" s="22">
        <v>47209</v>
      </c>
      <c r="O45" s="105">
        <f t="shared" si="4"/>
        <v>0</v>
      </c>
      <c r="P45" s="39"/>
      <c r="Q45" s="107"/>
      <c r="R45" s="107"/>
      <c r="S45" s="107"/>
    </row>
    <row r="46" spans="1:19" ht="19.149999999999999" customHeight="1" x14ac:dyDescent="0.2">
      <c r="A46" s="172"/>
      <c r="B46" s="172"/>
      <c r="C46" s="172"/>
      <c r="D46" s="107"/>
      <c r="E46" s="56">
        <v>18</v>
      </c>
      <c r="F46" s="63"/>
      <c r="G46" s="25">
        <v>45796</v>
      </c>
      <c r="H46" s="58">
        <v>5000</v>
      </c>
      <c r="I46" s="59">
        <v>1007.84</v>
      </c>
      <c r="J46" s="60">
        <f t="shared" ref="J46:J47" si="6">SUM(H46:I46)</f>
        <v>6007.84</v>
      </c>
      <c r="K46" s="56" t="s">
        <v>31</v>
      </c>
      <c r="L46" s="161" t="s">
        <v>43</v>
      </c>
      <c r="M46" s="31"/>
      <c r="N46" s="22">
        <v>47239</v>
      </c>
      <c r="O46" s="105">
        <f t="shared" si="4"/>
        <v>0</v>
      </c>
      <c r="P46" s="39"/>
      <c r="Q46" s="107"/>
      <c r="R46" s="107"/>
      <c r="S46" s="107"/>
    </row>
    <row r="47" spans="1:19" ht="19.149999999999999" customHeight="1" x14ac:dyDescent="0.2">
      <c r="A47" s="107"/>
      <c r="B47" s="107"/>
      <c r="C47" s="107"/>
      <c r="D47" s="107"/>
      <c r="E47" s="56">
        <v>24</v>
      </c>
      <c r="F47" s="63"/>
      <c r="G47" s="25">
        <v>45916</v>
      </c>
      <c r="H47" s="58">
        <v>5000</v>
      </c>
      <c r="I47" s="59">
        <v>915.69</v>
      </c>
      <c r="J47" s="60">
        <f t="shared" si="6"/>
        <v>5915.6900000000005</v>
      </c>
      <c r="K47" s="56" t="s">
        <v>31</v>
      </c>
      <c r="L47" s="19" t="s">
        <v>44</v>
      </c>
      <c r="M47" s="61" t="s">
        <v>45</v>
      </c>
      <c r="N47" s="22">
        <v>47270</v>
      </c>
      <c r="O47" s="105">
        <f t="shared" si="4"/>
        <v>0</v>
      </c>
      <c r="P47" s="39"/>
      <c r="Q47" s="107"/>
      <c r="R47" s="107"/>
      <c r="S47" s="107"/>
    </row>
    <row r="48" spans="1:19" ht="19.149999999999999" customHeight="1" x14ac:dyDescent="0.2">
      <c r="A48" s="107"/>
      <c r="B48" s="107"/>
      <c r="C48" s="107"/>
      <c r="D48" s="107"/>
      <c r="E48" s="56">
        <v>15</v>
      </c>
      <c r="F48" s="63"/>
      <c r="G48" s="25">
        <v>45761</v>
      </c>
      <c r="H48" s="58">
        <v>10000</v>
      </c>
      <c r="I48" s="59">
        <v>1624.85</v>
      </c>
      <c r="J48" s="60">
        <f t="shared" si="0"/>
        <v>11624.85</v>
      </c>
      <c r="K48" s="56" t="s">
        <v>31</v>
      </c>
      <c r="L48" s="19"/>
      <c r="M48" s="31"/>
      <c r="N48" s="22">
        <v>47300</v>
      </c>
      <c r="O48" s="105">
        <f t="shared" si="4"/>
        <v>0</v>
      </c>
      <c r="P48" s="39"/>
      <c r="Q48" s="107"/>
      <c r="R48" s="107"/>
      <c r="S48" s="107"/>
    </row>
    <row r="49" spans="1:19" ht="19.149999999999999" customHeight="1" x14ac:dyDescent="0.2">
      <c r="A49" s="107"/>
      <c r="B49" s="107"/>
      <c r="C49" s="107"/>
      <c r="D49" s="107"/>
      <c r="E49" s="56">
        <v>27</v>
      </c>
      <c r="F49" s="63"/>
      <c r="G49" s="25">
        <v>45911</v>
      </c>
      <c r="H49" s="58">
        <v>5000</v>
      </c>
      <c r="I49" s="59">
        <v>929.21</v>
      </c>
      <c r="J49" s="60">
        <f t="shared" si="0"/>
        <v>5929.21</v>
      </c>
      <c r="K49" s="56" t="s">
        <v>31</v>
      </c>
      <c r="L49" s="165" t="s">
        <v>46</v>
      </c>
      <c r="M49" s="61" t="s">
        <v>40</v>
      </c>
      <c r="N49" s="22">
        <v>47331</v>
      </c>
      <c r="O49" s="105">
        <f t="shared" si="4"/>
        <v>0</v>
      </c>
      <c r="P49" s="39"/>
      <c r="Q49" s="107"/>
      <c r="R49" s="107"/>
      <c r="S49" s="107"/>
    </row>
    <row r="50" spans="1:19" ht="19.149999999999999" customHeight="1" x14ac:dyDescent="0.2">
      <c r="A50" s="107"/>
      <c r="B50" s="107"/>
      <c r="C50" s="107"/>
      <c r="D50" s="107"/>
      <c r="E50" s="56">
        <v>27</v>
      </c>
      <c r="F50" s="63">
        <v>46238</v>
      </c>
      <c r="G50" s="25"/>
      <c r="H50" s="58">
        <v>5000</v>
      </c>
      <c r="I50" s="59">
        <v>1526.69</v>
      </c>
      <c r="J50" s="60">
        <f t="shared" si="0"/>
        <v>6526.6900000000005</v>
      </c>
      <c r="K50" s="56" t="str">
        <f ca="1">IF(F50&lt;=TODAY(),"Check!","Waiting")</f>
        <v>Waiting</v>
      </c>
      <c r="L50" s="19"/>
      <c r="M50" s="31"/>
      <c r="N50" s="22">
        <v>47362</v>
      </c>
      <c r="O50" s="105">
        <f t="shared" si="4"/>
        <v>0</v>
      </c>
      <c r="P50" s="39"/>
      <c r="Q50" s="107"/>
      <c r="R50" s="107"/>
      <c r="S50" s="107"/>
    </row>
    <row r="51" spans="1:19" ht="19.149999999999999" customHeight="1" x14ac:dyDescent="0.2">
      <c r="A51" s="107"/>
      <c r="B51" s="107"/>
      <c r="C51" s="107"/>
      <c r="D51" s="107"/>
      <c r="E51" s="56">
        <v>12</v>
      </c>
      <c r="F51" s="63"/>
      <c r="G51" s="25">
        <v>45774</v>
      </c>
      <c r="H51" s="58">
        <v>5000</v>
      </c>
      <c r="I51" s="59">
        <v>554.86</v>
      </c>
      <c r="J51" s="60">
        <f t="shared" si="0"/>
        <v>5554.86</v>
      </c>
      <c r="K51" s="56" t="s">
        <v>31</v>
      </c>
      <c r="L51" s="19"/>
      <c r="M51" s="31"/>
      <c r="N51" s="22">
        <v>47392</v>
      </c>
      <c r="O51" s="105">
        <f t="shared" si="4"/>
        <v>0</v>
      </c>
      <c r="P51" s="39"/>
      <c r="Q51" s="107"/>
      <c r="R51" s="107"/>
      <c r="S51" s="107"/>
    </row>
    <row r="52" spans="1:19" ht="19.149999999999999" customHeight="1" x14ac:dyDescent="0.2">
      <c r="A52" s="107"/>
      <c r="B52" s="107"/>
      <c r="C52" s="107"/>
      <c r="D52" s="107"/>
      <c r="E52" s="56">
        <v>27</v>
      </c>
      <c r="F52" s="63">
        <v>46243</v>
      </c>
      <c r="G52" s="25"/>
      <c r="H52" s="58">
        <v>10000</v>
      </c>
      <c r="I52" s="59">
        <v>3161.22</v>
      </c>
      <c r="J52" s="60">
        <f t="shared" si="0"/>
        <v>13161.22</v>
      </c>
      <c r="K52" s="56" t="str">
        <f ca="1">IF(F52&lt;=TODAY(),"Check!","Waiting")</f>
        <v>Waiting</v>
      </c>
      <c r="L52" s="19"/>
      <c r="M52" s="31"/>
      <c r="N52" s="22">
        <v>47423</v>
      </c>
      <c r="O52" s="105">
        <f t="shared" si="4"/>
        <v>0</v>
      </c>
      <c r="P52" s="39"/>
      <c r="Q52" s="107"/>
      <c r="R52" s="107"/>
      <c r="S52" s="107"/>
    </row>
    <row r="53" spans="1:19" ht="19.149999999999999" customHeight="1" x14ac:dyDescent="0.2">
      <c r="A53" s="107"/>
      <c r="B53" s="107"/>
      <c r="C53" s="107"/>
      <c r="D53" s="107"/>
      <c r="E53" s="56">
        <v>48</v>
      </c>
      <c r="F53" s="63">
        <v>46880</v>
      </c>
      <c r="G53" s="25"/>
      <c r="H53" s="58">
        <v>5000</v>
      </c>
      <c r="I53" s="59">
        <v>2441.19</v>
      </c>
      <c r="J53" s="60">
        <f t="shared" si="0"/>
        <v>7441.1900000000005</v>
      </c>
      <c r="K53" s="56" t="str">
        <f ca="1">IF(F53&lt;=TODAY(),"Check!","Waiting")</f>
        <v>Waiting</v>
      </c>
      <c r="L53" s="19"/>
      <c r="M53" s="31"/>
      <c r="N53" s="22">
        <v>47453</v>
      </c>
      <c r="O53" s="105">
        <f t="shared" si="4"/>
        <v>0</v>
      </c>
      <c r="P53" s="39"/>
      <c r="Q53" s="107"/>
      <c r="R53" s="107"/>
      <c r="S53" s="107"/>
    </row>
    <row r="54" spans="1:19" ht="19.149999999999999" customHeight="1" x14ac:dyDescent="0.2">
      <c r="A54" s="107"/>
      <c r="B54" s="107"/>
      <c r="C54" s="107"/>
      <c r="D54" s="107"/>
      <c r="E54" s="56">
        <v>40</v>
      </c>
      <c r="F54" s="63">
        <v>46642</v>
      </c>
      <c r="G54" s="25"/>
      <c r="H54" s="58">
        <v>10000</v>
      </c>
      <c r="I54" s="59">
        <v>3216.12</v>
      </c>
      <c r="J54" s="60">
        <f t="shared" si="0"/>
        <v>13216.119999999999</v>
      </c>
      <c r="K54" s="56" t="str">
        <f ca="1">IF(F54&lt;=TODAY(),"Check!","Waiting")</f>
        <v>Waiting</v>
      </c>
      <c r="L54" s="19"/>
      <c r="M54" s="31"/>
      <c r="N54" s="22">
        <v>47484</v>
      </c>
      <c r="O54" s="105">
        <f t="shared" si="4"/>
        <v>0</v>
      </c>
      <c r="P54" s="39"/>
      <c r="Q54" s="107"/>
      <c r="R54" s="107"/>
      <c r="S54" s="107"/>
    </row>
    <row r="55" spans="1:19" ht="19.149999999999999" customHeight="1" thickBot="1" x14ac:dyDescent="0.25">
      <c r="A55" s="107"/>
      <c r="B55" s="107"/>
      <c r="C55" s="107"/>
      <c r="D55" s="107"/>
      <c r="E55" s="56">
        <v>26</v>
      </c>
      <c r="F55" s="63">
        <v>46216</v>
      </c>
      <c r="G55" s="25"/>
      <c r="H55" s="58">
        <v>5000</v>
      </c>
      <c r="I55" s="59">
        <v>1485.95</v>
      </c>
      <c r="J55" s="60">
        <f t="shared" si="0"/>
        <v>6485.95</v>
      </c>
      <c r="K55" s="56" t="str">
        <f ca="1">IF(F55&lt;=TODAY(),"Check!","Waiting")</f>
        <v>Waiting</v>
      </c>
      <c r="L55" s="19"/>
      <c r="M55" s="31"/>
      <c r="N55" s="22">
        <v>47515</v>
      </c>
      <c r="O55" s="105">
        <f t="shared" si="4"/>
        <v>0</v>
      </c>
      <c r="P55" s="39"/>
      <c r="Q55" s="107"/>
      <c r="R55" s="107"/>
      <c r="S55" s="107"/>
    </row>
    <row r="56" spans="1:19" ht="19.149999999999999" customHeight="1" x14ac:dyDescent="0.2">
      <c r="A56" s="205" t="s">
        <v>47</v>
      </c>
      <c r="B56" s="206"/>
      <c r="C56" s="207"/>
      <c r="D56" s="106"/>
      <c r="E56" s="56">
        <v>23</v>
      </c>
      <c r="F56" s="63">
        <v>46125</v>
      </c>
      <c r="G56" s="25"/>
      <c r="H56" s="58">
        <v>20000</v>
      </c>
      <c r="I56" s="59">
        <v>3213.15</v>
      </c>
      <c r="J56" s="60">
        <f t="shared" si="0"/>
        <v>23213.15</v>
      </c>
      <c r="K56" s="56" t="str">
        <f ca="1">IF(F56&lt;=TODAY(),"Check!","Waiting")</f>
        <v>Waiting</v>
      </c>
      <c r="L56" s="19"/>
      <c r="M56" s="31"/>
      <c r="N56" s="22">
        <v>47543</v>
      </c>
      <c r="O56" s="105">
        <f t="shared" si="4"/>
        <v>0</v>
      </c>
      <c r="P56" s="39"/>
      <c r="Q56" s="107"/>
      <c r="R56" s="107"/>
      <c r="S56" s="107"/>
    </row>
    <row r="57" spans="1:19" ht="19.149999999999999" customHeight="1" x14ac:dyDescent="0.2">
      <c r="A57" s="116" t="s">
        <v>22</v>
      </c>
      <c r="B57" s="116" t="s">
        <v>48</v>
      </c>
      <c r="C57" s="116" t="s">
        <v>49</v>
      </c>
      <c r="D57" s="107"/>
      <c r="E57" s="56">
        <v>8</v>
      </c>
      <c r="F57" s="63"/>
      <c r="G57" s="25">
        <v>45648</v>
      </c>
      <c r="H57" s="58">
        <v>5000</v>
      </c>
      <c r="I57" s="59">
        <v>402.57</v>
      </c>
      <c r="J57" s="60">
        <f t="shared" si="0"/>
        <v>5402.57</v>
      </c>
      <c r="K57" s="56" t="s">
        <v>31</v>
      </c>
      <c r="L57" s="19"/>
      <c r="M57" s="31"/>
      <c r="N57" s="22">
        <v>47574</v>
      </c>
      <c r="O57" s="105">
        <f t="shared" si="4"/>
        <v>0</v>
      </c>
      <c r="P57" s="39"/>
      <c r="Q57" s="107"/>
      <c r="R57" s="107"/>
      <c r="S57" s="107"/>
    </row>
    <row r="58" spans="1:19" ht="19.149999999999999" customHeight="1" x14ac:dyDescent="0.2">
      <c r="A58" s="117">
        <f>SUMIFS(H2:H509,F2:F509,"&lt;&gt;")</f>
        <v>515000</v>
      </c>
      <c r="B58" s="118">
        <f>SUMIFS(I2:I509,F2:F509,"&lt;&gt;")</f>
        <v>122894.36</v>
      </c>
      <c r="C58" s="119">
        <f>COUNT(J2:J509, "?*")</f>
        <v>325</v>
      </c>
      <c r="D58" s="107"/>
      <c r="E58" s="56">
        <v>32</v>
      </c>
      <c r="F58" s="63">
        <v>46404</v>
      </c>
      <c r="G58" s="25"/>
      <c r="H58" s="58">
        <v>5000</v>
      </c>
      <c r="I58" s="59">
        <v>1547.1</v>
      </c>
      <c r="J58" s="60">
        <f t="shared" si="0"/>
        <v>6547.1</v>
      </c>
      <c r="K58" s="56" t="str">
        <f ca="1">IF(F58&lt;=TODAY(),"Check!","Waiting")</f>
        <v>Waiting</v>
      </c>
      <c r="L58" s="19"/>
      <c r="M58" s="31"/>
      <c r="N58" s="22">
        <v>47604</v>
      </c>
      <c r="O58" s="105">
        <f t="shared" si="4"/>
        <v>0</v>
      </c>
      <c r="P58" s="39"/>
      <c r="Q58" s="107"/>
      <c r="R58" s="107"/>
      <c r="S58" s="107"/>
    </row>
    <row r="59" spans="1:19" ht="19.149999999999999" customHeight="1" x14ac:dyDescent="0.2">
      <c r="A59" s="116" t="s">
        <v>50</v>
      </c>
      <c r="B59" s="116" t="s">
        <v>51</v>
      </c>
      <c r="C59" s="116" t="s">
        <v>52</v>
      </c>
      <c r="D59" s="107"/>
      <c r="E59" s="56">
        <v>10</v>
      </c>
      <c r="F59" s="63"/>
      <c r="G59" s="25">
        <v>45725</v>
      </c>
      <c r="H59" s="58">
        <v>5000</v>
      </c>
      <c r="I59" s="59">
        <v>569.16999999999996</v>
      </c>
      <c r="J59" s="60">
        <f t="shared" si="0"/>
        <v>5569.17</v>
      </c>
      <c r="K59" s="56" t="s">
        <v>31</v>
      </c>
      <c r="L59" s="19"/>
      <c r="M59" s="31"/>
      <c r="N59" s="22">
        <v>47635</v>
      </c>
      <c r="O59" s="105">
        <f t="shared" si="4"/>
        <v>0</v>
      </c>
      <c r="P59" s="39"/>
      <c r="Q59" s="107"/>
      <c r="R59" s="107"/>
      <c r="S59" s="107"/>
    </row>
    <row r="60" spans="1:19" ht="19.149999999999999" customHeight="1" x14ac:dyDescent="0.2">
      <c r="A60" s="120">
        <f>(B60*100/C60)*12</f>
        <v>23.284428947412536</v>
      </c>
      <c r="B60" s="149" t="str">
        <f>TEXT(B58/A58, "0.00%")</f>
        <v>23.86%</v>
      </c>
      <c r="C60" s="121">
        <f>SUMPRODUCT(H2:H509, E2:E509) / SUM(H2:H509)</f>
        <v>12.29662967671007</v>
      </c>
      <c r="D60" s="107"/>
      <c r="E60" s="56">
        <v>12</v>
      </c>
      <c r="F60" s="63"/>
      <c r="G60" s="25">
        <v>45652</v>
      </c>
      <c r="H60" s="58">
        <v>5000</v>
      </c>
      <c r="I60" s="59">
        <v>330.21</v>
      </c>
      <c r="J60" s="60">
        <f t="shared" si="0"/>
        <v>5330.21</v>
      </c>
      <c r="K60" s="56" t="s">
        <v>31</v>
      </c>
      <c r="L60" s="19"/>
      <c r="M60" s="31"/>
      <c r="N60" s="22">
        <v>47665</v>
      </c>
      <c r="O60" s="105">
        <f t="shared" si="4"/>
        <v>0</v>
      </c>
      <c r="P60" s="39"/>
      <c r="Q60" s="107"/>
      <c r="R60" s="107"/>
      <c r="S60" s="107"/>
    </row>
    <row r="61" spans="1:19" ht="19.149999999999999" customHeight="1" x14ac:dyDescent="0.2">
      <c r="A61" s="122" t="s">
        <v>53</v>
      </c>
      <c r="B61" s="123" t="s">
        <v>54</v>
      </c>
      <c r="C61" s="124" t="s">
        <v>55</v>
      </c>
      <c r="D61" s="107"/>
      <c r="E61" s="56">
        <v>26</v>
      </c>
      <c r="F61" s="63">
        <v>46453</v>
      </c>
      <c r="G61" s="25"/>
      <c r="H61" s="58">
        <v>5000</v>
      </c>
      <c r="I61" s="59">
        <v>1493.99</v>
      </c>
      <c r="J61" s="60">
        <f t="shared" si="0"/>
        <v>6493.99</v>
      </c>
      <c r="K61" s="56" t="str">
        <f ca="1">IF(F61&lt;=TODAY(),"Check!","Waiting")</f>
        <v>Waiting</v>
      </c>
      <c r="L61" s="19"/>
      <c r="M61" s="31"/>
      <c r="N61" s="22">
        <v>47696</v>
      </c>
      <c r="O61" s="105">
        <f t="shared" si="4"/>
        <v>0</v>
      </c>
      <c r="P61" s="39"/>
      <c r="Q61" s="107"/>
      <c r="R61" s="107"/>
      <c r="S61" s="107"/>
    </row>
    <row r="62" spans="1:19" ht="19.149999999999999" customHeight="1" x14ac:dyDescent="0.2">
      <c r="A62" s="125">
        <f ca="1">COUNTIF(K2:K509, "CHECK!")</f>
        <v>14</v>
      </c>
      <c r="B62" s="126">
        <f ca="1">COUNTIF(K2:K509, "WAITING")</f>
        <v>48</v>
      </c>
      <c r="C62" s="125">
        <f ca="1">COUNTIF(K2:K509, "PAID")</f>
        <v>263</v>
      </c>
      <c r="D62" s="107"/>
      <c r="E62" s="56">
        <v>28</v>
      </c>
      <c r="F62" s="63">
        <v>46519</v>
      </c>
      <c r="G62" s="25"/>
      <c r="H62" s="58">
        <v>5000</v>
      </c>
      <c r="I62" s="59">
        <v>1429.23</v>
      </c>
      <c r="J62" s="60">
        <f t="shared" si="0"/>
        <v>6429.23</v>
      </c>
      <c r="K62" s="56" t="str">
        <f ca="1">IF(F62&lt;=TODAY(),"Check!","Waiting")</f>
        <v>Waiting</v>
      </c>
      <c r="L62" s="19"/>
      <c r="M62" s="31"/>
      <c r="N62" s="22">
        <v>47727</v>
      </c>
      <c r="O62" s="105">
        <f t="shared" si="4"/>
        <v>0</v>
      </c>
      <c r="P62" s="39"/>
      <c r="Q62" s="107"/>
      <c r="R62" s="107"/>
      <c r="S62" s="107"/>
    </row>
    <row r="63" spans="1:19" ht="19.149999999999999" customHeight="1" x14ac:dyDescent="0.2">
      <c r="A63" s="107"/>
      <c r="B63" s="107"/>
      <c r="C63" s="107"/>
      <c r="D63" s="107"/>
      <c r="E63" s="56">
        <v>34</v>
      </c>
      <c r="F63" s="63">
        <v>46803</v>
      </c>
      <c r="G63" s="25"/>
      <c r="H63" s="58">
        <v>10000</v>
      </c>
      <c r="I63" s="59">
        <v>3760.06</v>
      </c>
      <c r="J63" s="60">
        <f t="shared" si="0"/>
        <v>13760.06</v>
      </c>
      <c r="K63" s="56" t="str">
        <f ca="1">IF(F63&lt;=TODAY(),"Check!","Waiting")</f>
        <v>Waiting</v>
      </c>
      <c r="L63" s="100"/>
      <c r="M63" s="31"/>
      <c r="N63" s="22">
        <v>47757</v>
      </c>
      <c r="O63" s="105">
        <f t="shared" si="4"/>
        <v>0</v>
      </c>
      <c r="P63" s="39"/>
      <c r="Q63" s="107"/>
      <c r="R63" s="107"/>
      <c r="S63" s="107"/>
    </row>
    <row r="64" spans="1:19" ht="19.149999999999999" customHeight="1" x14ac:dyDescent="0.2">
      <c r="A64" s="175" t="s">
        <v>25</v>
      </c>
      <c r="B64" s="175" t="s">
        <v>56</v>
      </c>
      <c r="C64" s="175" t="s">
        <v>57</v>
      </c>
      <c r="D64" s="107"/>
      <c r="E64" s="56">
        <v>34</v>
      </c>
      <c r="F64" s="63">
        <v>46824</v>
      </c>
      <c r="G64" s="25"/>
      <c r="H64" s="58">
        <v>20000</v>
      </c>
      <c r="I64" s="59">
        <v>8035.65</v>
      </c>
      <c r="J64" s="60">
        <f t="shared" si="0"/>
        <v>28035.65</v>
      </c>
      <c r="K64" s="56" t="str">
        <f ca="1">IF(F64&lt;=TODAY(),"Check!","Waiting")</f>
        <v>Waiting</v>
      </c>
      <c r="L64" s="100"/>
      <c r="M64" s="31"/>
      <c r="N64" s="22">
        <v>47788</v>
      </c>
      <c r="O64" s="105">
        <f t="shared" si="4"/>
        <v>0</v>
      </c>
      <c r="P64" s="39"/>
      <c r="Q64" s="107"/>
      <c r="R64" s="107"/>
      <c r="S64" s="107"/>
    </row>
    <row r="65" spans="1:19" ht="19.149999999999999" customHeight="1" x14ac:dyDescent="0.2">
      <c r="A65" s="127" t="s">
        <v>58</v>
      </c>
      <c r="B65" s="128">
        <f ca="1">COUNTIF(K2:K509, "PAID")</f>
        <v>263</v>
      </c>
      <c r="C65" s="129">
        <f ca="1">B65/SUM($B$65:$B$67)*100</f>
        <v>80.92307692307692</v>
      </c>
      <c r="D65" s="107"/>
      <c r="E65" s="14">
        <v>4</v>
      </c>
      <c r="F65" s="15"/>
      <c r="G65" s="25">
        <v>45456</v>
      </c>
      <c r="H65" s="17">
        <v>1000</v>
      </c>
      <c r="I65" s="18">
        <v>12.56</v>
      </c>
      <c r="J65" s="19">
        <f t="shared" si="0"/>
        <v>1012.56</v>
      </c>
      <c r="K65" s="14" t="s">
        <v>31</v>
      </c>
      <c r="L65" s="100" t="s">
        <v>59</v>
      </c>
      <c r="M65" s="31" t="s">
        <v>60</v>
      </c>
      <c r="N65" s="22">
        <v>47818</v>
      </c>
      <c r="O65" s="105">
        <f t="shared" si="4"/>
        <v>0</v>
      </c>
      <c r="P65" s="39"/>
      <c r="Q65" s="107"/>
      <c r="R65" s="107"/>
      <c r="S65" s="107"/>
    </row>
    <row r="66" spans="1:19" ht="19.149999999999999" customHeight="1" x14ac:dyDescent="0.2">
      <c r="A66" s="127" t="s">
        <v>61</v>
      </c>
      <c r="B66" s="128">
        <f ca="1">COUNTIF(K2:K509, "WAITING")</f>
        <v>48</v>
      </c>
      <c r="C66" s="129">
        <f ca="1">B66/SUM($B$65:$B$67)*100</f>
        <v>14.76923076923077</v>
      </c>
      <c r="D66" s="107"/>
      <c r="E66" s="14">
        <v>5</v>
      </c>
      <c r="F66" s="24"/>
      <c r="G66" s="25">
        <v>45484</v>
      </c>
      <c r="H66" s="17">
        <v>1000</v>
      </c>
      <c r="I66" s="18">
        <v>21.91</v>
      </c>
      <c r="J66" s="19">
        <f t="shared" ref="J66:J129" si="7">SUM(H66:I66)</f>
        <v>1021.91</v>
      </c>
      <c r="K66" s="14" t="s">
        <v>31</v>
      </c>
      <c r="L66" s="100" t="s">
        <v>59</v>
      </c>
      <c r="M66" s="31" t="s">
        <v>60</v>
      </c>
      <c r="N66" s="22">
        <v>47757</v>
      </c>
      <c r="O66" s="105">
        <f t="shared" ref="O66:O97" si="8">SUMIFS(J$2:J$1009, F$2:F$1009, "&gt;=" &amp; DATE(YEAR(N66), MONTH(N66), 1), F$2:F$1009, "&lt;=" &amp; EOMONTH(N66, 0))</f>
        <v>0</v>
      </c>
      <c r="P66" s="39"/>
      <c r="Q66" s="107"/>
      <c r="R66" s="107"/>
      <c r="S66" s="107"/>
    </row>
    <row r="67" spans="1:19" ht="19.149999999999999" customHeight="1" x14ac:dyDescent="0.2">
      <c r="A67" s="127" t="s">
        <v>62</v>
      </c>
      <c r="B67" s="128">
        <f ca="1">COUNTIF(K2:K509, "CHECK!")</f>
        <v>14</v>
      </c>
      <c r="C67" s="129">
        <f ca="1">B67/SUM($B$65:$B$67)*100</f>
        <v>4.3076923076923075</v>
      </c>
      <c r="D67" s="107"/>
      <c r="E67" s="14">
        <v>4</v>
      </c>
      <c r="F67" s="24"/>
      <c r="G67" s="25">
        <v>45489</v>
      </c>
      <c r="H67" s="17">
        <v>1000</v>
      </c>
      <c r="I67" s="18">
        <v>10.35</v>
      </c>
      <c r="J67" s="19">
        <f t="shared" si="7"/>
        <v>1010.35</v>
      </c>
      <c r="K67" s="14" t="s">
        <v>31</v>
      </c>
      <c r="L67" s="100" t="s">
        <v>59</v>
      </c>
      <c r="M67" s="31" t="s">
        <v>60</v>
      </c>
      <c r="N67" s="22">
        <v>47788</v>
      </c>
      <c r="O67" s="105">
        <f t="shared" si="8"/>
        <v>0</v>
      </c>
      <c r="P67" s="39"/>
      <c r="Q67" s="107"/>
      <c r="R67" s="107"/>
      <c r="S67" s="107"/>
    </row>
    <row r="68" spans="1:19" ht="19.149999999999999" customHeight="1" x14ac:dyDescent="0.2">
      <c r="A68" s="107"/>
      <c r="B68" s="107"/>
      <c r="C68" s="107"/>
      <c r="D68" s="107"/>
      <c r="E68" s="14">
        <v>4</v>
      </c>
      <c r="F68" s="24"/>
      <c r="G68" s="25">
        <v>45495</v>
      </c>
      <c r="H68" s="17">
        <v>1000</v>
      </c>
      <c r="I68" s="18">
        <v>23.74</v>
      </c>
      <c r="J68" s="19">
        <f t="shared" si="7"/>
        <v>1023.74</v>
      </c>
      <c r="K68" s="14" t="s">
        <v>31</v>
      </c>
      <c r="L68" s="100" t="s">
        <v>59</v>
      </c>
      <c r="M68" s="31" t="s">
        <v>60</v>
      </c>
      <c r="N68" s="22">
        <v>47818</v>
      </c>
      <c r="O68" s="105">
        <f t="shared" si="8"/>
        <v>0</v>
      </c>
      <c r="P68" s="39"/>
      <c r="Q68" s="107"/>
      <c r="R68" s="107"/>
      <c r="S68" s="107"/>
    </row>
    <row r="69" spans="1:19" ht="19.149999999999999" customHeight="1" x14ac:dyDescent="0.2">
      <c r="A69" s="175" t="s">
        <v>63</v>
      </c>
      <c r="B69" s="175" t="s">
        <v>64</v>
      </c>
      <c r="C69" s="175" t="s">
        <v>65</v>
      </c>
      <c r="D69" s="107"/>
      <c r="E69" s="14">
        <v>4</v>
      </c>
      <c r="F69" s="24"/>
      <c r="G69" s="25">
        <v>45522</v>
      </c>
      <c r="H69" s="17">
        <v>1000</v>
      </c>
      <c r="I69" s="18">
        <v>35.5</v>
      </c>
      <c r="J69" s="19">
        <f t="shared" si="7"/>
        <v>1035.5</v>
      </c>
      <c r="K69" s="14" t="s">
        <v>31</v>
      </c>
      <c r="L69" s="100" t="s">
        <v>59</v>
      </c>
      <c r="M69" s="31" t="s">
        <v>60</v>
      </c>
      <c r="N69" s="22"/>
      <c r="O69" s="105"/>
      <c r="P69" s="39"/>
      <c r="Q69" s="107"/>
      <c r="R69" s="107"/>
      <c r="S69" s="107"/>
    </row>
    <row r="70" spans="1:19" ht="19.149999999999999" customHeight="1" x14ac:dyDescent="0.2">
      <c r="A70" s="127" t="s">
        <v>66</v>
      </c>
      <c r="B70" s="130">
        <f>Sukuk!A2</f>
        <v>400586.87</v>
      </c>
      <c r="C70" s="129">
        <f t="shared" ref="C70:C75" si="9">B70/SUM($B$70:$B$75)*100</f>
        <v>60.447056699975356</v>
      </c>
      <c r="D70" s="107"/>
      <c r="E70" s="14">
        <v>4</v>
      </c>
      <c r="F70" s="24"/>
      <c r="G70" s="25">
        <v>45532</v>
      </c>
      <c r="H70" s="17">
        <v>1000</v>
      </c>
      <c r="I70" s="18">
        <v>35.89</v>
      </c>
      <c r="J70" s="19">
        <f t="shared" si="7"/>
        <v>1035.8900000000001</v>
      </c>
      <c r="K70" s="14" t="s">
        <v>31</v>
      </c>
      <c r="L70" s="100" t="s">
        <v>59</v>
      </c>
      <c r="M70" s="31" t="s">
        <v>60</v>
      </c>
      <c r="N70" s="22"/>
      <c r="O70" s="23"/>
      <c r="P70" s="39"/>
      <c r="Q70" s="107"/>
      <c r="R70" s="107"/>
      <c r="S70" s="107"/>
    </row>
    <row r="71" spans="1:19" ht="19.149999999999999" customHeight="1" x14ac:dyDescent="0.2">
      <c r="A71" s="127" t="s">
        <v>67</v>
      </c>
      <c r="B71" s="130">
        <f>MANAFA!A2</f>
        <v>99426.240000000005</v>
      </c>
      <c r="C71" s="129">
        <f t="shared" si="9"/>
        <v>15.003046821642851</v>
      </c>
      <c r="D71" s="107"/>
      <c r="E71" s="14">
        <v>3</v>
      </c>
      <c r="F71" s="24"/>
      <c r="G71" s="25">
        <v>45536</v>
      </c>
      <c r="H71" s="17">
        <v>1000</v>
      </c>
      <c r="I71" s="18">
        <v>28.19</v>
      </c>
      <c r="J71" s="19">
        <f t="shared" si="7"/>
        <v>1028.19</v>
      </c>
      <c r="K71" s="14" t="s">
        <v>31</v>
      </c>
      <c r="L71" s="100"/>
      <c r="M71" s="31" t="s">
        <v>60</v>
      </c>
      <c r="N71" s="22"/>
      <c r="O71" s="23"/>
      <c r="P71" s="39"/>
      <c r="Q71" s="107"/>
      <c r="R71" s="107"/>
      <c r="S71" s="107"/>
    </row>
    <row r="72" spans="1:19" ht="19.149999999999999" customHeight="1" x14ac:dyDescent="0.2">
      <c r="A72" s="127" t="s">
        <v>68</v>
      </c>
      <c r="B72" s="130">
        <f>LENDO!A2</f>
        <v>27321.49</v>
      </c>
      <c r="C72" s="129">
        <f t="shared" si="9"/>
        <v>4.1227104002630188</v>
      </c>
      <c r="D72" s="107"/>
      <c r="E72" s="14">
        <v>6</v>
      </c>
      <c r="F72" s="24"/>
      <c r="G72" s="25">
        <v>45537</v>
      </c>
      <c r="H72" s="17">
        <v>1000</v>
      </c>
      <c r="I72" s="18">
        <v>37.4</v>
      </c>
      <c r="J72" s="19">
        <f t="shared" si="7"/>
        <v>1037.4000000000001</v>
      </c>
      <c r="K72" s="14" t="s">
        <v>31</v>
      </c>
      <c r="L72" s="100" t="s">
        <v>59</v>
      </c>
      <c r="M72" s="31" t="s">
        <v>60</v>
      </c>
      <c r="N72" s="22"/>
      <c r="O72" s="23"/>
      <c r="P72" s="39"/>
      <c r="Q72" s="107"/>
      <c r="R72" s="107"/>
      <c r="S72" s="107"/>
    </row>
    <row r="73" spans="1:19" ht="19.149999999999999" customHeight="1" x14ac:dyDescent="0.2">
      <c r="A73" s="127" t="s">
        <v>69</v>
      </c>
      <c r="B73" s="130">
        <f>TAMEED!A2</f>
        <v>1067.2</v>
      </c>
      <c r="C73" s="129">
        <f t="shared" si="9"/>
        <v>0.16103647858007356</v>
      </c>
      <c r="D73" s="107"/>
      <c r="E73" s="14">
        <v>4</v>
      </c>
      <c r="F73" s="24"/>
      <c r="G73" s="25">
        <v>45537</v>
      </c>
      <c r="H73" s="17">
        <v>1000</v>
      </c>
      <c r="I73" s="18">
        <v>29.9</v>
      </c>
      <c r="J73" s="19">
        <f t="shared" si="7"/>
        <v>1029.9000000000001</v>
      </c>
      <c r="K73" s="14" t="s">
        <v>31</v>
      </c>
      <c r="L73" s="100" t="s">
        <v>59</v>
      </c>
      <c r="M73" s="31" t="s">
        <v>60</v>
      </c>
      <c r="N73" s="22"/>
      <c r="O73" s="23"/>
      <c r="P73" s="39"/>
      <c r="Q73" s="107"/>
      <c r="R73" s="107"/>
      <c r="S73" s="107"/>
    </row>
    <row r="74" spans="1:19" ht="19.149999999999999" customHeight="1" x14ac:dyDescent="0.2">
      <c r="A74" s="127" t="s">
        <v>70</v>
      </c>
      <c r="B74" s="130">
        <f>DINAR!A2</f>
        <v>71925.5</v>
      </c>
      <c r="C74" s="129">
        <f t="shared" si="9"/>
        <v>10.853288268469901</v>
      </c>
      <c r="D74" s="107"/>
      <c r="E74" s="14">
        <v>3</v>
      </c>
      <c r="F74" s="24"/>
      <c r="G74" s="25">
        <v>45538</v>
      </c>
      <c r="H74" s="17">
        <v>1000</v>
      </c>
      <c r="I74" s="18">
        <v>27.42</v>
      </c>
      <c r="J74" s="19">
        <f t="shared" si="7"/>
        <v>1027.42</v>
      </c>
      <c r="K74" s="14" t="s">
        <v>31</v>
      </c>
      <c r="L74" s="100"/>
      <c r="M74" s="31" t="s">
        <v>60</v>
      </c>
      <c r="N74" s="22"/>
      <c r="O74" s="23"/>
      <c r="P74" s="39"/>
      <c r="Q74" s="107"/>
      <c r="R74" s="107"/>
      <c r="S74" s="107"/>
    </row>
    <row r="75" spans="1:19" ht="19.149999999999999" customHeight="1" x14ac:dyDescent="0.2">
      <c r="A75" s="127" t="s">
        <v>71</v>
      </c>
      <c r="B75" s="130">
        <f>SAFQA!A2</f>
        <v>62379.69</v>
      </c>
      <c r="C75" s="129">
        <f t="shared" si="9"/>
        <v>9.4128613310688038</v>
      </c>
      <c r="D75" s="107"/>
      <c r="E75" s="14">
        <v>4</v>
      </c>
      <c r="F75" s="24"/>
      <c r="G75" s="25">
        <v>45543</v>
      </c>
      <c r="H75" s="17">
        <v>1000</v>
      </c>
      <c r="I75" s="18">
        <v>37.520000000000003</v>
      </c>
      <c r="J75" s="19">
        <f t="shared" si="7"/>
        <v>1037.52</v>
      </c>
      <c r="K75" s="14" t="s">
        <v>31</v>
      </c>
      <c r="L75" s="100" t="s">
        <v>59</v>
      </c>
      <c r="M75" s="31" t="s">
        <v>60</v>
      </c>
      <c r="N75" s="22"/>
      <c r="O75" s="23"/>
      <c r="P75" s="39"/>
      <c r="Q75" s="107"/>
      <c r="R75" s="107"/>
      <c r="S75" s="107"/>
    </row>
    <row r="76" spans="1:19" ht="19.149999999999999" customHeight="1" x14ac:dyDescent="0.2">
      <c r="A76" s="127" t="s">
        <v>72</v>
      </c>
      <c r="B76" s="130">
        <f>TARMEEZ!A2</f>
        <v>0</v>
      </c>
      <c r="C76" s="129">
        <f t="shared" ref="C76" si="10">B76/SUM($B$70:$B$75)*100</f>
        <v>0</v>
      </c>
      <c r="D76" s="107"/>
      <c r="E76" s="14">
        <v>4</v>
      </c>
      <c r="F76" s="24"/>
      <c r="G76" s="25">
        <v>45552</v>
      </c>
      <c r="H76" s="17">
        <v>1000</v>
      </c>
      <c r="I76" s="18">
        <v>31.25</v>
      </c>
      <c r="J76" s="19">
        <f t="shared" si="7"/>
        <v>1031.25</v>
      </c>
      <c r="K76" s="14" t="s">
        <v>31</v>
      </c>
      <c r="L76" s="100" t="s">
        <v>59</v>
      </c>
      <c r="M76" s="31" t="s">
        <v>60</v>
      </c>
      <c r="N76" s="22"/>
      <c r="O76" s="23"/>
      <c r="P76" s="39"/>
      <c r="Q76" s="107"/>
      <c r="R76" s="107"/>
      <c r="S76" s="107"/>
    </row>
    <row r="77" spans="1:19" ht="19.149999999999999" customHeight="1" x14ac:dyDescent="0.2">
      <c r="A77" s="175" t="s">
        <v>16</v>
      </c>
      <c r="B77" s="175" t="s">
        <v>73</v>
      </c>
      <c r="C77" s="175" t="s">
        <v>74</v>
      </c>
      <c r="D77" s="107"/>
      <c r="E77" s="14">
        <v>5</v>
      </c>
      <c r="F77" s="24"/>
      <c r="G77" s="25">
        <v>45564</v>
      </c>
      <c r="H77" s="17">
        <v>1000</v>
      </c>
      <c r="I77" s="18">
        <v>43.7</v>
      </c>
      <c r="J77" s="19">
        <f t="shared" si="7"/>
        <v>1043.7</v>
      </c>
      <c r="K77" s="14" t="s">
        <v>31</v>
      </c>
      <c r="L77" s="100" t="s">
        <v>59</v>
      </c>
      <c r="M77" s="31" t="s">
        <v>60</v>
      </c>
      <c r="N77" s="22"/>
      <c r="O77" s="23"/>
      <c r="P77" s="39"/>
      <c r="Q77" s="107"/>
      <c r="R77" s="107"/>
      <c r="S77" s="107"/>
    </row>
    <row r="78" spans="1:19" ht="19.149999999999999" customHeight="1" x14ac:dyDescent="0.2">
      <c r="A78" s="117">
        <f>SUM(B78:C78)+B2</f>
        <v>844787.09000000008</v>
      </c>
      <c r="B78" s="130">
        <v>27449.65</v>
      </c>
      <c r="C78" s="117">
        <v>145000</v>
      </c>
      <c r="D78" s="107"/>
      <c r="E78" s="14">
        <v>4</v>
      </c>
      <c r="F78" s="24"/>
      <c r="G78" s="25">
        <v>45565</v>
      </c>
      <c r="H78" s="17">
        <v>1000</v>
      </c>
      <c r="I78" s="18">
        <v>75.16</v>
      </c>
      <c r="J78" s="19">
        <f t="shared" si="7"/>
        <v>1075.1600000000001</v>
      </c>
      <c r="K78" s="14" t="s">
        <v>31</v>
      </c>
      <c r="L78" s="100" t="s">
        <v>59</v>
      </c>
      <c r="M78" s="31" t="s">
        <v>60</v>
      </c>
      <c r="N78" s="22"/>
      <c r="O78" s="23"/>
      <c r="P78" s="39"/>
      <c r="Q78" s="107"/>
      <c r="R78" s="107"/>
      <c r="S78" s="107"/>
    </row>
    <row r="79" spans="1:19" ht="19.149999999999999" customHeight="1" thickBot="1" x14ac:dyDescent="0.25">
      <c r="A79" s="107"/>
      <c r="B79" s="107"/>
      <c r="C79" s="107"/>
      <c r="D79" s="107"/>
      <c r="E79" s="14">
        <v>5</v>
      </c>
      <c r="F79" s="24"/>
      <c r="G79" s="25">
        <v>45565</v>
      </c>
      <c r="H79" s="17">
        <v>2000</v>
      </c>
      <c r="I79" s="18">
        <v>46.6</v>
      </c>
      <c r="J79" s="19">
        <f t="shared" si="7"/>
        <v>2046.6</v>
      </c>
      <c r="K79" s="14" t="s">
        <v>31</v>
      </c>
      <c r="L79" s="100"/>
      <c r="M79" s="31" t="s">
        <v>60</v>
      </c>
      <c r="N79" s="22"/>
      <c r="O79" s="23"/>
      <c r="P79" s="39"/>
      <c r="Q79" s="107"/>
      <c r="R79" s="107"/>
      <c r="S79" s="107"/>
    </row>
    <row r="80" spans="1:19" ht="19.149999999999999" customHeight="1" x14ac:dyDescent="0.2">
      <c r="A80" s="201" t="s">
        <v>75</v>
      </c>
      <c r="B80" s="202"/>
      <c r="C80" s="203"/>
      <c r="D80" s="107"/>
      <c r="E80" s="14">
        <v>5</v>
      </c>
      <c r="F80" s="24"/>
      <c r="G80" s="25">
        <v>45566</v>
      </c>
      <c r="H80" s="17">
        <v>1000</v>
      </c>
      <c r="I80" s="18">
        <v>47.5</v>
      </c>
      <c r="J80" s="19">
        <f t="shared" si="7"/>
        <v>1047.5</v>
      </c>
      <c r="K80" s="14" t="s">
        <v>31</v>
      </c>
      <c r="L80" s="100"/>
      <c r="M80" s="31" t="s">
        <v>60</v>
      </c>
      <c r="N80" s="22"/>
      <c r="O80" s="23"/>
      <c r="P80" s="39"/>
      <c r="Q80" s="107"/>
      <c r="R80" s="107"/>
      <c r="S80" s="107"/>
    </row>
    <row r="81" spans="1:19" ht="19.149999999999999" customHeight="1" x14ac:dyDescent="0.2">
      <c r="A81" s="189" t="s">
        <v>76</v>
      </c>
      <c r="B81" s="190"/>
      <c r="C81" s="190"/>
      <c r="D81" s="107"/>
      <c r="E81" s="14">
        <v>5</v>
      </c>
      <c r="F81" s="24"/>
      <c r="G81" s="25">
        <v>45566</v>
      </c>
      <c r="H81" s="17">
        <v>1000</v>
      </c>
      <c r="I81" s="18">
        <v>37.1</v>
      </c>
      <c r="J81" s="19">
        <f t="shared" si="7"/>
        <v>1037.0999999999999</v>
      </c>
      <c r="K81" s="14" t="s">
        <v>31</v>
      </c>
      <c r="L81" s="100" t="s">
        <v>59</v>
      </c>
      <c r="M81" s="31" t="s">
        <v>60</v>
      </c>
      <c r="N81" s="22"/>
      <c r="O81" s="23"/>
      <c r="P81" s="39"/>
      <c r="Q81" s="107"/>
      <c r="R81" s="107"/>
      <c r="S81" s="107"/>
    </row>
    <row r="82" spans="1:19" ht="19.149999999999999" customHeight="1" x14ac:dyDescent="0.2">
      <c r="A82" s="204"/>
      <c r="B82" s="190"/>
      <c r="C82" s="190"/>
      <c r="D82" s="107"/>
      <c r="E82" s="14">
        <v>6</v>
      </c>
      <c r="F82" s="24"/>
      <c r="G82" s="25">
        <v>45578</v>
      </c>
      <c r="H82" s="17">
        <v>1000</v>
      </c>
      <c r="I82" s="18">
        <v>43.69</v>
      </c>
      <c r="J82" s="19">
        <f t="shared" si="7"/>
        <v>1043.69</v>
      </c>
      <c r="K82" s="14" t="s">
        <v>31</v>
      </c>
      <c r="L82" s="100" t="s">
        <v>59</v>
      </c>
      <c r="M82" s="31" t="s">
        <v>60</v>
      </c>
      <c r="N82" s="22"/>
      <c r="O82" s="23"/>
      <c r="P82" s="39"/>
      <c r="Q82" s="107"/>
      <c r="R82" s="107"/>
      <c r="S82" s="107"/>
    </row>
    <row r="83" spans="1:19" ht="19.149999999999999" customHeight="1" x14ac:dyDescent="0.2">
      <c r="A83" s="193"/>
      <c r="B83" s="194"/>
      <c r="C83" s="194"/>
      <c r="D83" s="107"/>
      <c r="E83" s="14">
        <v>6</v>
      </c>
      <c r="F83" s="24"/>
      <c r="G83" s="25">
        <v>45585</v>
      </c>
      <c r="H83" s="17">
        <v>1000</v>
      </c>
      <c r="I83" s="18">
        <v>55.98</v>
      </c>
      <c r="J83" s="19">
        <f t="shared" si="7"/>
        <v>1055.98</v>
      </c>
      <c r="K83" s="14" t="s">
        <v>31</v>
      </c>
      <c r="L83" s="100" t="s">
        <v>59</v>
      </c>
      <c r="M83" s="31" t="s">
        <v>60</v>
      </c>
      <c r="N83" s="22"/>
      <c r="O83" s="23"/>
      <c r="P83" s="39"/>
      <c r="Q83" s="107"/>
      <c r="R83" s="107"/>
      <c r="S83" s="107"/>
    </row>
    <row r="84" spans="1:19" ht="19.149999999999999" customHeight="1" x14ac:dyDescent="0.2">
      <c r="A84" s="193" t="s">
        <v>77</v>
      </c>
      <c r="B84" s="194"/>
      <c r="C84" s="194"/>
      <c r="D84" s="107"/>
      <c r="E84" s="14">
        <v>4</v>
      </c>
      <c r="F84" s="24"/>
      <c r="G84" s="25">
        <v>45586</v>
      </c>
      <c r="H84" s="17">
        <v>1000</v>
      </c>
      <c r="I84" s="18">
        <v>34.19</v>
      </c>
      <c r="J84" s="19">
        <f t="shared" si="7"/>
        <v>1034.19</v>
      </c>
      <c r="K84" s="14" t="s">
        <v>31</v>
      </c>
      <c r="L84" s="100"/>
      <c r="M84" s="31" t="s">
        <v>60</v>
      </c>
      <c r="N84" s="22"/>
      <c r="O84" s="23"/>
      <c r="P84" s="39"/>
      <c r="Q84" s="107"/>
      <c r="R84" s="107"/>
      <c r="S84" s="107"/>
    </row>
    <row r="85" spans="1:19" ht="19.149999999999999" customHeight="1" x14ac:dyDescent="0.2">
      <c r="A85" s="195"/>
      <c r="B85" s="196"/>
      <c r="C85" s="196"/>
      <c r="D85" s="107"/>
      <c r="E85" s="14">
        <v>6</v>
      </c>
      <c r="F85" s="24"/>
      <c r="G85" s="25">
        <v>45592</v>
      </c>
      <c r="H85" s="17">
        <v>1000</v>
      </c>
      <c r="I85" s="18">
        <v>52.56</v>
      </c>
      <c r="J85" s="19">
        <f t="shared" si="7"/>
        <v>1052.56</v>
      </c>
      <c r="K85" s="14" t="s">
        <v>31</v>
      </c>
      <c r="L85" s="100" t="s">
        <v>59</v>
      </c>
      <c r="M85" s="31" t="s">
        <v>60</v>
      </c>
      <c r="N85" s="22"/>
      <c r="O85" s="23"/>
      <c r="P85" s="39"/>
      <c r="Q85" s="107"/>
      <c r="R85" s="107"/>
      <c r="S85" s="107"/>
    </row>
    <row r="86" spans="1:19" ht="19.149999999999999" customHeight="1" x14ac:dyDescent="0.2">
      <c r="A86" s="189" t="s">
        <v>78</v>
      </c>
      <c r="B86" s="190"/>
      <c r="C86" s="190"/>
      <c r="D86" s="107"/>
      <c r="E86" s="14">
        <v>5</v>
      </c>
      <c r="F86" s="24"/>
      <c r="G86" s="25">
        <v>45593</v>
      </c>
      <c r="H86" s="17">
        <v>5000</v>
      </c>
      <c r="I86" s="18">
        <v>200.2</v>
      </c>
      <c r="J86" s="19">
        <f t="shared" si="7"/>
        <v>5200.2</v>
      </c>
      <c r="K86" s="14" t="s">
        <v>31</v>
      </c>
      <c r="L86" s="100"/>
      <c r="M86" s="31" t="s">
        <v>60</v>
      </c>
      <c r="N86" s="22"/>
      <c r="O86" s="23"/>
      <c r="P86" s="39"/>
      <c r="Q86" s="107"/>
      <c r="R86" s="107"/>
      <c r="S86" s="107"/>
    </row>
    <row r="87" spans="1:19" ht="19.149999999999999" customHeight="1" x14ac:dyDescent="0.2">
      <c r="A87" s="195" t="s">
        <v>79</v>
      </c>
      <c r="B87" s="196"/>
      <c r="C87" s="196"/>
      <c r="D87" s="107"/>
      <c r="E87" s="14">
        <v>5</v>
      </c>
      <c r="F87" s="24"/>
      <c r="G87" s="25">
        <v>45593</v>
      </c>
      <c r="H87" s="17">
        <v>1000</v>
      </c>
      <c r="I87" s="18">
        <v>40.4</v>
      </c>
      <c r="J87" s="19">
        <f t="shared" si="7"/>
        <v>1040.4000000000001</v>
      </c>
      <c r="K87" s="14" t="s">
        <v>31</v>
      </c>
      <c r="L87" s="100"/>
      <c r="M87" s="31" t="s">
        <v>60</v>
      </c>
      <c r="N87" s="22"/>
      <c r="O87" s="23"/>
      <c r="P87" s="39"/>
      <c r="Q87" s="107"/>
      <c r="R87" s="107"/>
      <c r="S87" s="107"/>
    </row>
    <row r="88" spans="1:19" ht="19.149999999999999" customHeight="1" x14ac:dyDescent="0.2">
      <c r="A88" s="197" t="s">
        <v>80</v>
      </c>
      <c r="B88" s="198"/>
      <c r="C88" s="198"/>
      <c r="D88" s="107"/>
      <c r="E88" s="14">
        <v>5</v>
      </c>
      <c r="F88" s="24"/>
      <c r="G88" s="25">
        <v>45595</v>
      </c>
      <c r="H88" s="17">
        <v>1000</v>
      </c>
      <c r="I88" s="18">
        <v>46.97</v>
      </c>
      <c r="J88" s="19">
        <f t="shared" si="7"/>
        <v>1046.97</v>
      </c>
      <c r="K88" s="14" t="s">
        <v>31</v>
      </c>
      <c r="L88" s="100"/>
      <c r="M88" s="31" t="s">
        <v>60</v>
      </c>
      <c r="N88" s="22"/>
      <c r="O88" s="23"/>
      <c r="P88" s="39"/>
      <c r="Q88" s="107"/>
      <c r="R88" s="107"/>
      <c r="S88" s="107"/>
    </row>
    <row r="89" spans="1:19" ht="19.149999999999999" customHeight="1" x14ac:dyDescent="0.2">
      <c r="A89" s="199" t="s">
        <v>81</v>
      </c>
      <c r="B89" s="200"/>
      <c r="C89" s="200"/>
      <c r="D89" s="107"/>
      <c r="E89" s="14">
        <v>3</v>
      </c>
      <c r="F89" s="24"/>
      <c r="G89" s="25">
        <v>45596</v>
      </c>
      <c r="H89" s="17">
        <v>1000</v>
      </c>
      <c r="I89" s="18">
        <v>48.77</v>
      </c>
      <c r="J89" s="19">
        <f t="shared" si="7"/>
        <v>1048.77</v>
      </c>
      <c r="K89" s="14" t="s">
        <v>31</v>
      </c>
      <c r="L89" s="100" t="s">
        <v>59</v>
      </c>
      <c r="M89" s="31" t="s">
        <v>60</v>
      </c>
      <c r="N89" s="22"/>
      <c r="O89" s="23"/>
      <c r="P89" s="39"/>
      <c r="Q89" s="107"/>
      <c r="R89" s="107"/>
      <c r="S89" s="107"/>
    </row>
    <row r="90" spans="1:19" ht="19.149999999999999" customHeight="1" x14ac:dyDescent="0.2">
      <c r="A90" s="189" t="s">
        <v>82</v>
      </c>
      <c r="B90" s="190"/>
      <c r="C90" s="190"/>
      <c r="D90" s="107"/>
      <c r="E90" s="14">
        <v>7</v>
      </c>
      <c r="F90" s="24"/>
      <c r="G90" s="25">
        <v>45596</v>
      </c>
      <c r="H90" s="17">
        <v>1000</v>
      </c>
      <c r="I90" s="18">
        <v>47.3</v>
      </c>
      <c r="J90" s="19">
        <f t="shared" si="7"/>
        <v>1047.3</v>
      </c>
      <c r="K90" s="14" t="s">
        <v>31</v>
      </c>
      <c r="L90" s="100" t="s">
        <v>59</v>
      </c>
      <c r="M90" s="31" t="s">
        <v>60</v>
      </c>
      <c r="N90" s="22"/>
      <c r="O90" s="23"/>
      <c r="P90" s="39"/>
      <c r="Q90" s="107"/>
      <c r="R90" s="107"/>
      <c r="S90" s="107"/>
    </row>
    <row r="91" spans="1:19" ht="19.149999999999999" customHeight="1" x14ac:dyDescent="0.2">
      <c r="A91" s="195" t="s">
        <v>83</v>
      </c>
      <c r="B91" s="196"/>
      <c r="C91" s="196"/>
      <c r="D91" s="107"/>
      <c r="E91" s="14">
        <v>6</v>
      </c>
      <c r="F91" s="24"/>
      <c r="G91" s="25">
        <v>45596</v>
      </c>
      <c r="H91" s="17">
        <v>2000</v>
      </c>
      <c r="I91" s="18">
        <v>46.94</v>
      </c>
      <c r="J91" s="19">
        <f t="shared" si="7"/>
        <v>2046.94</v>
      </c>
      <c r="K91" s="14" t="s">
        <v>31</v>
      </c>
      <c r="L91" s="100" t="s">
        <v>59</v>
      </c>
      <c r="M91" s="31" t="s">
        <v>60</v>
      </c>
      <c r="N91" s="22"/>
      <c r="O91" s="23"/>
      <c r="P91" s="39"/>
      <c r="Q91" s="107"/>
      <c r="R91" s="107"/>
      <c r="S91" s="107"/>
    </row>
    <row r="92" spans="1:19" ht="19.149999999999999" customHeight="1" x14ac:dyDescent="0.2">
      <c r="A92" s="189"/>
      <c r="B92" s="190"/>
      <c r="C92" s="190"/>
      <c r="D92" s="107"/>
      <c r="E92" s="14">
        <v>4</v>
      </c>
      <c r="F92" s="24"/>
      <c r="G92" s="25">
        <v>45600</v>
      </c>
      <c r="H92" s="17">
        <v>5000</v>
      </c>
      <c r="I92" s="18">
        <v>151.96</v>
      </c>
      <c r="J92" s="19">
        <f t="shared" si="7"/>
        <v>5151.96</v>
      </c>
      <c r="K92" s="14" t="s">
        <v>31</v>
      </c>
      <c r="L92" s="100" t="s">
        <v>59</v>
      </c>
      <c r="M92" s="31" t="s">
        <v>60</v>
      </c>
      <c r="N92" s="22"/>
      <c r="O92" s="23"/>
      <c r="P92" s="39"/>
      <c r="Q92" s="107"/>
      <c r="R92" s="107"/>
      <c r="S92" s="107"/>
    </row>
    <row r="93" spans="1:19" ht="19.149999999999999" customHeight="1" x14ac:dyDescent="0.2">
      <c r="A93" s="195" t="s">
        <v>84</v>
      </c>
      <c r="B93" s="196"/>
      <c r="C93" s="196"/>
      <c r="D93" s="107"/>
      <c r="E93" s="14">
        <v>5</v>
      </c>
      <c r="F93" s="24"/>
      <c r="G93" s="25">
        <v>45601</v>
      </c>
      <c r="H93" s="17">
        <v>1000</v>
      </c>
      <c r="I93" s="18">
        <v>45.75</v>
      </c>
      <c r="J93" s="19">
        <f t="shared" si="7"/>
        <v>1045.75</v>
      </c>
      <c r="K93" s="14" t="s">
        <v>31</v>
      </c>
      <c r="L93" s="100" t="s">
        <v>59</v>
      </c>
      <c r="M93" s="31" t="s">
        <v>60</v>
      </c>
      <c r="N93" s="22"/>
      <c r="O93" s="23"/>
      <c r="P93" s="39"/>
      <c r="Q93" s="107"/>
      <c r="R93" s="107"/>
      <c r="S93" s="107"/>
    </row>
    <row r="94" spans="1:19" ht="19.149999999999999" customHeight="1" x14ac:dyDescent="0.2">
      <c r="A94" s="191"/>
      <c r="B94" s="192"/>
      <c r="C94" s="192"/>
      <c r="D94" s="107"/>
      <c r="E94" s="14">
        <v>6</v>
      </c>
      <c r="F94" s="24"/>
      <c r="G94" s="25">
        <v>45602</v>
      </c>
      <c r="H94" s="17">
        <v>1000</v>
      </c>
      <c r="I94" s="18">
        <v>51.9</v>
      </c>
      <c r="J94" s="19">
        <f t="shared" si="7"/>
        <v>1051.9000000000001</v>
      </c>
      <c r="K94" s="14" t="s">
        <v>31</v>
      </c>
      <c r="L94" s="100"/>
      <c r="M94" s="31" t="s">
        <v>60</v>
      </c>
      <c r="N94" s="22"/>
      <c r="O94" s="23"/>
      <c r="P94" s="39"/>
      <c r="Q94" s="107"/>
      <c r="R94" s="107"/>
      <c r="S94" s="107"/>
    </row>
    <row r="95" spans="1:19" ht="19.149999999999999" customHeight="1" x14ac:dyDescent="0.2">
      <c r="A95" s="193"/>
      <c r="B95" s="194"/>
      <c r="C95" s="194"/>
      <c r="D95" s="107"/>
      <c r="E95" s="14">
        <v>5</v>
      </c>
      <c r="F95" s="24"/>
      <c r="G95" s="25">
        <v>45606</v>
      </c>
      <c r="H95" s="17">
        <v>1000</v>
      </c>
      <c r="I95" s="18">
        <v>82.56</v>
      </c>
      <c r="J95" s="19">
        <f t="shared" si="7"/>
        <v>1082.56</v>
      </c>
      <c r="K95" s="14" t="s">
        <v>31</v>
      </c>
      <c r="L95" s="100" t="s">
        <v>59</v>
      </c>
      <c r="M95" s="31" t="s">
        <v>60</v>
      </c>
      <c r="N95" s="22"/>
      <c r="O95" s="23"/>
      <c r="P95" s="39"/>
      <c r="Q95" s="107"/>
      <c r="R95" s="107"/>
      <c r="S95" s="107"/>
    </row>
    <row r="96" spans="1:19" ht="19.149999999999999" customHeight="1" x14ac:dyDescent="0.2">
      <c r="A96" s="189"/>
      <c r="B96" s="190"/>
      <c r="C96" s="190"/>
      <c r="D96" s="107"/>
      <c r="E96" s="14">
        <v>7</v>
      </c>
      <c r="F96" s="24"/>
      <c r="G96" s="25">
        <v>45627</v>
      </c>
      <c r="H96" s="17">
        <v>1000</v>
      </c>
      <c r="I96" s="18">
        <v>52.42</v>
      </c>
      <c r="J96" s="19">
        <f t="shared" si="7"/>
        <v>1052.42</v>
      </c>
      <c r="K96" s="14" t="s">
        <v>31</v>
      </c>
      <c r="L96" s="100" t="s">
        <v>59</v>
      </c>
      <c r="M96" s="31" t="s">
        <v>60</v>
      </c>
      <c r="N96" s="22"/>
      <c r="O96" s="23"/>
      <c r="P96" s="39"/>
      <c r="Q96" s="107"/>
      <c r="R96" s="107"/>
      <c r="S96" s="107"/>
    </row>
    <row r="97" spans="1:19" ht="19.149999999999999" customHeight="1" x14ac:dyDescent="0.2">
      <c r="A97" s="189"/>
      <c r="B97" s="190"/>
      <c r="C97" s="190"/>
      <c r="D97" s="107"/>
      <c r="E97" s="14">
        <v>5</v>
      </c>
      <c r="F97" s="24"/>
      <c r="G97" s="25">
        <v>45606</v>
      </c>
      <c r="H97" s="17">
        <v>2000</v>
      </c>
      <c r="I97" s="18">
        <v>82.56</v>
      </c>
      <c r="J97" s="19">
        <f t="shared" si="7"/>
        <v>2082.56</v>
      </c>
      <c r="K97" s="14" t="s">
        <v>31</v>
      </c>
      <c r="L97" s="100"/>
      <c r="M97" s="31" t="s">
        <v>60</v>
      </c>
      <c r="N97" s="22"/>
      <c r="O97" s="23"/>
      <c r="P97" s="39"/>
      <c r="Q97" s="107"/>
      <c r="R97" s="107"/>
      <c r="S97" s="107"/>
    </row>
    <row r="98" spans="1:19" ht="19.149999999999999" customHeight="1" x14ac:dyDescent="0.2">
      <c r="A98" s="189"/>
      <c r="B98" s="190"/>
      <c r="C98" s="190"/>
      <c r="D98" s="107"/>
      <c r="E98" s="14">
        <v>4</v>
      </c>
      <c r="F98" s="24"/>
      <c r="G98" s="25">
        <v>45606</v>
      </c>
      <c r="H98" s="17">
        <v>4000</v>
      </c>
      <c r="I98" s="18">
        <v>128.19999999999999</v>
      </c>
      <c r="J98" s="19">
        <f t="shared" si="7"/>
        <v>4128.2</v>
      </c>
      <c r="K98" s="14" t="s">
        <v>31</v>
      </c>
      <c r="L98" s="100"/>
      <c r="M98" s="31" t="s">
        <v>60</v>
      </c>
      <c r="N98" s="22"/>
      <c r="O98" s="23"/>
      <c r="P98" s="39"/>
      <c r="Q98" s="107"/>
      <c r="R98" s="107"/>
      <c r="S98" s="107"/>
    </row>
    <row r="99" spans="1:19" ht="19.149999999999999" customHeight="1" x14ac:dyDescent="0.2">
      <c r="A99" s="189"/>
      <c r="B99" s="190"/>
      <c r="C99" s="190"/>
      <c r="D99" s="107"/>
      <c r="E99" s="14">
        <v>5</v>
      </c>
      <c r="F99" s="24"/>
      <c r="G99" s="25">
        <v>45609</v>
      </c>
      <c r="H99" s="17">
        <v>1000</v>
      </c>
      <c r="I99" s="18">
        <v>46.13</v>
      </c>
      <c r="J99" s="19">
        <f t="shared" si="7"/>
        <v>1046.1300000000001</v>
      </c>
      <c r="K99" s="14" t="s">
        <v>31</v>
      </c>
      <c r="L99" s="100"/>
      <c r="M99" s="31" t="s">
        <v>60</v>
      </c>
      <c r="N99" s="22"/>
      <c r="O99" s="23"/>
      <c r="P99" s="39"/>
      <c r="Q99" s="107"/>
      <c r="R99" s="107"/>
      <c r="S99" s="107"/>
    </row>
    <row r="100" spans="1:19" ht="19.149999999999999" customHeight="1" x14ac:dyDescent="0.2">
      <c r="A100" s="189"/>
      <c r="B100" s="190"/>
      <c r="C100" s="190"/>
      <c r="D100" s="107"/>
      <c r="E100" s="14">
        <v>4</v>
      </c>
      <c r="F100" s="24"/>
      <c r="G100" s="25">
        <v>45615</v>
      </c>
      <c r="H100" s="17">
        <v>10000</v>
      </c>
      <c r="I100" s="18">
        <v>318.2</v>
      </c>
      <c r="J100" s="19">
        <f t="shared" si="7"/>
        <v>10318.200000000001</v>
      </c>
      <c r="K100" s="14" t="s">
        <v>31</v>
      </c>
      <c r="L100" s="100"/>
      <c r="M100" s="31" t="s">
        <v>60</v>
      </c>
      <c r="N100" s="22"/>
      <c r="O100" s="23"/>
      <c r="P100" s="39"/>
      <c r="Q100" s="107"/>
      <c r="R100" s="107"/>
      <c r="S100" s="107"/>
    </row>
    <row r="101" spans="1:19" ht="19.149999999999999" customHeight="1" x14ac:dyDescent="0.2">
      <c r="A101" s="189"/>
      <c r="B101" s="190"/>
      <c r="C101" s="190"/>
      <c r="D101" s="107"/>
      <c r="E101" s="14">
        <v>3</v>
      </c>
      <c r="F101" s="24"/>
      <c r="G101" s="25">
        <v>45624</v>
      </c>
      <c r="H101" s="17">
        <v>5000</v>
      </c>
      <c r="I101" s="18">
        <v>119.24</v>
      </c>
      <c r="J101" s="19">
        <f t="shared" si="7"/>
        <v>5119.24</v>
      </c>
      <c r="K101" s="14" t="s">
        <v>31</v>
      </c>
      <c r="L101" s="100" t="s">
        <v>59</v>
      </c>
      <c r="M101" s="31" t="s">
        <v>60</v>
      </c>
      <c r="N101" s="22"/>
      <c r="O101" s="23"/>
      <c r="P101" s="39"/>
      <c r="Q101" s="107"/>
      <c r="R101" s="107"/>
      <c r="S101" s="107"/>
    </row>
    <row r="102" spans="1:19" ht="19.149999999999999" customHeight="1" x14ac:dyDescent="0.2">
      <c r="A102" s="189"/>
      <c r="B102" s="190"/>
      <c r="C102" s="190"/>
      <c r="D102" s="107"/>
      <c r="E102" s="14">
        <v>6</v>
      </c>
      <c r="F102" s="24"/>
      <c r="G102" s="25">
        <v>45627</v>
      </c>
      <c r="H102" s="17">
        <v>1000</v>
      </c>
      <c r="I102" s="18">
        <v>52.27</v>
      </c>
      <c r="J102" s="19">
        <f t="shared" si="7"/>
        <v>1052.27</v>
      </c>
      <c r="K102" s="14" t="s">
        <v>31</v>
      </c>
      <c r="L102" s="100" t="s">
        <v>59</v>
      </c>
      <c r="M102" s="31" t="s">
        <v>60</v>
      </c>
      <c r="N102" s="22"/>
      <c r="O102" s="23"/>
      <c r="P102" s="39"/>
      <c r="Q102" s="107"/>
      <c r="R102" s="107"/>
      <c r="S102" s="107"/>
    </row>
    <row r="103" spans="1:19" ht="19.149999999999999" customHeight="1" x14ac:dyDescent="0.2">
      <c r="A103" s="189"/>
      <c r="B103" s="190"/>
      <c r="C103" s="190"/>
      <c r="D103" s="107"/>
      <c r="E103" s="14">
        <v>5</v>
      </c>
      <c r="F103" s="24"/>
      <c r="G103" s="25">
        <v>45628</v>
      </c>
      <c r="H103" s="17">
        <v>5000</v>
      </c>
      <c r="I103" s="18">
        <v>212.8</v>
      </c>
      <c r="J103" s="19">
        <f t="shared" si="7"/>
        <v>5212.8</v>
      </c>
      <c r="K103" s="14" t="s">
        <v>31</v>
      </c>
      <c r="L103" s="100" t="s">
        <v>59</v>
      </c>
      <c r="M103" s="31" t="s">
        <v>60</v>
      </c>
      <c r="N103" s="22"/>
      <c r="O103" s="23"/>
      <c r="P103" s="39"/>
      <c r="Q103" s="107"/>
      <c r="R103" s="107"/>
      <c r="S103" s="107"/>
    </row>
    <row r="104" spans="1:19" ht="19.149999999999999" customHeight="1" x14ac:dyDescent="0.2">
      <c r="A104" s="189"/>
      <c r="B104" s="190"/>
      <c r="C104" s="190"/>
      <c r="D104" s="107"/>
      <c r="E104" s="14">
        <v>6</v>
      </c>
      <c r="F104" s="24"/>
      <c r="G104" s="25">
        <v>45628</v>
      </c>
      <c r="H104" s="17">
        <v>2000</v>
      </c>
      <c r="I104" s="18">
        <v>109.5</v>
      </c>
      <c r="J104" s="19">
        <f t="shared" si="7"/>
        <v>2109.5</v>
      </c>
      <c r="K104" s="14" t="s">
        <v>31</v>
      </c>
      <c r="L104" s="100"/>
      <c r="M104" s="31" t="s">
        <v>60</v>
      </c>
      <c r="N104" s="22"/>
      <c r="O104" s="23"/>
      <c r="P104" s="39"/>
      <c r="Q104" s="107"/>
      <c r="R104" s="107"/>
      <c r="S104" s="107"/>
    </row>
    <row r="105" spans="1:19" ht="19.149999999999999" customHeight="1" x14ac:dyDescent="0.2">
      <c r="A105" s="189"/>
      <c r="B105" s="190"/>
      <c r="C105" s="190"/>
      <c r="D105" s="107"/>
      <c r="E105" s="14">
        <v>4</v>
      </c>
      <c r="F105" s="24"/>
      <c r="G105" s="25">
        <v>45635</v>
      </c>
      <c r="H105" s="17">
        <v>1000</v>
      </c>
      <c r="I105" s="18">
        <v>34.4</v>
      </c>
      <c r="J105" s="19">
        <f t="shared" si="7"/>
        <v>1034.4000000000001</v>
      </c>
      <c r="K105" s="14" t="s">
        <v>31</v>
      </c>
      <c r="L105" s="100"/>
      <c r="M105" s="31" t="s">
        <v>60</v>
      </c>
      <c r="N105" s="22"/>
      <c r="O105" s="23"/>
      <c r="P105" s="39"/>
      <c r="Q105" s="107"/>
      <c r="R105" s="107"/>
      <c r="S105" s="107"/>
    </row>
    <row r="106" spans="1:19" ht="19.149999999999999" customHeight="1" x14ac:dyDescent="0.2">
      <c r="A106" s="189"/>
      <c r="B106" s="190"/>
      <c r="C106" s="190"/>
      <c r="D106" s="107"/>
      <c r="E106" s="14">
        <v>6</v>
      </c>
      <c r="F106" s="24"/>
      <c r="G106" s="25">
        <v>45637</v>
      </c>
      <c r="H106" s="17">
        <v>1000</v>
      </c>
      <c r="I106" s="18">
        <v>50.79</v>
      </c>
      <c r="J106" s="19">
        <f t="shared" si="7"/>
        <v>1050.79</v>
      </c>
      <c r="K106" s="14" t="s">
        <v>31</v>
      </c>
      <c r="L106" s="100" t="s">
        <v>59</v>
      </c>
      <c r="M106" s="31" t="s">
        <v>60</v>
      </c>
      <c r="N106" s="22"/>
      <c r="O106" s="23"/>
      <c r="P106" s="39"/>
      <c r="Q106" s="107"/>
      <c r="R106" s="107"/>
      <c r="S106" s="107"/>
    </row>
    <row r="107" spans="1:19" ht="19.149999999999999" customHeight="1" x14ac:dyDescent="0.2">
      <c r="A107" s="191"/>
      <c r="B107" s="192"/>
      <c r="C107" s="192"/>
      <c r="D107" s="107"/>
      <c r="E107" s="14">
        <v>8</v>
      </c>
      <c r="F107" s="24"/>
      <c r="G107" s="25">
        <v>45642</v>
      </c>
      <c r="H107" s="17">
        <v>1000</v>
      </c>
      <c r="I107" s="18">
        <v>65.180000000000007</v>
      </c>
      <c r="J107" s="19">
        <f t="shared" si="7"/>
        <v>1065.18</v>
      </c>
      <c r="K107" s="14" t="s">
        <v>31</v>
      </c>
      <c r="L107" s="100" t="s">
        <v>59</v>
      </c>
      <c r="M107" s="31" t="s">
        <v>60</v>
      </c>
      <c r="N107" s="22"/>
      <c r="O107" s="23"/>
      <c r="P107" s="39"/>
      <c r="Q107" s="107"/>
      <c r="R107" s="107"/>
      <c r="S107" s="107"/>
    </row>
    <row r="108" spans="1:19" ht="19.149999999999999" customHeight="1" x14ac:dyDescent="0.2">
      <c r="A108" s="107"/>
      <c r="B108" s="107"/>
      <c r="C108" s="107"/>
      <c r="D108" s="107"/>
      <c r="E108" s="14">
        <v>4</v>
      </c>
      <c r="F108" s="24"/>
      <c r="G108" s="25">
        <v>45656</v>
      </c>
      <c r="H108" s="17">
        <v>5000</v>
      </c>
      <c r="I108" s="18">
        <v>164.78</v>
      </c>
      <c r="J108" s="19">
        <f t="shared" si="7"/>
        <v>5164.78</v>
      </c>
      <c r="K108" s="14" t="s">
        <v>31</v>
      </c>
      <c r="L108" s="100"/>
      <c r="M108" s="31" t="s">
        <v>60</v>
      </c>
      <c r="N108" s="22"/>
      <c r="O108" s="23"/>
      <c r="P108" s="39"/>
      <c r="Q108" s="107"/>
      <c r="R108" s="107"/>
      <c r="S108" s="107"/>
    </row>
    <row r="109" spans="1:19" ht="19.149999999999999" customHeight="1" x14ac:dyDescent="0.2">
      <c r="A109" s="175"/>
      <c r="B109" s="175"/>
      <c r="C109" s="168" t="s">
        <v>85</v>
      </c>
      <c r="D109" s="107"/>
      <c r="E109" s="14">
        <v>4</v>
      </c>
      <c r="F109" s="24"/>
      <c r="G109" s="25">
        <v>45657</v>
      </c>
      <c r="H109" s="17">
        <v>5000</v>
      </c>
      <c r="I109" s="18">
        <v>189.4</v>
      </c>
      <c r="J109" s="19">
        <f t="shared" si="7"/>
        <v>5189.3999999999996</v>
      </c>
      <c r="K109" s="14" t="s">
        <v>31</v>
      </c>
      <c r="L109" s="100"/>
      <c r="M109" s="31" t="s">
        <v>60</v>
      </c>
      <c r="N109" s="22"/>
      <c r="O109" s="23"/>
      <c r="P109" s="39"/>
      <c r="Q109" s="107"/>
      <c r="R109" s="107"/>
      <c r="S109" s="107"/>
    </row>
    <row r="110" spans="1:19" ht="19.149999999999999" customHeight="1" x14ac:dyDescent="0.2">
      <c r="A110" s="117"/>
      <c r="B110" s="130"/>
      <c r="C110" s="119">
        <f>SUMPRODUCT(H2:H509, E2:E509) / SUM(H2:H509)</f>
        <v>12.29662967671007</v>
      </c>
      <c r="D110" s="107"/>
      <c r="E110" s="14">
        <v>5</v>
      </c>
      <c r="F110" s="24"/>
      <c r="G110" s="25">
        <v>45662</v>
      </c>
      <c r="H110" s="17">
        <v>1000</v>
      </c>
      <c r="I110" s="18">
        <v>47.59</v>
      </c>
      <c r="J110" s="19">
        <f t="shared" si="7"/>
        <v>1047.5899999999999</v>
      </c>
      <c r="K110" s="14" t="s">
        <v>31</v>
      </c>
      <c r="L110" s="100"/>
      <c r="M110" s="31" t="s">
        <v>60</v>
      </c>
      <c r="N110" s="22"/>
      <c r="O110" s="23"/>
      <c r="P110" s="39"/>
      <c r="Q110" s="107"/>
      <c r="R110" s="107"/>
      <c r="S110" s="107"/>
    </row>
    <row r="111" spans="1:19" ht="19.149999999999999" customHeight="1" x14ac:dyDescent="0.2">
      <c r="A111" s="107"/>
      <c r="B111" s="107"/>
      <c r="C111" s="107"/>
      <c r="D111" s="107"/>
      <c r="E111" s="14">
        <v>3</v>
      </c>
      <c r="F111" s="24"/>
      <c r="G111" s="25">
        <v>45662</v>
      </c>
      <c r="H111" s="17">
        <v>5000</v>
      </c>
      <c r="I111" s="18">
        <v>144.33000000000001</v>
      </c>
      <c r="J111" s="19">
        <f t="shared" si="7"/>
        <v>5144.33</v>
      </c>
      <c r="K111" s="14" t="s">
        <v>31</v>
      </c>
      <c r="L111" s="100"/>
      <c r="M111" s="31" t="s">
        <v>60</v>
      </c>
      <c r="N111" s="22"/>
      <c r="O111" s="23"/>
      <c r="P111" s="39"/>
      <c r="Q111" s="107"/>
      <c r="R111" s="107"/>
      <c r="S111" s="107"/>
    </row>
    <row r="112" spans="1:19" ht="19.149999999999999" customHeight="1" x14ac:dyDescent="0.2">
      <c r="A112" s="175" t="s">
        <v>86</v>
      </c>
      <c r="B112" s="175" t="s">
        <v>87</v>
      </c>
      <c r="C112" s="175" t="s">
        <v>64</v>
      </c>
      <c r="D112" s="107"/>
      <c r="E112" s="14">
        <v>4</v>
      </c>
      <c r="F112" s="24"/>
      <c r="G112" s="25">
        <v>45666</v>
      </c>
      <c r="H112" s="17">
        <v>1000</v>
      </c>
      <c r="I112" s="18">
        <v>34.4</v>
      </c>
      <c r="J112" s="19">
        <f t="shared" si="7"/>
        <v>1034.4000000000001</v>
      </c>
      <c r="K112" s="14" t="s">
        <v>31</v>
      </c>
      <c r="L112" s="100"/>
      <c r="M112" s="31" t="s">
        <v>60</v>
      </c>
      <c r="N112" s="22"/>
      <c r="O112" s="23"/>
      <c r="P112" s="39"/>
      <c r="Q112" s="107"/>
      <c r="R112" s="107"/>
      <c r="S112" s="107"/>
    </row>
    <row r="113" spans="1:19" ht="19.149999999999999" customHeight="1" x14ac:dyDescent="0.2">
      <c r="A113" s="157">
        <v>45788</v>
      </c>
      <c r="B113" s="159">
        <v>724198.82</v>
      </c>
      <c r="C113" s="158">
        <v>724198.82</v>
      </c>
      <c r="D113" s="107"/>
      <c r="E113" s="14">
        <v>5</v>
      </c>
      <c r="F113" s="24"/>
      <c r="G113" s="25">
        <v>45678</v>
      </c>
      <c r="H113" s="17">
        <v>6000</v>
      </c>
      <c r="I113" s="18">
        <v>282.74</v>
      </c>
      <c r="J113" s="19">
        <f t="shared" si="7"/>
        <v>6282.74</v>
      </c>
      <c r="K113" s="14" t="s">
        <v>31</v>
      </c>
      <c r="L113" s="100" t="s">
        <v>59</v>
      </c>
      <c r="M113" s="31" t="s">
        <v>60</v>
      </c>
      <c r="N113" s="22"/>
      <c r="O113" s="23"/>
      <c r="P113" s="39"/>
      <c r="Q113" s="107"/>
      <c r="R113" s="107"/>
      <c r="S113" s="107"/>
    </row>
    <row r="114" spans="1:19" ht="19.149999999999999" customHeight="1" x14ac:dyDescent="0.2">
      <c r="A114" s="157">
        <v>45820</v>
      </c>
      <c r="B114" s="159">
        <f>B113*1.0117</f>
        <v>732671.94619399996</v>
      </c>
      <c r="C114" s="158">
        <v>735540.12</v>
      </c>
      <c r="D114" s="107"/>
      <c r="E114" s="14">
        <v>6</v>
      </c>
      <c r="F114" s="24"/>
      <c r="G114" s="25">
        <v>45679</v>
      </c>
      <c r="H114" s="17">
        <v>1000</v>
      </c>
      <c r="I114" s="18">
        <v>47.92</v>
      </c>
      <c r="J114" s="19">
        <f t="shared" si="7"/>
        <v>1047.92</v>
      </c>
      <c r="K114" s="14" t="s">
        <v>31</v>
      </c>
      <c r="L114" s="100" t="s">
        <v>59</v>
      </c>
      <c r="M114" s="31" t="s">
        <v>60</v>
      </c>
      <c r="N114" s="22"/>
      <c r="O114" s="23"/>
      <c r="P114" s="39"/>
      <c r="Q114" s="107"/>
      <c r="R114" s="107"/>
      <c r="S114" s="107"/>
    </row>
    <row r="115" spans="1:19" ht="19.149999999999999" customHeight="1" x14ac:dyDescent="0.2">
      <c r="A115" s="157">
        <v>45839</v>
      </c>
      <c r="B115" s="159">
        <f t="shared" ref="B115:B125" si="11">B114*1.0117</f>
        <v>741244.2079644698</v>
      </c>
      <c r="C115" s="158">
        <v>731647</v>
      </c>
      <c r="D115" s="107"/>
      <c r="E115" s="14">
        <v>5</v>
      </c>
      <c r="F115" s="24"/>
      <c r="G115" s="25">
        <v>45680</v>
      </c>
      <c r="H115" s="17">
        <v>5000</v>
      </c>
      <c r="I115" s="18">
        <v>221.52</v>
      </c>
      <c r="J115" s="19">
        <f t="shared" si="7"/>
        <v>5221.5200000000004</v>
      </c>
      <c r="K115" s="14" t="s">
        <v>31</v>
      </c>
      <c r="L115" s="100" t="s">
        <v>59</v>
      </c>
      <c r="M115" s="31" t="s">
        <v>60</v>
      </c>
      <c r="N115" s="22"/>
      <c r="O115" s="23"/>
      <c r="P115" s="39"/>
      <c r="Q115" s="107"/>
      <c r="R115" s="107"/>
      <c r="S115" s="107"/>
    </row>
    <row r="116" spans="1:19" ht="19.149999999999999" customHeight="1" x14ac:dyDescent="0.2">
      <c r="A116" s="157">
        <v>45870</v>
      </c>
      <c r="B116" s="159">
        <f>B115*1.0117</f>
        <v>749916.76519765414</v>
      </c>
      <c r="C116" s="158">
        <v>751621</v>
      </c>
      <c r="D116" s="107"/>
      <c r="E116" s="14">
        <v>5</v>
      </c>
      <c r="F116" s="24"/>
      <c r="G116" s="25">
        <v>45685</v>
      </c>
      <c r="H116" s="17">
        <v>5000</v>
      </c>
      <c r="I116" s="18">
        <v>246.2</v>
      </c>
      <c r="J116" s="19">
        <f t="shared" si="7"/>
        <v>5246.2</v>
      </c>
      <c r="K116" s="14" t="s">
        <v>31</v>
      </c>
      <c r="L116" s="100"/>
      <c r="M116" s="31" t="s">
        <v>60</v>
      </c>
      <c r="N116" s="22"/>
      <c r="O116" s="23"/>
      <c r="P116" s="39"/>
      <c r="Q116" s="107"/>
      <c r="R116" s="107"/>
      <c r="S116" s="107"/>
    </row>
    <row r="117" spans="1:19" ht="19.149999999999999" customHeight="1" x14ac:dyDescent="0.2">
      <c r="A117" s="157">
        <v>45901</v>
      </c>
      <c r="B117" s="159">
        <f t="shared" si="11"/>
        <v>758690.79135046678</v>
      </c>
      <c r="C117" s="158">
        <v>801624</v>
      </c>
      <c r="D117" s="107"/>
      <c r="E117" s="14">
        <v>5</v>
      </c>
      <c r="F117" s="24"/>
      <c r="G117" s="25">
        <v>45690</v>
      </c>
      <c r="H117" s="17">
        <v>6000</v>
      </c>
      <c r="I117" s="18">
        <v>273.51</v>
      </c>
      <c r="J117" s="19">
        <f t="shared" si="7"/>
        <v>6273.51</v>
      </c>
      <c r="K117" s="14" t="s">
        <v>31</v>
      </c>
      <c r="L117" s="100"/>
      <c r="M117" s="31" t="s">
        <v>60</v>
      </c>
      <c r="N117" s="22"/>
      <c r="O117" s="23"/>
      <c r="P117" s="39"/>
      <c r="Q117" s="107"/>
      <c r="R117" s="107"/>
      <c r="S117" s="107"/>
    </row>
    <row r="118" spans="1:19" ht="19.149999999999999" customHeight="1" x14ac:dyDescent="0.2">
      <c r="A118" s="157">
        <v>45931</v>
      </c>
      <c r="B118" s="159">
        <f t="shared" si="11"/>
        <v>767567.47360926727</v>
      </c>
      <c r="C118" s="158">
        <v>795952</v>
      </c>
      <c r="D118" s="107"/>
      <c r="E118" s="14">
        <v>5</v>
      </c>
      <c r="F118" s="24"/>
      <c r="G118" s="25">
        <v>45690</v>
      </c>
      <c r="H118" s="17">
        <v>2000</v>
      </c>
      <c r="I118" s="18">
        <v>82.55</v>
      </c>
      <c r="J118" s="19">
        <f t="shared" si="7"/>
        <v>2082.5500000000002</v>
      </c>
      <c r="K118" s="14" t="s">
        <v>31</v>
      </c>
      <c r="L118" s="100"/>
      <c r="M118" s="31" t="s">
        <v>60</v>
      </c>
      <c r="N118" s="22"/>
      <c r="O118" s="23"/>
      <c r="P118" s="39"/>
      <c r="Q118" s="107"/>
      <c r="R118" s="107"/>
      <c r="S118" s="107"/>
    </row>
    <row r="119" spans="1:19" ht="19.149999999999999" customHeight="1" x14ac:dyDescent="0.2">
      <c r="A119" s="157">
        <v>45962</v>
      </c>
      <c r="B119" s="159">
        <f t="shared" si="11"/>
        <v>776548.01305049576</v>
      </c>
      <c r="C119" s="158">
        <v>790281</v>
      </c>
      <c r="D119" s="107"/>
      <c r="E119" s="14">
        <v>6</v>
      </c>
      <c r="F119" s="24"/>
      <c r="G119" s="25">
        <v>45697</v>
      </c>
      <c r="H119" s="17">
        <v>5000</v>
      </c>
      <c r="I119" s="18">
        <v>234.32</v>
      </c>
      <c r="J119" s="19">
        <f t="shared" si="7"/>
        <v>5234.32</v>
      </c>
      <c r="K119" s="14" t="s">
        <v>31</v>
      </c>
      <c r="L119" s="100" t="s">
        <v>59</v>
      </c>
      <c r="M119" s="31" t="s">
        <v>60</v>
      </c>
      <c r="N119" s="22"/>
      <c r="O119" s="23"/>
      <c r="P119" s="39"/>
      <c r="Q119" s="107"/>
      <c r="R119" s="107"/>
      <c r="S119" s="107"/>
    </row>
    <row r="120" spans="1:19" ht="19.149999999999999" customHeight="1" x14ac:dyDescent="0.2">
      <c r="A120" s="157">
        <v>45992</v>
      </c>
      <c r="B120" s="159">
        <f t="shared" si="11"/>
        <v>785633.62480318663</v>
      </c>
      <c r="C120" s="158"/>
      <c r="D120" s="107"/>
      <c r="E120" s="14">
        <v>6</v>
      </c>
      <c r="F120" s="24"/>
      <c r="G120" s="25">
        <v>45701</v>
      </c>
      <c r="H120" s="17">
        <v>2000</v>
      </c>
      <c r="I120" s="18">
        <v>114.27</v>
      </c>
      <c r="J120" s="19">
        <f t="shared" si="7"/>
        <v>2114.27</v>
      </c>
      <c r="K120" s="14" t="s">
        <v>31</v>
      </c>
      <c r="L120" s="100"/>
      <c r="M120" s="31" t="s">
        <v>60</v>
      </c>
      <c r="N120" s="22"/>
      <c r="O120" s="23"/>
      <c r="P120" s="39"/>
      <c r="Q120" s="107"/>
      <c r="R120" s="107"/>
      <c r="S120" s="107"/>
    </row>
    <row r="121" spans="1:19" ht="19.149999999999999" customHeight="1" x14ac:dyDescent="0.2">
      <c r="A121" s="157">
        <v>46023</v>
      </c>
      <c r="B121" s="159">
        <f t="shared" si="11"/>
        <v>794825.53821338399</v>
      </c>
      <c r="C121" s="158"/>
      <c r="D121" s="107"/>
      <c r="E121" s="14">
        <v>3</v>
      </c>
      <c r="F121" s="24"/>
      <c r="G121" s="25">
        <v>45714</v>
      </c>
      <c r="H121" s="17">
        <v>5000</v>
      </c>
      <c r="I121" s="18">
        <v>141.30000000000001</v>
      </c>
      <c r="J121" s="19">
        <f t="shared" si="7"/>
        <v>5141.3</v>
      </c>
      <c r="K121" s="14" t="s">
        <v>31</v>
      </c>
      <c r="L121" s="100"/>
      <c r="M121" s="31" t="s">
        <v>60</v>
      </c>
      <c r="N121" s="22"/>
      <c r="O121" s="23"/>
      <c r="P121" s="39"/>
      <c r="Q121" s="107"/>
      <c r="R121" s="107"/>
      <c r="S121" s="107"/>
    </row>
    <row r="122" spans="1:19" ht="19.149999999999999" customHeight="1" x14ac:dyDescent="0.2">
      <c r="A122" s="157">
        <v>46054</v>
      </c>
      <c r="B122" s="159">
        <f t="shared" si="11"/>
        <v>804124.99701048061</v>
      </c>
      <c r="C122" s="158"/>
      <c r="D122" s="107"/>
      <c r="E122" s="14">
        <v>3</v>
      </c>
      <c r="F122" s="24"/>
      <c r="G122" s="25">
        <v>45718</v>
      </c>
      <c r="H122" s="17">
        <v>5000</v>
      </c>
      <c r="I122" s="18">
        <v>128.97999999999999</v>
      </c>
      <c r="J122" s="19">
        <f t="shared" si="7"/>
        <v>5128.9799999999996</v>
      </c>
      <c r="K122" s="14" t="s">
        <v>31</v>
      </c>
      <c r="L122" s="100"/>
      <c r="M122" s="31" t="s">
        <v>60</v>
      </c>
      <c r="N122" s="22"/>
      <c r="O122" s="23"/>
      <c r="P122" s="39"/>
      <c r="Q122" s="107"/>
      <c r="R122" s="107"/>
      <c r="S122" s="107"/>
    </row>
    <row r="123" spans="1:19" ht="19.149999999999999" customHeight="1" x14ac:dyDescent="0.2">
      <c r="A123" s="157">
        <v>46082</v>
      </c>
      <c r="B123" s="159">
        <f t="shared" si="11"/>
        <v>813533.25947550323</v>
      </c>
      <c r="C123" s="158"/>
      <c r="D123" s="107"/>
      <c r="E123" s="14">
        <v>6</v>
      </c>
      <c r="F123" s="24"/>
      <c r="G123" s="25">
        <v>45718</v>
      </c>
      <c r="H123" s="17">
        <v>5000</v>
      </c>
      <c r="I123" s="18">
        <v>264.88</v>
      </c>
      <c r="J123" s="19">
        <f t="shared" si="7"/>
        <v>5264.88</v>
      </c>
      <c r="K123" s="14" t="s">
        <v>31</v>
      </c>
      <c r="L123" s="100"/>
      <c r="M123" s="31" t="s">
        <v>60</v>
      </c>
      <c r="N123" s="22"/>
      <c r="O123" s="23"/>
      <c r="P123" s="39"/>
      <c r="Q123" s="107"/>
      <c r="R123" s="107"/>
      <c r="S123" s="107"/>
    </row>
    <row r="124" spans="1:19" ht="19.149999999999999" customHeight="1" x14ac:dyDescent="0.2">
      <c r="A124" s="157">
        <v>46113</v>
      </c>
      <c r="B124" s="159">
        <f t="shared" si="11"/>
        <v>823051.5986113667</v>
      </c>
      <c r="C124" s="158"/>
      <c r="D124" s="107"/>
      <c r="E124" s="14">
        <v>3</v>
      </c>
      <c r="F124" s="24"/>
      <c r="G124" s="25">
        <v>45719</v>
      </c>
      <c r="H124" s="17">
        <v>1000</v>
      </c>
      <c r="I124" s="18">
        <v>17.559999999999999</v>
      </c>
      <c r="J124" s="19">
        <f t="shared" si="7"/>
        <v>1017.56</v>
      </c>
      <c r="K124" s="14" t="s">
        <v>31</v>
      </c>
      <c r="L124" s="100" t="s">
        <v>59</v>
      </c>
      <c r="M124" s="31" t="s">
        <v>60</v>
      </c>
      <c r="N124" s="22"/>
      <c r="O124" s="23"/>
      <c r="P124" s="39"/>
      <c r="Q124" s="107"/>
      <c r="R124" s="107"/>
      <c r="S124" s="107"/>
    </row>
    <row r="125" spans="1:19" ht="19.149999999999999" customHeight="1" x14ac:dyDescent="0.2">
      <c r="A125" s="157">
        <v>46143</v>
      </c>
      <c r="B125" s="159">
        <f t="shared" si="11"/>
        <v>832681.30231511977</v>
      </c>
      <c r="C125" s="158"/>
      <c r="D125" s="107"/>
      <c r="E125" s="14">
        <v>3</v>
      </c>
      <c r="F125" s="24"/>
      <c r="G125" s="25">
        <v>45726</v>
      </c>
      <c r="H125" s="17">
        <v>5000</v>
      </c>
      <c r="I125" s="18">
        <v>144.76</v>
      </c>
      <c r="J125" s="19">
        <f t="shared" si="7"/>
        <v>5144.76</v>
      </c>
      <c r="K125" s="14" t="s">
        <v>31</v>
      </c>
      <c r="L125" s="100"/>
      <c r="M125" s="31" t="s">
        <v>60</v>
      </c>
      <c r="N125" s="22"/>
      <c r="O125" s="23"/>
      <c r="P125" s="39"/>
      <c r="Q125" s="107"/>
      <c r="R125" s="107"/>
      <c r="S125" s="107"/>
    </row>
    <row r="126" spans="1:19" ht="19.149999999999999" customHeight="1" x14ac:dyDescent="0.2">
      <c r="A126" s="107"/>
      <c r="B126" s="107"/>
      <c r="C126" s="107"/>
      <c r="D126" s="107"/>
      <c r="E126" s="14">
        <v>3</v>
      </c>
      <c r="F126" s="24"/>
      <c r="G126" s="25">
        <v>45728</v>
      </c>
      <c r="H126" s="17">
        <v>5000</v>
      </c>
      <c r="I126" s="18">
        <v>133.87</v>
      </c>
      <c r="J126" s="19">
        <f t="shared" si="7"/>
        <v>5133.87</v>
      </c>
      <c r="K126" s="14" t="s">
        <v>31</v>
      </c>
      <c r="L126" s="100" t="s">
        <v>59</v>
      </c>
      <c r="M126" s="31" t="s">
        <v>60</v>
      </c>
      <c r="N126" s="22"/>
      <c r="O126" s="23"/>
      <c r="P126" s="39"/>
      <c r="Q126" s="107"/>
      <c r="R126" s="107"/>
      <c r="S126" s="107"/>
    </row>
    <row r="127" spans="1:19" ht="19.149999999999999" customHeight="1" x14ac:dyDescent="0.2">
      <c r="A127" s="107"/>
      <c r="B127" s="107"/>
      <c r="C127" s="107"/>
      <c r="D127" s="107"/>
      <c r="E127" s="14">
        <v>3</v>
      </c>
      <c r="F127" s="24"/>
      <c r="G127" s="25">
        <v>45736</v>
      </c>
      <c r="H127" s="17">
        <v>5000</v>
      </c>
      <c r="I127" s="18">
        <v>132.11000000000001</v>
      </c>
      <c r="J127" s="19">
        <f t="shared" si="7"/>
        <v>5132.1099999999997</v>
      </c>
      <c r="K127" s="14" t="s">
        <v>31</v>
      </c>
      <c r="L127" s="100" t="s">
        <v>59</v>
      </c>
      <c r="M127" s="31" t="s">
        <v>60</v>
      </c>
      <c r="N127" s="22"/>
      <c r="O127" s="23"/>
      <c r="P127" s="39"/>
      <c r="Q127" s="107"/>
      <c r="R127" s="107"/>
      <c r="S127" s="107"/>
    </row>
    <row r="128" spans="1:19" ht="19.149999999999999" customHeight="1" x14ac:dyDescent="0.2">
      <c r="A128" s="107"/>
      <c r="B128" s="107"/>
      <c r="C128" s="107"/>
      <c r="D128" s="107"/>
      <c r="E128" s="14">
        <v>4</v>
      </c>
      <c r="F128" s="24"/>
      <c r="G128" s="25">
        <v>45743</v>
      </c>
      <c r="H128" s="17">
        <v>5000</v>
      </c>
      <c r="I128" s="18">
        <v>181.7</v>
      </c>
      <c r="J128" s="19">
        <f t="shared" si="7"/>
        <v>5181.7</v>
      </c>
      <c r="K128" s="14" t="s">
        <v>31</v>
      </c>
      <c r="L128" s="100" t="s">
        <v>59</v>
      </c>
      <c r="M128" s="31" t="s">
        <v>60</v>
      </c>
      <c r="N128" s="22"/>
      <c r="O128" s="23"/>
      <c r="P128" s="39"/>
      <c r="Q128" s="107"/>
      <c r="R128" s="107"/>
      <c r="S128" s="107"/>
    </row>
    <row r="129" spans="1:19" ht="19.149999999999999" customHeight="1" x14ac:dyDescent="0.2">
      <c r="A129" s="107"/>
      <c r="B129" s="107"/>
      <c r="C129" s="107"/>
      <c r="D129" s="107"/>
      <c r="E129" s="14">
        <v>4</v>
      </c>
      <c r="F129" s="24"/>
      <c r="G129" s="25">
        <v>45754</v>
      </c>
      <c r="H129" s="17">
        <v>20000</v>
      </c>
      <c r="I129" s="18">
        <v>726.99</v>
      </c>
      <c r="J129" s="19">
        <f t="shared" si="7"/>
        <v>20726.990000000002</v>
      </c>
      <c r="K129" s="14" t="s">
        <v>31</v>
      </c>
      <c r="L129" s="100" t="s">
        <v>59</v>
      </c>
      <c r="M129" s="31" t="s">
        <v>60</v>
      </c>
      <c r="N129" s="22"/>
      <c r="O129" s="23"/>
      <c r="P129" s="39"/>
      <c r="Q129" s="107"/>
      <c r="R129" s="107"/>
      <c r="S129" s="107"/>
    </row>
    <row r="130" spans="1:19" ht="19.149999999999999" customHeight="1" x14ac:dyDescent="0.2">
      <c r="A130" s="107"/>
      <c r="B130" s="107"/>
      <c r="C130" s="107"/>
      <c r="D130" s="107"/>
      <c r="E130" s="14">
        <v>4</v>
      </c>
      <c r="F130" s="24"/>
      <c r="G130" s="25">
        <v>45754</v>
      </c>
      <c r="H130" s="17">
        <v>10000</v>
      </c>
      <c r="I130" s="18">
        <v>319.89999999999998</v>
      </c>
      <c r="J130" s="19">
        <f t="shared" ref="J130:J193" si="12">SUM(H130:I130)</f>
        <v>10319.9</v>
      </c>
      <c r="K130" s="14" t="s">
        <v>31</v>
      </c>
      <c r="L130" s="100" t="s">
        <v>59</v>
      </c>
      <c r="M130" s="31" t="s">
        <v>60</v>
      </c>
      <c r="N130" s="22"/>
      <c r="O130" s="23"/>
      <c r="P130" s="39"/>
      <c r="Q130" s="107"/>
      <c r="R130" s="107"/>
      <c r="S130" s="107"/>
    </row>
    <row r="131" spans="1:19" ht="19.149999999999999" customHeight="1" x14ac:dyDescent="0.2">
      <c r="A131" s="107"/>
      <c r="B131" s="107"/>
      <c r="C131" s="107"/>
      <c r="D131" s="107"/>
      <c r="E131" s="14">
        <v>3</v>
      </c>
      <c r="F131" s="24"/>
      <c r="G131" s="25">
        <v>45757</v>
      </c>
      <c r="H131" s="17">
        <v>5000</v>
      </c>
      <c r="I131" s="18">
        <v>146.30000000000001</v>
      </c>
      <c r="J131" s="19">
        <f t="shared" si="12"/>
        <v>5146.3</v>
      </c>
      <c r="K131" s="14" t="s">
        <v>31</v>
      </c>
      <c r="L131" s="100"/>
      <c r="M131" s="31" t="s">
        <v>60</v>
      </c>
      <c r="N131" s="22"/>
      <c r="O131" s="23"/>
      <c r="P131" s="39"/>
      <c r="Q131" s="107"/>
      <c r="R131" s="107"/>
      <c r="S131" s="107"/>
    </row>
    <row r="132" spans="1:19" ht="19.149999999999999" customHeight="1" x14ac:dyDescent="0.2">
      <c r="A132" s="107"/>
      <c r="B132" s="107"/>
      <c r="C132" s="107"/>
      <c r="D132" s="107"/>
      <c r="E132" s="14">
        <v>4</v>
      </c>
      <c r="F132" s="24"/>
      <c r="G132" s="25">
        <v>45762</v>
      </c>
      <c r="H132" s="17">
        <v>5000</v>
      </c>
      <c r="I132" s="18">
        <v>182.14</v>
      </c>
      <c r="J132" s="19">
        <f t="shared" si="12"/>
        <v>5182.1400000000003</v>
      </c>
      <c r="K132" s="14" t="s">
        <v>31</v>
      </c>
      <c r="L132" s="100" t="s">
        <v>59</v>
      </c>
      <c r="M132" s="31" t="s">
        <v>60</v>
      </c>
      <c r="N132" s="22"/>
      <c r="O132" s="23"/>
      <c r="P132" s="39"/>
      <c r="Q132" s="107"/>
      <c r="R132" s="107"/>
      <c r="S132" s="107"/>
    </row>
    <row r="133" spans="1:19" ht="19.149999999999999" customHeight="1" x14ac:dyDescent="0.2">
      <c r="A133" s="107"/>
      <c r="B133" s="107"/>
      <c r="C133" s="107"/>
      <c r="D133" s="107"/>
      <c r="E133" s="14">
        <v>4</v>
      </c>
      <c r="F133" s="24"/>
      <c r="G133" s="25">
        <v>45783</v>
      </c>
      <c r="H133" s="17">
        <v>5000</v>
      </c>
      <c r="I133" s="18">
        <v>198.6</v>
      </c>
      <c r="J133" s="19">
        <f t="shared" si="12"/>
        <v>5198.6000000000004</v>
      </c>
      <c r="K133" s="14" t="s">
        <v>31</v>
      </c>
      <c r="L133" s="19"/>
      <c r="M133" s="31" t="s">
        <v>60</v>
      </c>
      <c r="N133" s="22"/>
      <c r="O133" s="23"/>
      <c r="P133" s="39"/>
      <c r="Q133" s="107"/>
      <c r="R133" s="107"/>
      <c r="S133" s="107"/>
    </row>
    <row r="134" spans="1:19" ht="19.149999999999999" customHeight="1" x14ac:dyDescent="0.2">
      <c r="A134" s="107"/>
      <c r="B134" s="28"/>
      <c r="C134" s="107"/>
      <c r="D134" s="107"/>
      <c r="E134" s="14">
        <v>5</v>
      </c>
      <c r="F134" s="24"/>
      <c r="G134" s="25">
        <v>45811</v>
      </c>
      <c r="H134" s="17">
        <v>1000</v>
      </c>
      <c r="I134" s="18">
        <v>42.04</v>
      </c>
      <c r="J134" s="19">
        <f>SUM(H134:I134)</f>
        <v>1042.04</v>
      </c>
      <c r="K134" s="14" t="s">
        <v>31</v>
      </c>
      <c r="L134" s="19" t="s">
        <v>32</v>
      </c>
      <c r="M134" s="31" t="s">
        <v>60</v>
      </c>
      <c r="N134" s="22"/>
      <c r="O134" s="23"/>
      <c r="P134" s="39"/>
      <c r="Q134" s="107"/>
      <c r="R134" s="107"/>
      <c r="S134" s="107"/>
    </row>
    <row r="135" spans="1:19" ht="19.149999999999999" customHeight="1" x14ac:dyDescent="0.2">
      <c r="A135" s="107"/>
      <c r="B135" s="107"/>
      <c r="C135" s="107"/>
      <c r="D135" s="107"/>
      <c r="E135" s="14">
        <v>4</v>
      </c>
      <c r="F135" s="24"/>
      <c r="G135" s="25">
        <v>45824</v>
      </c>
      <c r="H135" s="17">
        <v>5000</v>
      </c>
      <c r="I135" s="18">
        <v>184.8</v>
      </c>
      <c r="J135" s="19">
        <f t="shared" ref="J135" si="13">SUM(H135:I135)</f>
        <v>5184.8</v>
      </c>
      <c r="K135" s="14" t="s">
        <v>31</v>
      </c>
      <c r="L135" s="19" t="s">
        <v>32</v>
      </c>
      <c r="M135" s="31" t="s">
        <v>60</v>
      </c>
      <c r="N135" s="22"/>
      <c r="O135" s="23"/>
      <c r="P135" s="39"/>
      <c r="Q135" s="107"/>
      <c r="R135" s="107"/>
      <c r="S135" s="107"/>
    </row>
    <row r="136" spans="1:19" ht="19.149999999999999" customHeight="1" x14ac:dyDescent="0.2">
      <c r="A136" s="107"/>
      <c r="B136" s="107"/>
      <c r="C136" s="107"/>
      <c r="D136" s="107"/>
      <c r="E136" s="14">
        <v>3</v>
      </c>
      <c r="F136" s="24"/>
      <c r="G136" s="25">
        <v>45818</v>
      </c>
      <c r="H136" s="17">
        <v>5000</v>
      </c>
      <c r="I136" s="18">
        <v>130.9</v>
      </c>
      <c r="J136" s="19">
        <f>SUM(H136:I136)</f>
        <v>5130.8999999999996</v>
      </c>
      <c r="K136" s="14" t="s">
        <v>31</v>
      </c>
      <c r="L136" s="19"/>
      <c r="M136" s="31" t="s">
        <v>60</v>
      </c>
      <c r="N136" s="22"/>
      <c r="O136" s="23"/>
      <c r="P136" s="39"/>
      <c r="Q136" s="107"/>
      <c r="R136" s="107"/>
      <c r="S136" s="107"/>
    </row>
    <row r="137" spans="1:19" ht="19.149999999999999" customHeight="1" x14ac:dyDescent="0.2">
      <c r="A137" s="107"/>
      <c r="B137" s="107"/>
      <c r="C137" s="107"/>
      <c r="D137" s="107"/>
      <c r="E137" s="14">
        <v>4</v>
      </c>
      <c r="F137" s="24"/>
      <c r="G137" s="25">
        <v>45819</v>
      </c>
      <c r="H137" s="17">
        <v>5000</v>
      </c>
      <c r="I137" s="18">
        <v>188.65</v>
      </c>
      <c r="J137" s="19">
        <f>SUM(H137:I137)</f>
        <v>5188.6499999999996</v>
      </c>
      <c r="K137" s="14" t="s">
        <v>31</v>
      </c>
      <c r="L137" s="19"/>
      <c r="M137" s="31" t="s">
        <v>60</v>
      </c>
      <c r="N137" s="22"/>
      <c r="O137" s="23"/>
      <c r="P137" s="39"/>
      <c r="Q137" s="107"/>
      <c r="R137" s="107"/>
      <c r="S137" s="107"/>
    </row>
    <row r="138" spans="1:19" ht="19.149999999999999" customHeight="1" x14ac:dyDescent="0.2">
      <c r="A138" s="107"/>
      <c r="B138" s="107"/>
      <c r="C138" s="107"/>
      <c r="D138" s="107"/>
      <c r="E138" s="14">
        <v>3</v>
      </c>
      <c r="F138" s="24"/>
      <c r="G138" s="25">
        <v>45848</v>
      </c>
      <c r="H138" s="17">
        <v>5000</v>
      </c>
      <c r="I138" s="18">
        <v>126.28</v>
      </c>
      <c r="J138" s="19">
        <f>SUM(H138:I138)</f>
        <v>5126.28</v>
      </c>
      <c r="K138" s="14" t="s">
        <v>31</v>
      </c>
      <c r="L138" s="19" t="s">
        <v>32</v>
      </c>
      <c r="M138" s="31" t="s">
        <v>60</v>
      </c>
      <c r="N138" s="22"/>
      <c r="O138" s="23"/>
      <c r="P138" s="39"/>
      <c r="Q138" s="107"/>
      <c r="R138" s="107"/>
      <c r="S138" s="107"/>
    </row>
    <row r="139" spans="1:19" ht="19.149999999999999" customHeight="1" x14ac:dyDescent="0.2">
      <c r="A139" s="107"/>
      <c r="B139" s="107"/>
      <c r="C139" s="107"/>
      <c r="D139" s="107"/>
      <c r="E139" s="14">
        <v>3</v>
      </c>
      <c r="F139" s="24"/>
      <c r="G139" s="25">
        <v>45784</v>
      </c>
      <c r="H139" s="17">
        <v>10000</v>
      </c>
      <c r="I139" s="18">
        <v>135.6</v>
      </c>
      <c r="J139" s="19">
        <f t="shared" si="12"/>
        <v>10135.6</v>
      </c>
      <c r="K139" s="14" t="s">
        <v>31</v>
      </c>
      <c r="L139" s="100" t="s">
        <v>59</v>
      </c>
      <c r="M139" s="31" t="s">
        <v>60</v>
      </c>
      <c r="N139" s="22"/>
      <c r="O139" s="23"/>
      <c r="P139" s="39"/>
      <c r="Q139" s="107"/>
      <c r="R139" s="107"/>
      <c r="S139" s="107"/>
    </row>
    <row r="140" spans="1:19" ht="19.149999999999999" customHeight="1" x14ac:dyDescent="0.2">
      <c r="A140" s="107"/>
      <c r="B140" s="107"/>
      <c r="C140" s="107"/>
      <c r="D140" s="107"/>
      <c r="E140" s="14">
        <v>4</v>
      </c>
      <c r="F140" s="24"/>
      <c r="G140" s="25">
        <v>45832</v>
      </c>
      <c r="H140" s="17">
        <v>20000</v>
      </c>
      <c r="I140" s="18">
        <v>808.89</v>
      </c>
      <c r="J140" s="19">
        <f t="shared" ref="J140" si="14">SUM(H140:I140)</f>
        <v>20808.89</v>
      </c>
      <c r="K140" s="14" t="s">
        <v>31</v>
      </c>
      <c r="L140" s="19"/>
      <c r="M140" s="31" t="s">
        <v>60</v>
      </c>
      <c r="N140" s="22"/>
      <c r="O140" s="23"/>
      <c r="P140" s="39"/>
      <c r="Q140" s="107"/>
      <c r="R140" s="107"/>
      <c r="S140" s="107"/>
    </row>
    <row r="141" spans="1:19" ht="19.149999999999999" customHeight="1" x14ac:dyDescent="0.2">
      <c r="A141" s="107"/>
      <c r="B141" s="107"/>
      <c r="C141" s="107"/>
      <c r="D141" s="107"/>
      <c r="E141" s="14">
        <v>4</v>
      </c>
      <c r="F141" s="24"/>
      <c r="G141" s="25">
        <v>45838</v>
      </c>
      <c r="H141" s="17">
        <v>5000</v>
      </c>
      <c r="I141" s="18">
        <v>206.65</v>
      </c>
      <c r="J141" s="19">
        <f>SUM(H141:I141)</f>
        <v>5206.6499999999996</v>
      </c>
      <c r="K141" s="14" t="s">
        <v>31</v>
      </c>
      <c r="L141" s="19"/>
      <c r="M141" s="31" t="s">
        <v>60</v>
      </c>
      <c r="N141" s="22"/>
      <c r="O141" s="23"/>
      <c r="P141" s="39"/>
      <c r="Q141" s="107"/>
      <c r="R141" s="107"/>
      <c r="S141" s="107"/>
    </row>
    <row r="142" spans="1:19" ht="19.149999999999999" customHeight="1" x14ac:dyDescent="0.2">
      <c r="A142" s="107"/>
      <c r="B142" s="107"/>
      <c r="C142" s="107"/>
      <c r="D142" s="107"/>
      <c r="E142" s="14">
        <v>4</v>
      </c>
      <c r="F142" s="24"/>
      <c r="G142" s="25">
        <v>45840</v>
      </c>
      <c r="H142" s="17">
        <v>5000</v>
      </c>
      <c r="I142" s="18">
        <v>220.81</v>
      </c>
      <c r="J142" s="19">
        <f>SUM(H142:I142)</f>
        <v>5220.8100000000004</v>
      </c>
      <c r="K142" s="14" t="s">
        <v>31</v>
      </c>
      <c r="L142" s="19"/>
      <c r="M142" s="31" t="s">
        <v>60</v>
      </c>
      <c r="N142" s="22"/>
      <c r="O142" s="23"/>
      <c r="P142" s="39"/>
      <c r="Q142" s="107"/>
      <c r="R142" s="107"/>
      <c r="S142" s="107"/>
    </row>
    <row r="143" spans="1:19" ht="19.149999999999999" customHeight="1" x14ac:dyDescent="0.2">
      <c r="A143" s="107"/>
      <c r="B143" s="107"/>
      <c r="C143" s="107"/>
      <c r="D143" s="107"/>
      <c r="E143" s="14">
        <v>4</v>
      </c>
      <c r="F143" s="24"/>
      <c r="G143" s="25">
        <v>45848</v>
      </c>
      <c r="H143" s="17">
        <v>5000</v>
      </c>
      <c r="I143" s="18">
        <v>185.19</v>
      </c>
      <c r="J143" s="19">
        <f>SUM(H143:I143)</f>
        <v>5185.1899999999996</v>
      </c>
      <c r="K143" s="14" t="s">
        <v>31</v>
      </c>
      <c r="L143" s="19"/>
      <c r="M143" s="31" t="s">
        <v>60</v>
      </c>
      <c r="N143" s="22"/>
      <c r="O143" s="23"/>
      <c r="P143" s="39"/>
      <c r="Q143" s="107"/>
      <c r="R143" s="107"/>
      <c r="S143" s="107"/>
    </row>
    <row r="144" spans="1:19" ht="19.149999999999999" customHeight="1" x14ac:dyDescent="0.2">
      <c r="A144" s="175" t="s">
        <v>86</v>
      </c>
      <c r="B144" s="175" t="s">
        <v>88</v>
      </c>
      <c r="C144" s="175" t="s">
        <v>89</v>
      </c>
      <c r="D144" s="107"/>
      <c r="E144" s="14">
        <v>4</v>
      </c>
      <c r="F144" s="24"/>
      <c r="G144" s="25">
        <v>45848</v>
      </c>
      <c r="H144" s="17">
        <v>5000</v>
      </c>
      <c r="I144" s="18">
        <v>185.19</v>
      </c>
      <c r="J144" s="19">
        <f>SUM(H144:I144)</f>
        <v>5185.1899999999996</v>
      </c>
      <c r="K144" s="14" t="s">
        <v>31</v>
      </c>
      <c r="L144" s="19"/>
      <c r="M144" s="31" t="s">
        <v>60</v>
      </c>
      <c r="N144" s="22"/>
      <c r="O144" s="23"/>
      <c r="P144" s="39"/>
      <c r="Q144" s="107"/>
      <c r="R144" s="107"/>
      <c r="S144" s="107"/>
    </row>
    <row r="145" spans="1:19" ht="19.149999999999999" customHeight="1" x14ac:dyDescent="0.2">
      <c r="A145" s="157">
        <v>45788</v>
      </c>
      <c r="B145" s="159" t="s">
        <v>90</v>
      </c>
      <c r="C145" s="158">
        <v>0</v>
      </c>
      <c r="D145" s="107"/>
      <c r="E145" s="14">
        <v>12</v>
      </c>
      <c r="F145" s="24"/>
      <c r="G145" s="25">
        <v>45882</v>
      </c>
      <c r="H145" s="17">
        <v>2000</v>
      </c>
      <c r="I145" s="18">
        <v>222.7</v>
      </c>
      <c r="J145" s="19">
        <f t="shared" ref="J145" si="15">SUM(H145:I145)</f>
        <v>2222.6999999999998</v>
      </c>
      <c r="K145" s="14" t="s">
        <v>31</v>
      </c>
      <c r="L145" s="166" t="s">
        <v>91</v>
      </c>
      <c r="M145" s="31" t="s">
        <v>60</v>
      </c>
      <c r="N145" s="22"/>
      <c r="O145" s="23"/>
      <c r="P145" s="39"/>
      <c r="Q145" s="107"/>
      <c r="R145" s="107"/>
      <c r="S145" s="107"/>
    </row>
    <row r="146" spans="1:19" ht="19.149999999999999" customHeight="1" x14ac:dyDescent="0.2">
      <c r="A146" s="157">
        <v>45820</v>
      </c>
      <c r="B146" s="159" t="s">
        <v>92</v>
      </c>
      <c r="C146" s="158">
        <v>2869</v>
      </c>
      <c r="D146" s="107"/>
      <c r="E146" s="14">
        <v>4</v>
      </c>
      <c r="F146" s="24"/>
      <c r="G146" s="25">
        <v>45879</v>
      </c>
      <c r="H146" s="17">
        <v>10000</v>
      </c>
      <c r="I146" s="18">
        <v>383.46</v>
      </c>
      <c r="J146" s="19">
        <f t="shared" ref="J146" si="16">SUM(H146:I146)</f>
        <v>10383.459999999999</v>
      </c>
      <c r="K146" s="14" t="s">
        <v>31</v>
      </c>
      <c r="L146" s="19"/>
      <c r="M146" s="31" t="s">
        <v>60</v>
      </c>
      <c r="N146" s="22"/>
      <c r="O146" s="23"/>
      <c r="P146" s="39"/>
      <c r="Q146" s="107"/>
      <c r="R146" s="107"/>
      <c r="S146" s="107"/>
    </row>
    <row r="147" spans="1:19" ht="19.149999999999999" customHeight="1" x14ac:dyDescent="0.2">
      <c r="A147" s="157">
        <v>45839</v>
      </c>
      <c r="B147" s="159" t="s">
        <v>93</v>
      </c>
      <c r="C147" s="158">
        <v>-9597</v>
      </c>
      <c r="D147" s="107"/>
      <c r="E147" s="14">
        <v>6</v>
      </c>
      <c r="F147" s="24"/>
      <c r="G147" s="25">
        <v>45882</v>
      </c>
      <c r="H147" s="17">
        <v>5000</v>
      </c>
      <c r="I147" s="18">
        <v>266.81</v>
      </c>
      <c r="J147" s="19">
        <f>SUM(H147:I147)</f>
        <v>5266.81</v>
      </c>
      <c r="K147" s="14" t="s">
        <v>31</v>
      </c>
      <c r="L147" s="19"/>
      <c r="M147" s="31" t="s">
        <v>60</v>
      </c>
      <c r="N147" s="22"/>
      <c r="O147" s="23"/>
      <c r="P147" s="39"/>
      <c r="Q147" s="107"/>
      <c r="R147" s="107"/>
      <c r="S147" s="107"/>
    </row>
    <row r="148" spans="1:19" ht="19.149999999999999" customHeight="1" x14ac:dyDescent="0.2">
      <c r="A148" s="157">
        <v>45870</v>
      </c>
      <c r="B148" s="159" t="s">
        <v>94</v>
      </c>
      <c r="C148" s="158">
        <v>1705</v>
      </c>
      <c r="D148" s="107"/>
      <c r="E148" s="14">
        <v>4</v>
      </c>
      <c r="F148" s="24"/>
      <c r="G148" s="25">
        <v>45893</v>
      </c>
      <c r="H148" s="17">
        <v>5000</v>
      </c>
      <c r="I148" s="18">
        <v>162.71</v>
      </c>
      <c r="J148" s="19">
        <f t="shared" ref="J148" si="17">SUM(H148:I148)</f>
        <v>5162.71</v>
      </c>
      <c r="K148" s="14" t="s">
        <v>31</v>
      </c>
      <c r="L148" s="100" t="s">
        <v>59</v>
      </c>
      <c r="M148" s="31" t="s">
        <v>60</v>
      </c>
      <c r="N148" s="22"/>
      <c r="O148" s="23"/>
      <c r="P148" s="39"/>
      <c r="Q148" s="107"/>
      <c r="R148" s="107"/>
      <c r="S148" s="107"/>
    </row>
    <row r="149" spans="1:19" ht="19.149999999999999" customHeight="1" x14ac:dyDescent="0.2">
      <c r="A149" s="157">
        <v>45901</v>
      </c>
      <c r="B149" s="159" t="s">
        <v>95</v>
      </c>
      <c r="C149" s="158">
        <v>42934</v>
      </c>
      <c r="D149" s="107"/>
      <c r="E149" s="14">
        <v>4</v>
      </c>
      <c r="F149" s="24"/>
      <c r="G149" s="25">
        <v>45887</v>
      </c>
      <c r="H149" s="17">
        <v>10000</v>
      </c>
      <c r="I149" s="18">
        <v>380.38</v>
      </c>
      <c r="J149" s="19">
        <f>SUM(H149:I149)</f>
        <v>10380.379999999999</v>
      </c>
      <c r="K149" s="14" t="s">
        <v>31</v>
      </c>
      <c r="L149" s="100"/>
      <c r="M149" s="31" t="s">
        <v>60</v>
      </c>
      <c r="N149" s="22"/>
      <c r="O149" s="23"/>
      <c r="P149" s="39"/>
      <c r="Q149" s="107"/>
      <c r="R149" s="107"/>
      <c r="S149" s="107"/>
    </row>
    <row r="150" spans="1:19" ht="19.149999999999999" customHeight="1" x14ac:dyDescent="0.2">
      <c r="A150" s="157">
        <v>45931</v>
      </c>
      <c r="B150" s="167" t="s">
        <v>96</v>
      </c>
      <c r="C150" s="158">
        <v>-5671.5</v>
      </c>
      <c r="D150" s="107"/>
      <c r="E150" s="14">
        <v>4</v>
      </c>
      <c r="F150" s="24"/>
      <c r="G150" s="25">
        <v>45893</v>
      </c>
      <c r="H150" s="17">
        <v>5000</v>
      </c>
      <c r="I150" s="18">
        <v>162.71</v>
      </c>
      <c r="J150" s="19">
        <f t="shared" ref="J150" si="18">SUM(H150:I150)</f>
        <v>5162.71</v>
      </c>
      <c r="K150" s="14" t="s">
        <v>31</v>
      </c>
      <c r="L150" s="19" t="s">
        <v>59</v>
      </c>
      <c r="M150" s="31" t="s">
        <v>60</v>
      </c>
      <c r="N150" s="22"/>
      <c r="O150" s="23"/>
      <c r="P150" s="39"/>
      <c r="Q150" s="107"/>
      <c r="R150" s="107"/>
      <c r="S150" s="107"/>
    </row>
    <row r="151" spans="1:19" ht="19.149999999999999" customHeight="1" x14ac:dyDescent="0.2">
      <c r="A151" s="157">
        <v>45962</v>
      </c>
      <c r="B151" s="159" t="s">
        <v>97</v>
      </c>
      <c r="C151" s="158">
        <v>-5671.5</v>
      </c>
      <c r="D151" s="107"/>
      <c r="E151" s="14">
        <v>5</v>
      </c>
      <c r="F151" s="24"/>
      <c r="G151" s="25">
        <v>45894</v>
      </c>
      <c r="H151" s="17">
        <v>10000</v>
      </c>
      <c r="I151" s="18">
        <v>457.38</v>
      </c>
      <c r="J151" s="19">
        <f>SUM(H151:I151)</f>
        <v>10457.379999999999</v>
      </c>
      <c r="K151" s="14" t="s">
        <v>31</v>
      </c>
      <c r="L151" s="100"/>
      <c r="M151" s="31" t="s">
        <v>60</v>
      </c>
      <c r="N151" s="22"/>
      <c r="O151" s="23"/>
      <c r="P151" s="39"/>
      <c r="Q151" s="107"/>
      <c r="R151" s="107"/>
      <c r="S151" s="107"/>
    </row>
    <row r="152" spans="1:19" ht="19.149999999999999" customHeight="1" x14ac:dyDescent="0.2">
      <c r="A152" s="157">
        <v>45992</v>
      </c>
      <c r="B152" s="159"/>
      <c r="C152" s="158"/>
      <c r="D152" s="107"/>
      <c r="E152" s="14">
        <v>6</v>
      </c>
      <c r="F152" s="24"/>
      <c r="G152" s="25">
        <v>45920</v>
      </c>
      <c r="H152" s="17">
        <v>6000</v>
      </c>
      <c r="I152" s="18">
        <v>372.23</v>
      </c>
      <c r="J152" s="19">
        <f t="shared" si="12"/>
        <v>6372.23</v>
      </c>
      <c r="K152" s="14" t="s">
        <v>31</v>
      </c>
      <c r="L152" s="19" t="s">
        <v>32</v>
      </c>
      <c r="M152" s="31" t="s">
        <v>60</v>
      </c>
      <c r="N152" s="22"/>
      <c r="O152" s="169"/>
      <c r="P152" s="39"/>
      <c r="Q152" s="107"/>
      <c r="R152" s="107"/>
      <c r="S152" s="107"/>
    </row>
    <row r="153" spans="1:19" ht="19.149999999999999" customHeight="1" x14ac:dyDescent="0.2">
      <c r="A153" s="157">
        <v>46023</v>
      </c>
      <c r="B153" s="159"/>
      <c r="C153" s="158"/>
      <c r="D153" s="107"/>
      <c r="E153" s="14">
        <v>5</v>
      </c>
      <c r="F153" s="24"/>
      <c r="G153" s="25">
        <v>45904</v>
      </c>
      <c r="H153" s="17">
        <v>10000</v>
      </c>
      <c r="I153" s="18">
        <v>453.07</v>
      </c>
      <c r="J153" s="19">
        <f t="shared" si="12"/>
        <v>10453.07</v>
      </c>
      <c r="K153" s="14" t="s">
        <v>31</v>
      </c>
      <c r="L153" s="162" t="s">
        <v>98</v>
      </c>
      <c r="M153" s="20" t="s">
        <v>60</v>
      </c>
      <c r="N153" s="22"/>
      <c r="O153" s="23"/>
      <c r="P153" s="39"/>
      <c r="Q153" s="107"/>
      <c r="R153" s="107"/>
      <c r="S153" s="107"/>
    </row>
    <row r="154" spans="1:19" ht="19.149999999999999" customHeight="1" x14ac:dyDescent="0.2">
      <c r="A154" s="157">
        <v>46054</v>
      </c>
      <c r="B154" s="159"/>
      <c r="C154" s="158"/>
      <c r="D154" s="107"/>
      <c r="E154" s="14">
        <v>5</v>
      </c>
      <c r="F154" s="24"/>
      <c r="G154" s="25">
        <v>45920</v>
      </c>
      <c r="H154" s="17">
        <v>10000</v>
      </c>
      <c r="I154" s="18">
        <v>475.86</v>
      </c>
      <c r="J154" s="19">
        <f t="shared" si="12"/>
        <v>10475.86</v>
      </c>
      <c r="K154" s="14" t="s">
        <v>31</v>
      </c>
      <c r="L154" s="100" t="s">
        <v>32</v>
      </c>
      <c r="M154" s="20" t="s">
        <v>60</v>
      </c>
      <c r="N154" s="22"/>
      <c r="O154" s="23"/>
      <c r="P154" s="39"/>
      <c r="Q154" s="107"/>
      <c r="R154" s="107"/>
      <c r="S154" s="107"/>
    </row>
    <row r="155" spans="1:19" ht="19.149999999999999" customHeight="1" x14ac:dyDescent="0.2">
      <c r="A155" s="157">
        <v>46082</v>
      </c>
      <c r="B155" s="159"/>
      <c r="C155" s="158"/>
      <c r="D155" s="107"/>
      <c r="E155" s="14">
        <v>5</v>
      </c>
      <c r="F155" s="24"/>
      <c r="G155" s="25">
        <v>45914</v>
      </c>
      <c r="H155" s="17">
        <v>10000</v>
      </c>
      <c r="I155" s="18">
        <v>519.5</v>
      </c>
      <c r="J155" s="19">
        <f t="shared" si="12"/>
        <v>10519.5</v>
      </c>
      <c r="K155" s="14" t="s">
        <v>31</v>
      </c>
      <c r="L155" s="100"/>
      <c r="M155" s="20" t="s">
        <v>60</v>
      </c>
      <c r="N155" s="22"/>
      <c r="O155" s="23"/>
      <c r="P155" s="39"/>
      <c r="Q155" s="107"/>
      <c r="R155" s="107"/>
      <c r="S155" s="107"/>
    </row>
    <row r="156" spans="1:19" ht="19.149999999999999" customHeight="1" x14ac:dyDescent="0.2">
      <c r="A156" s="157">
        <v>46113</v>
      </c>
      <c r="B156" s="159"/>
      <c r="C156" s="158"/>
      <c r="D156" s="107"/>
      <c r="E156" s="14">
        <v>6</v>
      </c>
      <c r="F156" s="24"/>
      <c r="G156" s="25">
        <v>45924</v>
      </c>
      <c r="H156" s="17">
        <v>5000</v>
      </c>
      <c r="I156" s="18">
        <v>269.5</v>
      </c>
      <c r="J156" s="19">
        <f t="shared" si="12"/>
        <v>5269.5</v>
      </c>
      <c r="K156" s="14" t="s">
        <v>31</v>
      </c>
      <c r="L156" s="100"/>
      <c r="M156" s="20" t="s">
        <v>60</v>
      </c>
      <c r="N156" s="22"/>
      <c r="O156" s="23"/>
      <c r="P156" s="39"/>
      <c r="Q156" s="107"/>
      <c r="R156" s="107"/>
      <c r="S156" s="107"/>
    </row>
    <row r="157" spans="1:19" ht="19.149999999999999" customHeight="1" x14ac:dyDescent="0.2">
      <c r="A157" s="157">
        <v>46143</v>
      </c>
      <c r="B157" s="159"/>
      <c r="C157" s="158"/>
      <c r="D157" s="107"/>
      <c r="E157" s="14">
        <v>6</v>
      </c>
      <c r="F157" s="24"/>
      <c r="G157" s="25">
        <v>45937</v>
      </c>
      <c r="H157" s="17">
        <v>10000</v>
      </c>
      <c r="I157" s="18">
        <v>570.53</v>
      </c>
      <c r="J157" s="19">
        <f t="shared" si="12"/>
        <v>10570.53</v>
      </c>
      <c r="K157" s="14" t="s">
        <v>31</v>
      </c>
      <c r="L157" s="162" t="s">
        <v>99</v>
      </c>
      <c r="M157" s="20" t="s">
        <v>60</v>
      </c>
      <c r="N157" s="22"/>
      <c r="O157" s="23"/>
      <c r="P157" s="39"/>
      <c r="Q157" s="107"/>
      <c r="R157" s="107"/>
      <c r="S157" s="107"/>
    </row>
    <row r="158" spans="1:19" ht="19.149999999999999" customHeight="1" x14ac:dyDescent="0.2">
      <c r="A158" s="107"/>
      <c r="B158" s="107"/>
      <c r="C158" s="107"/>
      <c r="D158" s="107"/>
      <c r="E158" s="14">
        <v>6</v>
      </c>
      <c r="F158" s="24"/>
      <c r="G158" s="25">
        <v>45945</v>
      </c>
      <c r="H158" s="17">
        <v>15000</v>
      </c>
      <c r="I158" s="18">
        <v>904.37</v>
      </c>
      <c r="J158" s="19">
        <f t="shared" si="12"/>
        <v>15904.37</v>
      </c>
      <c r="K158" s="14" t="s">
        <v>31</v>
      </c>
      <c r="L158" s="100"/>
      <c r="M158" s="20" t="s">
        <v>60</v>
      </c>
      <c r="N158" s="22"/>
      <c r="O158" s="23"/>
      <c r="P158" s="39"/>
      <c r="Q158" s="107"/>
      <c r="R158" s="107"/>
      <c r="S158" s="107"/>
    </row>
    <row r="159" spans="1:19" ht="19.149999999999999" customHeight="1" x14ac:dyDescent="0.2">
      <c r="A159" s="107"/>
      <c r="B159" s="107"/>
      <c r="C159" s="107"/>
      <c r="D159" s="107"/>
      <c r="E159" s="14">
        <v>6</v>
      </c>
      <c r="F159" s="24"/>
      <c r="G159" s="25">
        <v>45946</v>
      </c>
      <c r="H159" s="17">
        <v>10000</v>
      </c>
      <c r="I159" s="18">
        <v>612.41999999999996</v>
      </c>
      <c r="J159" s="19">
        <f>SUM(H159:I159)</f>
        <v>10612.42</v>
      </c>
      <c r="K159" s="14" t="s">
        <v>31</v>
      </c>
      <c r="L159" s="166" t="s">
        <v>100</v>
      </c>
      <c r="M159" s="20" t="s">
        <v>60</v>
      </c>
      <c r="N159" s="22"/>
      <c r="O159" s="23"/>
      <c r="P159" s="39"/>
      <c r="Q159" s="107"/>
      <c r="R159" s="107"/>
      <c r="S159" s="107"/>
    </row>
    <row r="160" spans="1:19" ht="19.149999999999999" customHeight="1" x14ac:dyDescent="0.2">
      <c r="A160" s="107"/>
      <c r="B160" s="107"/>
      <c r="C160" s="107"/>
      <c r="D160" s="107"/>
      <c r="E160" s="14">
        <v>6</v>
      </c>
      <c r="F160" s="24"/>
      <c r="G160" s="25">
        <v>45953</v>
      </c>
      <c r="H160" s="17">
        <v>10000</v>
      </c>
      <c r="I160" s="18">
        <v>613.69000000000005</v>
      </c>
      <c r="J160" s="19">
        <f t="shared" si="12"/>
        <v>10613.69</v>
      </c>
      <c r="K160" s="14" t="s">
        <v>31</v>
      </c>
      <c r="L160" s="162" t="s">
        <v>101</v>
      </c>
      <c r="M160" s="20" t="s">
        <v>60</v>
      </c>
      <c r="N160" s="22"/>
      <c r="O160" s="23"/>
      <c r="P160" s="39"/>
      <c r="Q160" s="107"/>
      <c r="R160" s="107"/>
      <c r="S160" s="107"/>
    </row>
    <row r="161" spans="1:19" ht="19.149999999999999" customHeight="1" x14ac:dyDescent="0.2">
      <c r="A161" s="107"/>
      <c r="B161" s="107"/>
      <c r="C161" s="107"/>
      <c r="D161" s="107"/>
      <c r="E161" s="14">
        <v>6</v>
      </c>
      <c r="F161" s="24"/>
      <c r="G161" s="25">
        <v>45946</v>
      </c>
      <c r="H161" s="17">
        <v>10000</v>
      </c>
      <c r="I161" s="18">
        <v>543.33000000000004</v>
      </c>
      <c r="J161" s="19">
        <f t="shared" si="12"/>
        <v>10543.33</v>
      </c>
      <c r="K161" s="14" t="s">
        <v>31</v>
      </c>
      <c r="L161" s="162" t="s">
        <v>102</v>
      </c>
      <c r="M161" s="20" t="s">
        <v>60</v>
      </c>
      <c r="N161" s="22"/>
      <c r="O161" s="23"/>
      <c r="P161" s="39"/>
      <c r="Q161" s="107"/>
      <c r="R161" s="107"/>
      <c r="S161" s="107"/>
    </row>
    <row r="162" spans="1:19" ht="19.149999999999999" customHeight="1" x14ac:dyDescent="0.2">
      <c r="A162" s="107"/>
      <c r="B162" s="107"/>
      <c r="C162" s="107"/>
      <c r="D162" s="107"/>
      <c r="E162" s="14">
        <v>6</v>
      </c>
      <c r="F162" s="24"/>
      <c r="G162" s="25">
        <v>45965</v>
      </c>
      <c r="H162" s="17">
        <v>15000</v>
      </c>
      <c r="I162" s="18">
        <v>808.5</v>
      </c>
      <c r="J162" s="19">
        <f t="shared" si="12"/>
        <v>15808.5</v>
      </c>
      <c r="K162" s="14" t="s">
        <v>31</v>
      </c>
      <c r="L162" s="188" t="s">
        <v>267</v>
      </c>
      <c r="M162" s="31" t="s">
        <v>60</v>
      </c>
      <c r="N162" s="22"/>
      <c r="O162" s="23"/>
      <c r="P162" s="39"/>
      <c r="Q162" s="107"/>
      <c r="R162" s="107"/>
      <c r="S162" s="107"/>
    </row>
    <row r="163" spans="1:19" ht="19.149999999999999" customHeight="1" x14ac:dyDescent="0.2">
      <c r="A163" s="107"/>
      <c r="B163" s="107"/>
      <c r="C163" s="107"/>
      <c r="D163" s="107"/>
      <c r="E163" s="14">
        <v>3</v>
      </c>
      <c r="F163" s="15"/>
      <c r="G163" s="25">
        <v>45479</v>
      </c>
      <c r="H163" s="17">
        <v>1000</v>
      </c>
      <c r="I163" s="18">
        <v>30.8</v>
      </c>
      <c r="J163" s="19">
        <f t="shared" si="12"/>
        <v>1030.8</v>
      </c>
      <c r="K163" s="14" t="s">
        <v>31</v>
      </c>
      <c r="L163" s="100"/>
      <c r="M163" s="31"/>
      <c r="N163" s="22"/>
      <c r="O163" s="23"/>
      <c r="P163" s="39"/>
      <c r="Q163" s="107"/>
      <c r="R163" s="107"/>
      <c r="S163" s="107"/>
    </row>
    <row r="164" spans="1:19" ht="19.149999999999999" customHeight="1" x14ac:dyDescent="0.2">
      <c r="A164" s="107"/>
      <c r="B164" s="107"/>
      <c r="C164" s="107"/>
      <c r="D164" s="107"/>
      <c r="E164" s="14">
        <v>3</v>
      </c>
      <c r="F164" s="24"/>
      <c r="G164" s="25">
        <v>45479</v>
      </c>
      <c r="H164" s="17">
        <v>1000</v>
      </c>
      <c r="I164" s="18">
        <v>21.17</v>
      </c>
      <c r="J164" s="19">
        <f t="shared" si="12"/>
        <v>1021.17</v>
      </c>
      <c r="K164" s="14" t="s">
        <v>31</v>
      </c>
      <c r="L164" s="100"/>
      <c r="M164" s="31"/>
      <c r="N164" s="22"/>
      <c r="O164" s="23"/>
      <c r="P164" s="39"/>
      <c r="Q164" s="107"/>
      <c r="R164" s="107"/>
      <c r="S164" s="107"/>
    </row>
    <row r="165" spans="1:19" ht="19.149999999999999" customHeight="1" x14ac:dyDescent="0.2">
      <c r="A165" s="107"/>
      <c r="B165" s="107"/>
      <c r="C165" s="107"/>
      <c r="D165" s="107"/>
      <c r="E165" s="14">
        <v>2</v>
      </c>
      <c r="F165" s="24"/>
      <c r="G165" s="25">
        <v>45484</v>
      </c>
      <c r="H165" s="17">
        <v>1000</v>
      </c>
      <c r="I165" s="18">
        <v>19.25</v>
      </c>
      <c r="J165" s="19">
        <f t="shared" si="12"/>
        <v>1019.25</v>
      </c>
      <c r="K165" s="14" t="s">
        <v>31</v>
      </c>
      <c r="L165" s="100"/>
      <c r="M165" s="31"/>
      <c r="N165" s="22"/>
      <c r="O165" s="23"/>
      <c r="P165" s="39"/>
      <c r="Q165" s="107"/>
      <c r="R165" s="107"/>
      <c r="S165" s="107"/>
    </row>
    <row r="166" spans="1:19" ht="19.149999999999999" customHeight="1" x14ac:dyDescent="0.2">
      <c r="A166" s="107"/>
      <c r="B166" s="107"/>
      <c r="C166" s="107"/>
      <c r="D166" s="107"/>
      <c r="E166" s="14">
        <v>4</v>
      </c>
      <c r="F166" s="24"/>
      <c r="G166" s="25">
        <v>45509</v>
      </c>
      <c r="H166" s="17">
        <v>1000</v>
      </c>
      <c r="I166" s="18">
        <v>28.24</v>
      </c>
      <c r="J166" s="19">
        <f t="shared" si="12"/>
        <v>1028.24</v>
      </c>
      <c r="K166" s="14" t="s">
        <v>31</v>
      </c>
      <c r="L166" s="100"/>
      <c r="M166" s="31"/>
      <c r="N166" s="22"/>
      <c r="O166" s="23"/>
      <c r="P166" s="39"/>
      <c r="Q166" s="107"/>
      <c r="R166" s="107"/>
      <c r="S166" s="107"/>
    </row>
    <row r="167" spans="1:19" ht="19.149999999999999" customHeight="1" x14ac:dyDescent="0.2">
      <c r="A167" s="107"/>
      <c r="B167" s="107"/>
      <c r="C167" s="107"/>
      <c r="D167" s="107"/>
      <c r="E167" s="14">
        <v>3</v>
      </c>
      <c r="F167" s="24"/>
      <c r="G167" s="25">
        <v>45525</v>
      </c>
      <c r="H167" s="17">
        <v>1000</v>
      </c>
      <c r="I167" s="18">
        <v>25.02</v>
      </c>
      <c r="J167" s="19">
        <f t="shared" si="12"/>
        <v>1025.02</v>
      </c>
      <c r="K167" s="14" t="s">
        <v>31</v>
      </c>
      <c r="L167" s="100"/>
      <c r="M167" s="31"/>
      <c r="N167" s="22"/>
      <c r="O167" s="23"/>
      <c r="P167" s="39"/>
      <c r="Q167" s="107"/>
      <c r="R167" s="107"/>
      <c r="S167" s="107"/>
    </row>
    <row r="168" spans="1:19" ht="19.149999999999999" customHeight="1" x14ac:dyDescent="0.2">
      <c r="A168" s="107"/>
      <c r="B168" s="107"/>
      <c r="C168" s="107"/>
      <c r="D168" s="107"/>
      <c r="E168" s="14">
        <v>5</v>
      </c>
      <c r="F168" s="24"/>
      <c r="G168" s="25">
        <v>45546</v>
      </c>
      <c r="H168" s="17">
        <v>1000</v>
      </c>
      <c r="I168" s="18">
        <v>38.5</v>
      </c>
      <c r="J168" s="19">
        <f t="shared" si="12"/>
        <v>1038.5</v>
      </c>
      <c r="K168" s="14" t="s">
        <v>31</v>
      </c>
      <c r="L168" s="100"/>
      <c r="M168" s="31"/>
      <c r="N168" s="22"/>
      <c r="O168" s="23"/>
      <c r="P168" s="39"/>
      <c r="Q168" s="107"/>
      <c r="R168" s="107"/>
      <c r="S168" s="107"/>
    </row>
    <row r="169" spans="1:19" ht="19.149999999999999" customHeight="1" x14ac:dyDescent="0.2">
      <c r="A169" s="107"/>
      <c r="B169" s="107"/>
      <c r="C169" s="107"/>
      <c r="D169" s="107"/>
      <c r="E169" s="14">
        <v>5</v>
      </c>
      <c r="F169" s="24"/>
      <c r="G169" s="25">
        <v>45549</v>
      </c>
      <c r="H169" s="17">
        <v>5000</v>
      </c>
      <c r="I169" s="18">
        <v>224.59</v>
      </c>
      <c r="J169" s="19">
        <f t="shared" si="12"/>
        <v>5224.59</v>
      </c>
      <c r="K169" s="14" t="s">
        <v>31</v>
      </c>
      <c r="L169" s="100"/>
      <c r="M169" s="31"/>
      <c r="N169" s="22"/>
      <c r="O169" s="23"/>
      <c r="P169" s="39"/>
      <c r="Q169" s="107"/>
      <c r="R169" s="107"/>
      <c r="S169" s="107"/>
    </row>
    <row r="170" spans="1:19" ht="19.149999999999999" customHeight="1" x14ac:dyDescent="0.2">
      <c r="A170" s="107"/>
      <c r="B170" s="107"/>
      <c r="C170" s="107"/>
      <c r="D170" s="107"/>
      <c r="E170" s="14">
        <v>5</v>
      </c>
      <c r="F170" s="24"/>
      <c r="G170" s="25">
        <v>45554</v>
      </c>
      <c r="H170" s="17">
        <v>5000</v>
      </c>
      <c r="I170" s="18">
        <v>224.59</v>
      </c>
      <c r="J170" s="19">
        <f t="shared" si="12"/>
        <v>5224.59</v>
      </c>
      <c r="K170" s="14" t="s">
        <v>31</v>
      </c>
      <c r="L170" s="100"/>
      <c r="M170" s="31"/>
      <c r="N170" s="22"/>
      <c r="O170" s="23"/>
      <c r="P170" s="39"/>
      <c r="Q170" s="107"/>
      <c r="R170" s="107"/>
      <c r="S170" s="107"/>
    </row>
    <row r="171" spans="1:19" ht="19.149999999999999" customHeight="1" x14ac:dyDescent="0.2">
      <c r="A171" s="107"/>
      <c r="B171" s="107"/>
      <c r="C171" s="107"/>
      <c r="D171" s="107"/>
      <c r="E171" s="14">
        <v>5</v>
      </c>
      <c r="F171" s="24"/>
      <c r="G171" s="25">
        <v>45554</v>
      </c>
      <c r="H171" s="17">
        <v>5000</v>
      </c>
      <c r="I171" s="18">
        <v>224.59</v>
      </c>
      <c r="J171" s="19">
        <f t="shared" si="12"/>
        <v>5224.59</v>
      </c>
      <c r="K171" s="14" t="s">
        <v>31</v>
      </c>
      <c r="L171" s="100"/>
      <c r="M171" s="31"/>
      <c r="N171" s="22"/>
      <c r="O171" s="23"/>
      <c r="P171" s="39"/>
      <c r="Q171" s="107"/>
      <c r="R171" s="107"/>
      <c r="S171" s="107"/>
    </row>
    <row r="172" spans="1:19" ht="19.149999999999999" customHeight="1" x14ac:dyDescent="0.2">
      <c r="A172" s="107"/>
      <c r="B172" s="107"/>
      <c r="C172" s="107"/>
      <c r="D172" s="107"/>
      <c r="E172" s="14">
        <v>2</v>
      </c>
      <c r="F172" s="24"/>
      <c r="G172" s="25">
        <v>45556</v>
      </c>
      <c r="H172" s="17">
        <v>1000</v>
      </c>
      <c r="I172" s="18">
        <v>19.25</v>
      </c>
      <c r="J172" s="19">
        <f t="shared" si="12"/>
        <v>1019.25</v>
      </c>
      <c r="K172" s="14" t="s">
        <v>31</v>
      </c>
      <c r="L172" s="100"/>
      <c r="M172" s="31"/>
      <c r="N172" s="22"/>
      <c r="O172" s="23"/>
      <c r="P172" s="39"/>
      <c r="Q172" s="107"/>
      <c r="R172" s="107"/>
      <c r="S172" s="107"/>
    </row>
    <row r="173" spans="1:19" ht="19.149999999999999" customHeight="1" x14ac:dyDescent="0.2">
      <c r="A173" s="107"/>
      <c r="B173" s="107"/>
      <c r="C173" s="107"/>
      <c r="D173" s="107"/>
      <c r="E173" s="14">
        <v>3</v>
      </c>
      <c r="F173" s="24"/>
      <c r="G173" s="25">
        <v>45565</v>
      </c>
      <c r="H173" s="17">
        <v>1000</v>
      </c>
      <c r="I173" s="18">
        <v>26.95</v>
      </c>
      <c r="J173" s="19">
        <f t="shared" si="12"/>
        <v>1026.95</v>
      </c>
      <c r="K173" s="14" t="s">
        <v>31</v>
      </c>
      <c r="L173" s="100"/>
      <c r="M173" s="31"/>
      <c r="N173" s="22"/>
      <c r="O173" s="23"/>
      <c r="P173" s="39"/>
      <c r="Q173" s="107"/>
      <c r="R173" s="107"/>
      <c r="S173" s="107"/>
    </row>
    <row r="174" spans="1:19" ht="19.149999999999999" customHeight="1" x14ac:dyDescent="0.2">
      <c r="A174" s="107"/>
      <c r="B174" s="107"/>
      <c r="C174" s="107"/>
      <c r="D174" s="107"/>
      <c r="E174" s="14">
        <v>6</v>
      </c>
      <c r="F174" s="24"/>
      <c r="G174" s="25">
        <v>45569</v>
      </c>
      <c r="H174" s="17">
        <v>1000</v>
      </c>
      <c r="I174" s="18">
        <v>61.6</v>
      </c>
      <c r="J174" s="19">
        <f t="shared" si="12"/>
        <v>1061.5999999999999</v>
      </c>
      <c r="K174" s="14" t="s">
        <v>31</v>
      </c>
      <c r="L174" s="100"/>
      <c r="M174" s="31"/>
      <c r="N174" s="22"/>
      <c r="O174" s="23"/>
      <c r="P174" s="39"/>
      <c r="Q174" s="107"/>
      <c r="R174" s="107"/>
      <c r="S174" s="107"/>
    </row>
    <row r="175" spans="1:19" ht="19.149999999999999" customHeight="1" x14ac:dyDescent="0.2">
      <c r="A175" s="107"/>
      <c r="B175" s="107"/>
      <c r="C175" s="107"/>
      <c r="D175" s="107"/>
      <c r="E175" s="14">
        <v>4</v>
      </c>
      <c r="F175" s="24"/>
      <c r="G175" s="25">
        <v>45572</v>
      </c>
      <c r="H175" s="17">
        <v>1000</v>
      </c>
      <c r="I175" s="18">
        <v>56.67</v>
      </c>
      <c r="J175" s="19">
        <f t="shared" si="12"/>
        <v>1056.67</v>
      </c>
      <c r="K175" s="14" t="s">
        <v>31</v>
      </c>
      <c r="L175" s="100"/>
      <c r="M175" s="31"/>
      <c r="N175" s="22"/>
      <c r="O175" s="23"/>
      <c r="P175" s="39"/>
      <c r="Q175" s="107"/>
      <c r="R175" s="107"/>
      <c r="S175" s="107"/>
    </row>
    <row r="176" spans="1:19" ht="19.149999999999999" customHeight="1" x14ac:dyDescent="0.2">
      <c r="A176" s="107"/>
      <c r="B176" s="107"/>
      <c r="C176" s="107"/>
      <c r="D176" s="107"/>
      <c r="E176" s="14">
        <v>2</v>
      </c>
      <c r="F176" s="24"/>
      <c r="G176" s="25">
        <v>45577</v>
      </c>
      <c r="H176" s="17">
        <v>2000</v>
      </c>
      <c r="I176" s="18">
        <v>53.9</v>
      </c>
      <c r="J176" s="19">
        <f t="shared" si="12"/>
        <v>2053.9</v>
      </c>
      <c r="K176" s="14" t="s">
        <v>31</v>
      </c>
      <c r="L176" s="100"/>
      <c r="M176" s="31"/>
      <c r="N176" s="22"/>
      <c r="O176" s="23"/>
      <c r="P176" s="39"/>
      <c r="Q176" s="107"/>
      <c r="R176" s="107"/>
      <c r="S176" s="107"/>
    </row>
    <row r="177" spans="1:19" ht="19.149999999999999" customHeight="1" x14ac:dyDescent="0.2">
      <c r="A177" s="107"/>
      <c r="B177" s="28"/>
      <c r="C177" s="107"/>
      <c r="D177" s="107"/>
      <c r="E177" s="14">
        <v>6</v>
      </c>
      <c r="F177" s="24"/>
      <c r="G177" s="25">
        <v>45580</v>
      </c>
      <c r="H177" s="17">
        <v>1000</v>
      </c>
      <c r="I177" s="18">
        <v>63.52</v>
      </c>
      <c r="J177" s="19">
        <f t="shared" si="12"/>
        <v>1063.52</v>
      </c>
      <c r="K177" s="14" t="s">
        <v>31</v>
      </c>
      <c r="L177" s="100"/>
      <c r="M177" s="31"/>
      <c r="N177" s="22"/>
      <c r="O177" s="23"/>
      <c r="P177" s="39"/>
      <c r="Q177" s="107"/>
      <c r="R177" s="107"/>
      <c r="S177" s="107"/>
    </row>
    <row r="178" spans="1:19" ht="19.149999999999999" customHeight="1" x14ac:dyDescent="0.2">
      <c r="A178" s="107"/>
      <c r="B178" s="107"/>
      <c r="C178" s="107"/>
      <c r="D178" s="107"/>
      <c r="E178" s="14">
        <v>6</v>
      </c>
      <c r="F178" s="24"/>
      <c r="G178" s="25">
        <v>45584</v>
      </c>
      <c r="H178" s="17">
        <v>1000</v>
      </c>
      <c r="I178" s="18">
        <v>61.6</v>
      </c>
      <c r="J178" s="19">
        <f t="shared" si="12"/>
        <v>1061.5999999999999</v>
      </c>
      <c r="K178" s="14" t="s">
        <v>31</v>
      </c>
      <c r="L178" s="100" t="s">
        <v>32</v>
      </c>
      <c r="M178" s="31"/>
      <c r="N178" s="22"/>
      <c r="O178" s="23"/>
      <c r="P178" s="39"/>
      <c r="Q178" s="107"/>
      <c r="R178" s="107"/>
      <c r="S178" s="107"/>
    </row>
    <row r="179" spans="1:19" ht="19.149999999999999" customHeight="1" x14ac:dyDescent="0.2">
      <c r="A179" s="107"/>
      <c r="B179" s="107"/>
      <c r="C179" s="107"/>
      <c r="D179" s="107"/>
      <c r="E179" s="14">
        <v>3</v>
      </c>
      <c r="F179" s="24"/>
      <c r="G179" s="25">
        <v>45586</v>
      </c>
      <c r="H179" s="17">
        <v>1000</v>
      </c>
      <c r="I179" s="18">
        <v>34.65</v>
      </c>
      <c r="J179" s="19">
        <f t="shared" si="12"/>
        <v>1034.6500000000001</v>
      </c>
      <c r="K179" s="14" t="s">
        <v>31</v>
      </c>
      <c r="L179" s="100"/>
      <c r="M179" s="31"/>
      <c r="N179" s="22"/>
      <c r="O179" s="23"/>
      <c r="P179" s="39"/>
      <c r="Q179" s="107"/>
      <c r="R179" s="107"/>
      <c r="S179" s="107"/>
    </row>
    <row r="180" spans="1:19" x14ac:dyDescent="0.2">
      <c r="E180" s="14">
        <v>6</v>
      </c>
      <c r="F180" s="24"/>
      <c r="G180" s="25">
        <v>45589</v>
      </c>
      <c r="H180" s="17">
        <v>1000</v>
      </c>
      <c r="I180" s="18">
        <v>57.75</v>
      </c>
      <c r="J180" s="19">
        <f t="shared" si="12"/>
        <v>1057.75</v>
      </c>
      <c r="K180" s="14" t="s">
        <v>31</v>
      </c>
      <c r="L180" s="100" t="s">
        <v>32</v>
      </c>
      <c r="M180" s="31"/>
    </row>
    <row r="181" spans="1:19" x14ac:dyDescent="0.2">
      <c r="E181" s="14">
        <v>6</v>
      </c>
      <c r="F181" s="24"/>
      <c r="G181" s="25">
        <v>45592</v>
      </c>
      <c r="H181" s="17">
        <v>1000</v>
      </c>
      <c r="I181" s="18">
        <v>53.9</v>
      </c>
      <c r="J181" s="19">
        <f t="shared" si="12"/>
        <v>1053.9000000000001</v>
      </c>
      <c r="K181" s="14" t="s">
        <v>31</v>
      </c>
      <c r="L181" s="100"/>
      <c r="M181" s="31"/>
    </row>
    <row r="182" spans="1:19" x14ac:dyDescent="0.2">
      <c r="E182" s="14">
        <v>6</v>
      </c>
      <c r="F182" s="24"/>
      <c r="G182" s="25">
        <v>45593</v>
      </c>
      <c r="H182" s="17">
        <v>1000</v>
      </c>
      <c r="I182" s="18">
        <v>53.9</v>
      </c>
      <c r="J182" s="19">
        <f t="shared" si="12"/>
        <v>1053.9000000000001</v>
      </c>
      <c r="K182" s="14" t="s">
        <v>31</v>
      </c>
      <c r="L182" s="100"/>
      <c r="M182" s="31"/>
    </row>
    <row r="183" spans="1:19" x14ac:dyDescent="0.2">
      <c r="E183" s="14">
        <v>4</v>
      </c>
      <c r="F183" s="24"/>
      <c r="G183" s="25">
        <v>45593</v>
      </c>
      <c r="H183" s="17">
        <v>1000</v>
      </c>
      <c r="I183" s="18">
        <v>41.06</v>
      </c>
      <c r="J183" s="19">
        <f t="shared" si="12"/>
        <v>1041.06</v>
      </c>
      <c r="K183" s="14" t="s">
        <v>31</v>
      </c>
      <c r="L183" s="100"/>
      <c r="M183" s="31"/>
    </row>
    <row r="184" spans="1:19" x14ac:dyDescent="0.2">
      <c r="E184" s="14">
        <v>2</v>
      </c>
      <c r="F184" s="24"/>
      <c r="G184" s="25">
        <v>45593</v>
      </c>
      <c r="H184" s="17">
        <v>3000</v>
      </c>
      <c r="I184" s="18">
        <v>53.9</v>
      </c>
      <c r="J184" s="19">
        <f t="shared" si="12"/>
        <v>3053.9</v>
      </c>
      <c r="K184" s="14" t="s">
        <v>31</v>
      </c>
      <c r="L184" s="100"/>
      <c r="M184" s="31"/>
    </row>
    <row r="185" spans="1:19" x14ac:dyDescent="0.2">
      <c r="E185" s="14">
        <v>2</v>
      </c>
      <c r="F185" s="24"/>
      <c r="G185" s="25">
        <v>45593</v>
      </c>
      <c r="H185" s="17">
        <v>2000</v>
      </c>
      <c r="I185" s="18">
        <v>51.34</v>
      </c>
      <c r="J185" s="19">
        <f t="shared" si="12"/>
        <v>2051.34</v>
      </c>
      <c r="K185" s="14" t="s">
        <v>31</v>
      </c>
      <c r="L185" s="100" t="s">
        <v>32</v>
      </c>
      <c r="M185" s="31"/>
    </row>
    <row r="186" spans="1:19" x14ac:dyDescent="0.2">
      <c r="E186" s="14">
        <v>6</v>
      </c>
      <c r="F186" s="24"/>
      <c r="G186" s="25">
        <v>45594</v>
      </c>
      <c r="H186" s="17">
        <v>1000</v>
      </c>
      <c r="I186" s="18">
        <v>53.9</v>
      </c>
      <c r="J186" s="19">
        <f t="shared" si="12"/>
        <v>1053.9000000000001</v>
      </c>
      <c r="K186" s="14" t="s">
        <v>31</v>
      </c>
      <c r="L186" s="100"/>
      <c r="M186" s="31"/>
    </row>
    <row r="187" spans="1:19" x14ac:dyDescent="0.2">
      <c r="E187" s="14">
        <v>3</v>
      </c>
      <c r="F187" s="24"/>
      <c r="G187" s="25">
        <v>45598</v>
      </c>
      <c r="H187" s="17">
        <v>1000</v>
      </c>
      <c r="I187" s="18">
        <v>32.72</v>
      </c>
      <c r="J187" s="19">
        <f t="shared" si="12"/>
        <v>1032.72</v>
      </c>
      <c r="K187" s="14" t="s">
        <v>31</v>
      </c>
      <c r="L187" s="100"/>
      <c r="M187" s="31"/>
    </row>
    <row r="188" spans="1:19" x14ac:dyDescent="0.2">
      <c r="E188" s="14">
        <v>3</v>
      </c>
      <c r="F188" s="24"/>
      <c r="G188" s="25">
        <v>45599</v>
      </c>
      <c r="H188" s="17">
        <v>1000</v>
      </c>
      <c r="I188" s="18">
        <v>40.42</v>
      </c>
      <c r="J188" s="19">
        <f t="shared" si="12"/>
        <v>1040.42</v>
      </c>
      <c r="K188" s="14" t="s">
        <v>31</v>
      </c>
      <c r="L188" s="100"/>
      <c r="M188" s="31"/>
    </row>
    <row r="189" spans="1:19" x14ac:dyDescent="0.2">
      <c r="E189" s="14">
        <v>3</v>
      </c>
      <c r="F189" s="24"/>
      <c r="G189" s="25">
        <v>45601</v>
      </c>
      <c r="H189" s="17">
        <v>3000</v>
      </c>
      <c r="I189" s="18">
        <v>103.95</v>
      </c>
      <c r="J189" s="19">
        <f t="shared" si="12"/>
        <v>3103.95</v>
      </c>
      <c r="K189" s="14" t="s">
        <v>31</v>
      </c>
      <c r="L189" s="100"/>
      <c r="M189" s="31"/>
    </row>
    <row r="190" spans="1:19" x14ac:dyDescent="0.2">
      <c r="E190" s="14">
        <v>2</v>
      </c>
      <c r="F190" s="24"/>
      <c r="G190" s="25">
        <v>45605</v>
      </c>
      <c r="H190" s="17">
        <v>1000</v>
      </c>
      <c r="I190" s="18">
        <v>32.65</v>
      </c>
      <c r="J190" s="19">
        <f t="shared" si="12"/>
        <v>1032.6500000000001</v>
      </c>
      <c r="K190" s="14" t="s">
        <v>31</v>
      </c>
      <c r="L190" s="100"/>
      <c r="M190" s="31"/>
    </row>
    <row r="191" spans="1:19" x14ac:dyDescent="0.2">
      <c r="E191" s="14">
        <v>3</v>
      </c>
      <c r="F191" s="24"/>
      <c r="G191" s="25">
        <v>45607</v>
      </c>
      <c r="H191" s="17">
        <v>2000</v>
      </c>
      <c r="I191" s="18">
        <v>57.75</v>
      </c>
      <c r="J191" s="19">
        <f t="shared" si="12"/>
        <v>2057.75</v>
      </c>
      <c r="K191" s="14" t="s">
        <v>31</v>
      </c>
      <c r="L191" s="100"/>
      <c r="M191" s="31"/>
    </row>
    <row r="192" spans="1:19" x14ac:dyDescent="0.2">
      <c r="E192" s="14">
        <v>3</v>
      </c>
      <c r="F192" s="24"/>
      <c r="G192" s="25">
        <v>45608</v>
      </c>
      <c r="H192" s="17">
        <v>1400</v>
      </c>
      <c r="I192" s="18">
        <v>48.51</v>
      </c>
      <c r="J192" s="19">
        <f t="shared" si="12"/>
        <v>1448.51</v>
      </c>
      <c r="K192" s="14" t="s">
        <v>31</v>
      </c>
      <c r="L192" s="100"/>
      <c r="M192" s="31"/>
    </row>
    <row r="193" spans="5:13" x14ac:dyDescent="0.2">
      <c r="E193" s="14">
        <v>4</v>
      </c>
      <c r="F193" s="24"/>
      <c r="G193" s="25">
        <v>45608</v>
      </c>
      <c r="H193" s="17">
        <v>1000</v>
      </c>
      <c r="I193" s="18">
        <v>38.5</v>
      </c>
      <c r="J193" s="19">
        <f t="shared" si="12"/>
        <v>1038.5</v>
      </c>
      <c r="K193" s="14" t="s">
        <v>31</v>
      </c>
      <c r="L193" s="100"/>
      <c r="M193" s="31"/>
    </row>
    <row r="194" spans="5:13" x14ac:dyDescent="0.2">
      <c r="E194" s="14">
        <v>4</v>
      </c>
      <c r="F194" s="24"/>
      <c r="G194" s="25">
        <v>45610</v>
      </c>
      <c r="H194" s="17">
        <v>1000</v>
      </c>
      <c r="I194" s="18">
        <v>48.76</v>
      </c>
      <c r="J194" s="19">
        <f t="shared" ref="J194:J257" si="19">SUM(H194:I194)</f>
        <v>1048.76</v>
      </c>
      <c r="K194" s="14" t="s">
        <v>31</v>
      </c>
      <c r="L194" s="100"/>
      <c r="M194" s="31"/>
    </row>
    <row r="195" spans="5:13" x14ac:dyDescent="0.2">
      <c r="E195" s="82">
        <v>4</v>
      </c>
      <c r="F195" s="83"/>
      <c r="G195" s="25">
        <v>45610</v>
      </c>
      <c r="H195" s="84">
        <v>1000</v>
      </c>
      <c r="I195" s="85">
        <v>41.06</v>
      </c>
      <c r="J195" s="19">
        <f t="shared" si="19"/>
        <v>1041.06</v>
      </c>
      <c r="K195" s="14" t="s">
        <v>31</v>
      </c>
      <c r="L195" s="100"/>
      <c r="M195" s="31"/>
    </row>
    <row r="196" spans="5:13" x14ac:dyDescent="0.2">
      <c r="E196" s="14">
        <v>3</v>
      </c>
      <c r="F196" s="24"/>
      <c r="G196" s="25">
        <v>45610</v>
      </c>
      <c r="H196" s="17">
        <v>5000</v>
      </c>
      <c r="I196" s="18">
        <v>225</v>
      </c>
      <c r="J196" s="19">
        <f t="shared" si="19"/>
        <v>5225</v>
      </c>
      <c r="K196" s="14" t="s">
        <v>31</v>
      </c>
      <c r="L196" s="100"/>
      <c r="M196" s="31"/>
    </row>
    <row r="197" spans="5:13" x14ac:dyDescent="0.2">
      <c r="E197" s="14">
        <v>3</v>
      </c>
      <c r="F197" s="24"/>
      <c r="G197" s="25">
        <v>45613</v>
      </c>
      <c r="H197" s="17">
        <v>2000</v>
      </c>
      <c r="I197" s="18">
        <v>85</v>
      </c>
      <c r="J197" s="19">
        <f t="shared" si="19"/>
        <v>2085</v>
      </c>
      <c r="K197" s="14" t="s">
        <v>31</v>
      </c>
      <c r="L197" s="100"/>
      <c r="M197" s="31"/>
    </row>
    <row r="198" spans="5:13" x14ac:dyDescent="0.2">
      <c r="E198" s="14">
        <v>3</v>
      </c>
      <c r="F198" s="24"/>
      <c r="G198" s="25">
        <v>45623</v>
      </c>
      <c r="H198" s="17">
        <v>5000</v>
      </c>
      <c r="I198" s="18">
        <v>144.38</v>
      </c>
      <c r="J198" s="19">
        <f t="shared" si="19"/>
        <v>5144.38</v>
      </c>
      <c r="K198" s="14" t="s">
        <v>31</v>
      </c>
      <c r="L198" s="100"/>
      <c r="M198" s="31"/>
    </row>
    <row r="199" spans="5:13" x14ac:dyDescent="0.2">
      <c r="E199" s="14">
        <v>6</v>
      </c>
      <c r="F199" s="24"/>
      <c r="G199" s="25">
        <v>45625</v>
      </c>
      <c r="H199" s="17">
        <v>1000</v>
      </c>
      <c r="I199" s="18">
        <v>53.9</v>
      </c>
      <c r="J199" s="19">
        <f t="shared" si="19"/>
        <v>1053.9000000000001</v>
      </c>
      <c r="K199" s="14" t="s">
        <v>31</v>
      </c>
      <c r="L199" s="100"/>
      <c r="M199" s="31"/>
    </row>
    <row r="200" spans="5:13" x14ac:dyDescent="0.2">
      <c r="E200" s="14">
        <v>5</v>
      </c>
      <c r="F200" s="24"/>
      <c r="G200" s="25">
        <v>45632</v>
      </c>
      <c r="H200" s="17">
        <v>1000</v>
      </c>
      <c r="I200" s="18">
        <v>67.37</v>
      </c>
      <c r="J200" s="19">
        <f t="shared" si="19"/>
        <v>1067.3699999999999</v>
      </c>
      <c r="K200" s="14" t="s">
        <v>31</v>
      </c>
      <c r="L200" s="100"/>
      <c r="M200" s="31"/>
    </row>
    <row r="201" spans="5:13" x14ac:dyDescent="0.2">
      <c r="E201" s="14">
        <v>5</v>
      </c>
      <c r="F201" s="24"/>
      <c r="G201" s="25">
        <v>45632</v>
      </c>
      <c r="H201" s="17">
        <v>1000</v>
      </c>
      <c r="I201" s="18">
        <v>48.12</v>
      </c>
      <c r="J201" s="19">
        <f t="shared" si="19"/>
        <v>1048.1199999999999</v>
      </c>
      <c r="K201" s="14" t="s">
        <v>31</v>
      </c>
      <c r="L201" s="100"/>
      <c r="M201" s="31"/>
    </row>
    <row r="202" spans="5:13" x14ac:dyDescent="0.2">
      <c r="E202" s="14">
        <v>4</v>
      </c>
      <c r="F202" s="24"/>
      <c r="G202" s="25">
        <v>45632</v>
      </c>
      <c r="H202" s="17">
        <v>1000</v>
      </c>
      <c r="I202" s="18">
        <v>57.75</v>
      </c>
      <c r="J202" s="19">
        <f t="shared" si="19"/>
        <v>1057.75</v>
      </c>
      <c r="K202" s="14" t="s">
        <v>31</v>
      </c>
      <c r="L202" s="100"/>
      <c r="M202" s="31"/>
    </row>
    <row r="203" spans="5:13" x14ac:dyDescent="0.2">
      <c r="E203" s="14">
        <v>3</v>
      </c>
      <c r="F203" s="24"/>
      <c r="G203" s="25">
        <v>45634</v>
      </c>
      <c r="H203" s="17">
        <v>1000</v>
      </c>
      <c r="I203" s="18">
        <v>28.87</v>
      </c>
      <c r="J203" s="19">
        <f t="shared" si="19"/>
        <v>1028.8699999999999</v>
      </c>
      <c r="K203" s="14" t="s">
        <v>31</v>
      </c>
      <c r="L203" s="100"/>
      <c r="M203" s="31"/>
    </row>
    <row r="204" spans="5:13" x14ac:dyDescent="0.2">
      <c r="E204" s="14">
        <v>4</v>
      </c>
      <c r="F204" s="24"/>
      <c r="G204" s="25">
        <v>45638</v>
      </c>
      <c r="H204" s="17">
        <v>2000</v>
      </c>
      <c r="I204" s="18">
        <v>107.8</v>
      </c>
      <c r="J204" s="19">
        <f t="shared" si="19"/>
        <v>2107.8000000000002</v>
      </c>
      <c r="K204" s="14" t="s">
        <v>31</v>
      </c>
      <c r="L204" s="100"/>
      <c r="M204" s="31"/>
    </row>
    <row r="205" spans="5:13" x14ac:dyDescent="0.2">
      <c r="E205" s="14">
        <v>5</v>
      </c>
      <c r="F205" s="24"/>
      <c r="G205" s="25">
        <v>45640</v>
      </c>
      <c r="H205" s="17">
        <v>1000</v>
      </c>
      <c r="I205" s="18">
        <v>38.5</v>
      </c>
      <c r="J205" s="19">
        <f t="shared" si="19"/>
        <v>1038.5</v>
      </c>
      <c r="K205" s="14" t="s">
        <v>31</v>
      </c>
      <c r="L205" s="100"/>
      <c r="M205" s="31"/>
    </row>
    <row r="206" spans="5:13" x14ac:dyDescent="0.2">
      <c r="E206" s="14">
        <v>4</v>
      </c>
      <c r="F206" s="24"/>
      <c r="G206" s="25">
        <v>45640</v>
      </c>
      <c r="H206" s="17">
        <v>1000</v>
      </c>
      <c r="I206" s="18">
        <v>48.12</v>
      </c>
      <c r="J206" s="19">
        <f t="shared" si="19"/>
        <v>1048.1199999999999</v>
      </c>
      <c r="K206" s="14" t="s">
        <v>31</v>
      </c>
      <c r="L206" s="100" t="s">
        <v>32</v>
      </c>
      <c r="M206" s="31"/>
    </row>
    <row r="207" spans="5:13" x14ac:dyDescent="0.2">
      <c r="E207" s="14">
        <v>4</v>
      </c>
      <c r="F207" s="24"/>
      <c r="G207" s="25">
        <v>45643</v>
      </c>
      <c r="H207" s="17">
        <v>2000</v>
      </c>
      <c r="I207" s="18">
        <v>120</v>
      </c>
      <c r="J207" s="19">
        <f t="shared" si="19"/>
        <v>2120</v>
      </c>
      <c r="K207" s="14" t="s">
        <v>31</v>
      </c>
      <c r="L207" s="100"/>
      <c r="M207" s="31"/>
    </row>
    <row r="208" spans="5:13" x14ac:dyDescent="0.2">
      <c r="E208" s="14">
        <v>4</v>
      </c>
      <c r="F208" s="24"/>
      <c r="G208" s="25">
        <v>45643</v>
      </c>
      <c r="H208" s="17">
        <v>2000</v>
      </c>
      <c r="I208" s="18">
        <v>100</v>
      </c>
      <c r="J208" s="19">
        <f t="shared" si="19"/>
        <v>2100</v>
      </c>
      <c r="K208" s="14" t="s">
        <v>31</v>
      </c>
      <c r="L208" s="100"/>
      <c r="M208" s="31"/>
    </row>
    <row r="209" spans="5:13" x14ac:dyDescent="0.2">
      <c r="E209" s="14">
        <v>3</v>
      </c>
      <c r="F209" s="24"/>
      <c r="G209" s="25">
        <v>45645</v>
      </c>
      <c r="H209" s="17">
        <v>1000</v>
      </c>
      <c r="I209" s="18">
        <v>51.78</v>
      </c>
      <c r="J209" s="19">
        <f t="shared" si="19"/>
        <v>1051.78</v>
      </c>
      <c r="K209" s="14" t="s">
        <v>31</v>
      </c>
      <c r="L209" s="100"/>
      <c r="M209" s="31"/>
    </row>
    <row r="210" spans="5:13" x14ac:dyDescent="0.2">
      <c r="E210" s="14">
        <v>4</v>
      </c>
      <c r="F210" s="24"/>
      <c r="G210" s="25">
        <v>45649</v>
      </c>
      <c r="H210" s="17">
        <v>2000</v>
      </c>
      <c r="I210" s="18">
        <v>80</v>
      </c>
      <c r="J210" s="19">
        <f t="shared" si="19"/>
        <v>2080</v>
      </c>
      <c r="K210" s="14" t="s">
        <v>31</v>
      </c>
      <c r="L210" s="100"/>
      <c r="M210" s="31"/>
    </row>
    <row r="211" spans="5:13" x14ac:dyDescent="0.2">
      <c r="E211" s="14">
        <v>4</v>
      </c>
      <c r="F211" s="24"/>
      <c r="G211" s="25">
        <v>45649</v>
      </c>
      <c r="H211" s="17">
        <v>2000</v>
      </c>
      <c r="I211" s="18">
        <v>80</v>
      </c>
      <c r="J211" s="19">
        <f t="shared" si="19"/>
        <v>2080</v>
      </c>
      <c r="K211" s="14" t="s">
        <v>31</v>
      </c>
      <c r="L211" s="100" t="s">
        <v>32</v>
      </c>
      <c r="M211" s="31"/>
    </row>
    <row r="212" spans="5:13" x14ac:dyDescent="0.2">
      <c r="E212" s="14">
        <v>4</v>
      </c>
      <c r="F212" s="24"/>
      <c r="G212" s="25">
        <v>45653</v>
      </c>
      <c r="H212" s="17">
        <v>2000</v>
      </c>
      <c r="I212" s="18">
        <v>61.6</v>
      </c>
      <c r="J212" s="19">
        <f t="shared" si="19"/>
        <v>2061.6</v>
      </c>
      <c r="K212" s="14" t="s">
        <v>31</v>
      </c>
      <c r="L212" s="100"/>
      <c r="M212" s="31"/>
    </row>
    <row r="213" spans="5:13" x14ac:dyDescent="0.2">
      <c r="E213" s="14">
        <v>6</v>
      </c>
      <c r="F213" s="24"/>
      <c r="G213" s="25">
        <v>45655</v>
      </c>
      <c r="H213" s="17">
        <v>1000</v>
      </c>
      <c r="I213" s="18">
        <v>53.9</v>
      </c>
      <c r="J213" s="19">
        <f t="shared" si="19"/>
        <v>1053.9000000000001</v>
      </c>
      <c r="K213" s="14" t="s">
        <v>31</v>
      </c>
      <c r="L213" s="100"/>
      <c r="M213" s="31"/>
    </row>
    <row r="214" spans="5:13" x14ac:dyDescent="0.2">
      <c r="E214" s="14">
        <v>6</v>
      </c>
      <c r="F214" s="24"/>
      <c r="G214" s="25">
        <v>45660</v>
      </c>
      <c r="H214" s="17">
        <v>2000</v>
      </c>
      <c r="I214" s="18">
        <v>115.5</v>
      </c>
      <c r="J214" s="19">
        <f t="shared" si="19"/>
        <v>2115.5</v>
      </c>
      <c r="K214" s="14" t="s">
        <v>31</v>
      </c>
      <c r="L214" s="100"/>
      <c r="M214" s="31"/>
    </row>
    <row r="215" spans="5:13" x14ac:dyDescent="0.2">
      <c r="E215" s="14">
        <v>6</v>
      </c>
      <c r="F215" s="24"/>
      <c r="G215" s="25">
        <v>45667</v>
      </c>
      <c r="H215" s="17">
        <v>1000</v>
      </c>
      <c r="I215" s="18">
        <v>57.75</v>
      </c>
      <c r="J215" s="19">
        <f t="shared" si="19"/>
        <v>1057.75</v>
      </c>
      <c r="K215" s="14" t="s">
        <v>31</v>
      </c>
      <c r="L215" s="100"/>
      <c r="M215" s="31"/>
    </row>
    <row r="216" spans="5:13" x14ac:dyDescent="0.2">
      <c r="E216" s="14">
        <v>5</v>
      </c>
      <c r="F216" s="24"/>
      <c r="G216" s="25">
        <v>45668</v>
      </c>
      <c r="H216" s="17">
        <v>2000</v>
      </c>
      <c r="I216" s="18">
        <v>109.09</v>
      </c>
      <c r="J216" s="19">
        <f t="shared" si="19"/>
        <v>2109.09</v>
      </c>
      <c r="K216" s="14" t="s">
        <v>31</v>
      </c>
      <c r="L216" s="100"/>
      <c r="M216" s="31"/>
    </row>
    <row r="217" spans="5:13" x14ac:dyDescent="0.2">
      <c r="E217" s="14">
        <v>5</v>
      </c>
      <c r="F217" s="24"/>
      <c r="G217" s="25">
        <v>45673</v>
      </c>
      <c r="H217" s="17">
        <v>4000</v>
      </c>
      <c r="I217" s="18">
        <v>233.33</v>
      </c>
      <c r="J217" s="19">
        <f t="shared" si="19"/>
        <v>4233.33</v>
      </c>
      <c r="K217" s="14" t="s">
        <v>31</v>
      </c>
      <c r="L217" s="100"/>
      <c r="M217" s="31"/>
    </row>
    <row r="218" spans="5:13" x14ac:dyDescent="0.2">
      <c r="E218" s="14">
        <v>2</v>
      </c>
      <c r="F218" s="24"/>
      <c r="G218" s="25">
        <v>45676</v>
      </c>
      <c r="H218" s="17">
        <v>1000</v>
      </c>
      <c r="I218" s="18">
        <v>24.39</v>
      </c>
      <c r="J218" s="19">
        <f t="shared" si="19"/>
        <v>1024.3900000000001</v>
      </c>
      <c r="K218" s="14" t="s">
        <v>31</v>
      </c>
      <c r="L218" s="100"/>
      <c r="M218" s="31"/>
    </row>
    <row r="219" spans="5:13" x14ac:dyDescent="0.2">
      <c r="E219" s="14">
        <v>4</v>
      </c>
      <c r="F219" s="24"/>
      <c r="G219" s="25">
        <v>45679</v>
      </c>
      <c r="H219" s="17">
        <v>2000</v>
      </c>
      <c r="I219" s="18">
        <v>100</v>
      </c>
      <c r="J219" s="19">
        <f t="shared" si="19"/>
        <v>2100</v>
      </c>
      <c r="K219" s="14" t="s">
        <v>31</v>
      </c>
      <c r="L219" s="100"/>
      <c r="M219" s="31"/>
    </row>
    <row r="220" spans="5:13" x14ac:dyDescent="0.2">
      <c r="E220" s="14">
        <v>2</v>
      </c>
      <c r="F220" s="24"/>
      <c r="G220" s="25">
        <v>45682</v>
      </c>
      <c r="H220" s="17">
        <v>10000</v>
      </c>
      <c r="I220" s="18">
        <v>192.5</v>
      </c>
      <c r="J220" s="19">
        <f t="shared" si="19"/>
        <v>10192.5</v>
      </c>
      <c r="K220" s="14" t="s">
        <v>31</v>
      </c>
      <c r="L220" s="100"/>
      <c r="M220" s="31"/>
    </row>
    <row r="221" spans="5:13" x14ac:dyDescent="0.2">
      <c r="E221" s="14">
        <v>2</v>
      </c>
      <c r="F221" s="24"/>
      <c r="G221" s="25">
        <v>45682</v>
      </c>
      <c r="H221" s="17">
        <v>12000</v>
      </c>
      <c r="I221" s="18">
        <v>277.2</v>
      </c>
      <c r="J221" s="19">
        <f t="shared" si="19"/>
        <v>12277.2</v>
      </c>
      <c r="K221" s="14" t="s">
        <v>31</v>
      </c>
      <c r="L221" s="100"/>
      <c r="M221" s="31"/>
    </row>
    <row r="222" spans="5:13" x14ac:dyDescent="0.2">
      <c r="E222" s="14">
        <v>4</v>
      </c>
      <c r="F222" s="24"/>
      <c r="G222" s="25">
        <v>45683</v>
      </c>
      <c r="H222" s="17">
        <v>5000</v>
      </c>
      <c r="I222" s="18">
        <v>240.63</v>
      </c>
      <c r="J222" s="19">
        <f t="shared" si="19"/>
        <v>5240.63</v>
      </c>
      <c r="K222" s="14" t="s">
        <v>31</v>
      </c>
      <c r="L222" s="100"/>
      <c r="M222" s="31"/>
    </row>
    <row r="223" spans="5:13" x14ac:dyDescent="0.2">
      <c r="E223" s="14">
        <v>4</v>
      </c>
      <c r="F223" s="24"/>
      <c r="G223" s="25">
        <v>45683</v>
      </c>
      <c r="H223" s="17">
        <v>5000</v>
      </c>
      <c r="I223" s="18">
        <v>288.75</v>
      </c>
      <c r="J223" s="19">
        <f t="shared" si="19"/>
        <v>5288.75</v>
      </c>
      <c r="K223" s="14" t="s">
        <v>31</v>
      </c>
      <c r="L223" s="100"/>
      <c r="M223" s="31"/>
    </row>
    <row r="224" spans="5:13" x14ac:dyDescent="0.2">
      <c r="E224" s="14">
        <v>6</v>
      </c>
      <c r="F224" s="24"/>
      <c r="G224" s="25">
        <v>45685</v>
      </c>
      <c r="H224" s="17">
        <v>1000</v>
      </c>
      <c r="I224" s="18">
        <v>65.45</v>
      </c>
      <c r="J224" s="19">
        <f t="shared" si="19"/>
        <v>1065.45</v>
      </c>
      <c r="K224" s="14" t="s">
        <v>31</v>
      </c>
      <c r="L224" s="100"/>
      <c r="M224" s="31"/>
    </row>
    <row r="225" spans="5:13" x14ac:dyDescent="0.2">
      <c r="E225" s="14">
        <v>5</v>
      </c>
      <c r="F225" s="24"/>
      <c r="G225" s="25">
        <v>45686</v>
      </c>
      <c r="H225" s="17">
        <v>3000</v>
      </c>
      <c r="I225" s="18">
        <v>173.25</v>
      </c>
      <c r="J225" s="19">
        <f t="shared" si="19"/>
        <v>3173.25</v>
      </c>
      <c r="K225" s="14" t="s">
        <v>31</v>
      </c>
      <c r="L225" s="100"/>
      <c r="M225" s="31"/>
    </row>
    <row r="226" spans="5:13" x14ac:dyDescent="0.2">
      <c r="E226" s="14">
        <v>6</v>
      </c>
      <c r="F226" s="24"/>
      <c r="G226" s="25">
        <v>45689</v>
      </c>
      <c r="H226" s="17">
        <v>1000</v>
      </c>
      <c r="I226" s="18">
        <v>69.3</v>
      </c>
      <c r="J226" s="19">
        <f t="shared" si="19"/>
        <v>1069.3</v>
      </c>
      <c r="K226" s="14" t="s">
        <v>31</v>
      </c>
      <c r="L226" s="100"/>
      <c r="M226" s="31"/>
    </row>
    <row r="227" spans="5:13" x14ac:dyDescent="0.2">
      <c r="E227" s="14">
        <v>2</v>
      </c>
      <c r="F227" s="24"/>
      <c r="G227" s="25">
        <v>45691</v>
      </c>
      <c r="H227" s="17">
        <v>5000</v>
      </c>
      <c r="I227" s="18">
        <v>115.5</v>
      </c>
      <c r="J227" s="19">
        <f t="shared" si="19"/>
        <v>5115.5</v>
      </c>
      <c r="K227" s="14" t="s">
        <v>31</v>
      </c>
      <c r="L227" s="100"/>
      <c r="M227" s="31"/>
    </row>
    <row r="228" spans="5:13" x14ac:dyDescent="0.2">
      <c r="E228" s="14">
        <v>6</v>
      </c>
      <c r="F228" s="24"/>
      <c r="G228" s="25">
        <v>45695</v>
      </c>
      <c r="H228" s="17">
        <v>4000</v>
      </c>
      <c r="I228" s="18">
        <v>231</v>
      </c>
      <c r="J228" s="19">
        <f t="shared" si="19"/>
        <v>4231</v>
      </c>
      <c r="K228" s="14" t="s">
        <v>31</v>
      </c>
      <c r="L228" s="100"/>
      <c r="M228" s="31"/>
    </row>
    <row r="229" spans="5:13" x14ac:dyDescent="0.2">
      <c r="E229" s="14">
        <v>6</v>
      </c>
      <c r="F229" s="24"/>
      <c r="G229" s="25">
        <v>45696</v>
      </c>
      <c r="H229" s="17">
        <v>2000</v>
      </c>
      <c r="I229" s="18">
        <v>115.5</v>
      </c>
      <c r="J229" s="19">
        <f t="shared" si="19"/>
        <v>2115.5</v>
      </c>
      <c r="K229" s="14" t="s">
        <v>31</v>
      </c>
      <c r="L229" s="100"/>
      <c r="M229" s="31"/>
    </row>
    <row r="230" spans="5:13" x14ac:dyDescent="0.2">
      <c r="E230" s="14">
        <v>2</v>
      </c>
      <c r="F230" s="24"/>
      <c r="G230" s="25">
        <v>45697</v>
      </c>
      <c r="H230" s="17">
        <v>10000</v>
      </c>
      <c r="I230" s="18">
        <v>192.5</v>
      </c>
      <c r="J230" s="19">
        <f t="shared" si="19"/>
        <v>10192.5</v>
      </c>
      <c r="K230" s="14" t="s">
        <v>31</v>
      </c>
      <c r="L230" s="100"/>
      <c r="M230" s="31"/>
    </row>
    <row r="231" spans="5:13" x14ac:dyDescent="0.2">
      <c r="E231" s="14">
        <v>2</v>
      </c>
      <c r="F231" s="24"/>
      <c r="G231" s="25">
        <v>45704</v>
      </c>
      <c r="H231" s="17">
        <v>4000</v>
      </c>
      <c r="I231" s="18">
        <v>92.4</v>
      </c>
      <c r="J231" s="19">
        <f t="shared" si="19"/>
        <v>4092.4</v>
      </c>
      <c r="K231" s="14" t="s">
        <v>31</v>
      </c>
      <c r="L231" s="100"/>
      <c r="M231" s="31"/>
    </row>
    <row r="232" spans="5:13" x14ac:dyDescent="0.2">
      <c r="E232" s="14">
        <v>6</v>
      </c>
      <c r="F232" s="24"/>
      <c r="G232" s="25">
        <v>45709</v>
      </c>
      <c r="H232" s="17">
        <v>1000</v>
      </c>
      <c r="I232" s="18">
        <v>80</v>
      </c>
      <c r="J232" s="19">
        <f t="shared" si="19"/>
        <v>1080</v>
      </c>
      <c r="K232" s="14" t="s">
        <v>31</v>
      </c>
      <c r="L232" s="100"/>
      <c r="M232" s="31"/>
    </row>
    <row r="233" spans="5:13" x14ac:dyDescent="0.2">
      <c r="E233" s="14">
        <v>3</v>
      </c>
      <c r="F233" s="24"/>
      <c r="G233" s="25">
        <v>45736</v>
      </c>
      <c r="H233" s="17">
        <v>5000</v>
      </c>
      <c r="I233" s="18">
        <v>235.66</v>
      </c>
      <c r="J233" s="19">
        <f t="shared" si="19"/>
        <v>5235.66</v>
      </c>
      <c r="K233" s="14" t="s">
        <v>31</v>
      </c>
      <c r="L233" s="100"/>
      <c r="M233" s="31"/>
    </row>
    <row r="234" spans="5:13" x14ac:dyDescent="0.2">
      <c r="E234" s="14">
        <v>3</v>
      </c>
      <c r="F234" s="24"/>
      <c r="G234" s="25">
        <v>45738</v>
      </c>
      <c r="H234" s="17">
        <v>5000</v>
      </c>
      <c r="I234" s="18">
        <v>134.75</v>
      </c>
      <c r="J234" s="19">
        <f t="shared" si="19"/>
        <v>5134.75</v>
      </c>
      <c r="K234" s="14" t="s">
        <v>31</v>
      </c>
      <c r="L234" s="100"/>
      <c r="M234" s="31"/>
    </row>
    <row r="235" spans="5:13" x14ac:dyDescent="0.2">
      <c r="E235" s="14">
        <v>4</v>
      </c>
      <c r="F235" s="24"/>
      <c r="G235" s="25">
        <v>45747</v>
      </c>
      <c r="H235" s="17">
        <v>2000</v>
      </c>
      <c r="I235" s="18">
        <v>123.9</v>
      </c>
      <c r="J235" s="19">
        <f t="shared" si="19"/>
        <v>2123.9</v>
      </c>
      <c r="K235" s="14" t="s">
        <v>31</v>
      </c>
      <c r="L235" s="100"/>
      <c r="M235" s="31"/>
    </row>
    <row r="236" spans="5:13" x14ac:dyDescent="0.2">
      <c r="E236" s="82">
        <v>4</v>
      </c>
      <c r="F236" s="83"/>
      <c r="G236" s="25">
        <v>45756</v>
      </c>
      <c r="H236" s="84">
        <v>1000</v>
      </c>
      <c r="I236" s="85">
        <v>53.9</v>
      </c>
      <c r="J236" s="86">
        <f t="shared" si="19"/>
        <v>1053.9000000000001</v>
      </c>
      <c r="K236" s="82" t="s">
        <v>31</v>
      </c>
      <c r="L236" s="100"/>
      <c r="M236" s="31"/>
    </row>
    <row r="237" spans="5:13" x14ac:dyDescent="0.2">
      <c r="E237" s="14">
        <v>6</v>
      </c>
      <c r="F237" s="24">
        <v>45584</v>
      </c>
      <c r="G237" s="25"/>
      <c r="H237" s="17">
        <v>1000</v>
      </c>
      <c r="I237" s="18">
        <v>57.75</v>
      </c>
      <c r="J237" s="19">
        <f t="shared" si="19"/>
        <v>1057.75</v>
      </c>
      <c r="K237" s="56" t="str">
        <f ca="1">IF(F237&lt;=TODAY(),"Check!","Waiting")</f>
        <v>Check!</v>
      </c>
      <c r="L237" s="100" t="s">
        <v>34</v>
      </c>
      <c r="M237" s="20" t="s">
        <v>103</v>
      </c>
    </row>
    <row r="238" spans="5:13" x14ac:dyDescent="0.2">
      <c r="E238" s="14">
        <v>5</v>
      </c>
      <c r="F238" s="24">
        <v>45588</v>
      </c>
      <c r="G238" s="25"/>
      <c r="H238" s="17">
        <v>1000</v>
      </c>
      <c r="I238" s="18">
        <v>57.75</v>
      </c>
      <c r="J238" s="19">
        <f t="shared" si="19"/>
        <v>1057.75</v>
      </c>
      <c r="K238" s="56" t="str">
        <f t="shared" ref="K238:K249" ca="1" si="20">IF(F238&lt;=TODAY(),"Check!","Waiting")</f>
        <v>Check!</v>
      </c>
      <c r="L238" s="100" t="s">
        <v>34</v>
      </c>
      <c r="M238" s="20" t="s">
        <v>103</v>
      </c>
    </row>
    <row r="239" spans="5:13" x14ac:dyDescent="0.2">
      <c r="E239" s="82">
        <v>6</v>
      </c>
      <c r="F239" s="83">
        <v>45614</v>
      </c>
      <c r="G239" s="25"/>
      <c r="H239" s="84">
        <v>1000</v>
      </c>
      <c r="I239" s="85">
        <v>69.3</v>
      </c>
      <c r="J239" s="86">
        <f t="shared" si="19"/>
        <v>1069.3</v>
      </c>
      <c r="K239" s="56" t="str">
        <f t="shared" ca="1" si="20"/>
        <v>Check!</v>
      </c>
      <c r="L239" s="100" t="s">
        <v>34</v>
      </c>
      <c r="M239" s="20" t="s">
        <v>103</v>
      </c>
    </row>
    <row r="240" spans="5:13" x14ac:dyDescent="0.2">
      <c r="E240" s="82">
        <v>6</v>
      </c>
      <c r="F240" s="83">
        <v>45622</v>
      </c>
      <c r="G240" s="25"/>
      <c r="H240" s="84">
        <v>1000</v>
      </c>
      <c r="I240" s="85">
        <v>69.3</v>
      </c>
      <c r="J240" s="19">
        <f t="shared" si="19"/>
        <v>1069.3</v>
      </c>
      <c r="K240" s="56" t="str">
        <f t="shared" ca="1" si="20"/>
        <v>Check!</v>
      </c>
      <c r="L240" s="100" t="s">
        <v>34</v>
      </c>
      <c r="M240" s="20" t="s">
        <v>103</v>
      </c>
    </row>
    <row r="241" spans="5:13" x14ac:dyDescent="0.2">
      <c r="E241" s="82">
        <v>6</v>
      </c>
      <c r="F241" s="83"/>
      <c r="G241" s="25">
        <v>45960</v>
      </c>
      <c r="H241" s="84">
        <v>1000</v>
      </c>
      <c r="I241" s="85">
        <v>61.6</v>
      </c>
      <c r="J241" s="19">
        <f t="shared" si="19"/>
        <v>1061.5999999999999</v>
      </c>
      <c r="K241" s="56" t="s">
        <v>31</v>
      </c>
      <c r="L241" s="162" t="s">
        <v>104</v>
      </c>
      <c r="M241" s="20" t="s">
        <v>103</v>
      </c>
    </row>
    <row r="242" spans="5:13" x14ac:dyDescent="0.2">
      <c r="E242" s="82">
        <v>6</v>
      </c>
      <c r="F242" s="83">
        <v>45678</v>
      </c>
      <c r="G242" s="25"/>
      <c r="H242" s="84">
        <v>1000</v>
      </c>
      <c r="I242" s="85">
        <v>69.3</v>
      </c>
      <c r="J242" s="86">
        <f t="shared" si="19"/>
        <v>1069.3</v>
      </c>
      <c r="K242" s="56" t="str">
        <f t="shared" ca="1" si="20"/>
        <v>Check!</v>
      </c>
      <c r="L242" s="100" t="s">
        <v>34</v>
      </c>
      <c r="M242" s="20" t="s">
        <v>103</v>
      </c>
    </row>
    <row r="243" spans="5:13" x14ac:dyDescent="0.2">
      <c r="E243" s="82">
        <v>5</v>
      </c>
      <c r="F243" s="83">
        <v>45679</v>
      </c>
      <c r="G243" s="25"/>
      <c r="H243" s="84">
        <v>2000</v>
      </c>
      <c r="I243" s="85">
        <v>100</v>
      </c>
      <c r="J243" s="19">
        <f t="shared" si="19"/>
        <v>2100</v>
      </c>
      <c r="K243" s="56" t="str">
        <f t="shared" ca="1" si="20"/>
        <v>Check!</v>
      </c>
      <c r="L243" s="100" t="s">
        <v>34</v>
      </c>
      <c r="M243" s="20" t="s">
        <v>103</v>
      </c>
    </row>
    <row r="244" spans="5:13" x14ac:dyDescent="0.2">
      <c r="E244" s="82">
        <v>5</v>
      </c>
      <c r="F244" s="83">
        <v>45682</v>
      </c>
      <c r="G244" s="25"/>
      <c r="H244" s="84">
        <v>4000</v>
      </c>
      <c r="I244" s="85">
        <v>192.5</v>
      </c>
      <c r="J244" s="19">
        <f t="shared" si="19"/>
        <v>4192.5</v>
      </c>
      <c r="K244" s="56" t="str">
        <f t="shared" ca="1" si="20"/>
        <v>Check!</v>
      </c>
      <c r="L244" s="100" t="s">
        <v>34</v>
      </c>
      <c r="M244" s="20" t="s">
        <v>103</v>
      </c>
    </row>
    <row r="245" spans="5:13" x14ac:dyDescent="0.2">
      <c r="E245" s="82">
        <v>5</v>
      </c>
      <c r="F245" s="83">
        <v>45685</v>
      </c>
      <c r="G245" s="25"/>
      <c r="H245" s="84">
        <v>2000</v>
      </c>
      <c r="I245" s="85">
        <v>134.75</v>
      </c>
      <c r="J245" s="86">
        <f t="shared" si="19"/>
        <v>2134.75</v>
      </c>
      <c r="K245" s="56" t="str">
        <f t="shared" ca="1" si="20"/>
        <v>Check!</v>
      </c>
      <c r="L245" s="100" t="s">
        <v>34</v>
      </c>
      <c r="M245" s="20" t="s">
        <v>103</v>
      </c>
    </row>
    <row r="246" spans="5:13" x14ac:dyDescent="0.2">
      <c r="E246" s="82">
        <v>2</v>
      </c>
      <c r="F246" s="83">
        <v>45703</v>
      </c>
      <c r="G246" s="25"/>
      <c r="H246" s="84">
        <v>2000</v>
      </c>
      <c r="I246" s="85">
        <v>51.34</v>
      </c>
      <c r="J246" s="19">
        <f t="shared" si="19"/>
        <v>2051.34</v>
      </c>
      <c r="K246" s="56" t="str">
        <f t="shared" ca="1" si="20"/>
        <v>Check!</v>
      </c>
      <c r="L246" s="100" t="s">
        <v>34</v>
      </c>
      <c r="M246" s="20" t="s">
        <v>103</v>
      </c>
    </row>
    <row r="247" spans="5:13" x14ac:dyDescent="0.2">
      <c r="E247" s="82">
        <v>3</v>
      </c>
      <c r="F247" s="83">
        <v>45715</v>
      </c>
      <c r="G247" s="25"/>
      <c r="H247" s="84">
        <v>10000</v>
      </c>
      <c r="I247" s="85">
        <v>442.5</v>
      </c>
      <c r="J247" s="86">
        <f t="shared" si="19"/>
        <v>10442.5</v>
      </c>
      <c r="K247" s="56" t="str">
        <f t="shared" ca="1" si="20"/>
        <v>Check!</v>
      </c>
      <c r="L247" s="100" t="s">
        <v>34</v>
      </c>
      <c r="M247" s="20" t="s">
        <v>103</v>
      </c>
    </row>
    <row r="248" spans="5:13" x14ac:dyDescent="0.2">
      <c r="E248" s="82">
        <v>4</v>
      </c>
      <c r="F248" s="83"/>
      <c r="G248" s="25">
        <v>45909</v>
      </c>
      <c r="H248" s="84">
        <v>5000</v>
      </c>
      <c r="I248" s="85">
        <v>295</v>
      </c>
      <c r="J248" s="19">
        <f t="shared" si="19"/>
        <v>5295</v>
      </c>
      <c r="K248" s="56" t="s">
        <v>31</v>
      </c>
      <c r="L248" s="100" t="s">
        <v>105</v>
      </c>
      <c r="M248" s="20" t="s">
        <v>103</v>
      </c>
    </row>
    <row r="249" spans="5:13" x14ac:dyDescent="0.2">
      <c r="E249" s="82">
        <v>6</v>
      </c>
      <c r="F249" s="83">
        <v>45825</v>
      </c>
      <c r="G249" s="25"/>
      <c r="H249" s="84">
        <v>1000</v>
      </c>
      <c r="I249" s="85">
        <v>77</v>
      </c>
      <c r="J249" s="86">
        <f t="shared" si="19"/>
        <v>1077</v>
      </c>
      <c r="K249" s="56" t="str">
        <f t="shared" ca="1" si="20"/>
        <v>Check!</v>
      </c>
      <c r="L249" s="100" t="s">
        <v>34</v>
      </c>
      <c r="M249" s="20" t="s">
        <v>103</v>
      </c>
    </row>
    <row r="250" spans="5:13" x14ac:dyDescent="0.2">
      <c r="E250" s="14">
        <v>3</v>
      </c>
      <c r="F250" s="24"/>
      <c r="G250" s="25">
        <v>45516</v>
      </c>
      <c r="H250" s="17">
        <v>2000</v>
      </c>
      <c r="I250" s="18">
        <v>64.8</v>
      </c>
      <c r="J250" s="19">
        <f t="shared" si="19"/>
        <v>2064.8000000000002</v>
      </c>
      <c r="K250" s="56" t="s">
        <v>31</v>
      </c>
      <c r="L250" s="100"/>
      <c r="M250" s="31" t="s">
        <v>106</v>
      </c>
    </row>
    <row r="251" spans="5:13" x14ac:dyDescent="0.2">
      <c r="E251" s="14">
        <v>4</v>
      </c>
      <c r="F251" s="24"/>
      <c r="G251" s="25">
        <v>45577</v>
      </c>
      <c r="H251" s="17">
        <v>1000</v>
      </c>
      <c r="I251" s="18">
        <v>48</v>
      </c>
      <c r="J251" s="19">
        <f t="shared" si="19"/>
        <v>1048</v>
      </c>
      <c r="K251" s="14" t="s">
        <v>31</v>
      </c>
      <c r="L251" s="100"/>
      <c r="M251" s="31" t="s">
        <v>106</v>
      </c>
    </row>
    <row r="252" spans="5:13" x14ac:dyDescent="0.2">
      <c r="E252" s="14">
        <v>6</v>
      </c>
      <c r="F252" s="24"/>
      <c r="G252" s="25">
        <v>45603</v>
      </c>
      <c r="H252" s="17">
        <v>1000</v>
      </c>
      <c r="I252" s="18">
        <v>64.8</v>
      </c>
      <c r="J252" s="19">
        <f t="shared" si="19"/>
        <v>1064.8</v>
      </c>
      <c r="K252" s="14" t="s">
        <v>31</v>
      </c>
      <c r="L252" s="100"/>
      <c r="M252" s="31" t="s">
        <v>106</v>
      </c>
    </row>
    <row r="253" spans="5:13" x14ac:dyDescent="0.2">
      <c r="E253" s="14">
        <v>3</v>
      </c>
      <c r="F253" s="24"/>
      <c r="G253" s="25">
        <v>45604</v>
      </c>
      <c r="H253" s="17">
        <v>1000</v>
      </c>
      <c r="I253" s="18">
        <v>32.4</v>
      </c>
      <c r="J253" s="19">
        <f t="shared" si="19"/>
        <v>1032.4000000000001</v>
      </c>
      <c r="K253" s="14" t="s">
        <v>31</v>
      </c>
      <c r="L253" s="100"/>
      <c r="M253" s="31" t="s">
        <v>106</v>
      </c>
    </row>
    <row r="254" spans="5:13" x14ac:dyDescent="0.2">
      <c r="E254" s="14">
        <v>6</v>
      </c>
      <c r="F254" s="24"/>
      <c r="G254" s="25">
        <v>45612</v>
      </c>
      <c r="H254" s="17">
        <v>2000</v>
      </c>
      <c r="I254" s="18">
        <v>115.2</v>
      </c>
      <c r="J254" s="19">
        <f t="shared" si="19"/>
        <v>2115.1999999999998</v>
      </c>
      <c r="K254" s="14" t="s">
        <v>31</v>
      </c>
      <c r="L254" s="100"/>
      <c r="M254" s="31" t="s">
        <v>106</v>
      </c>
    </row>
    <row r="255" spans="5:13" x14ac:dyDescent="0.2">
      <c r="E255" s="14">
        <v>4</v>
      </c>
      <c r="F255" s="24"/>
      <c r="G255" s="25">
        <v>45613</v>
      </c>
      <c r="H255" s="17">
        <v>1000</v>
      </c>
      <c r="I255" s="18">
        <v>43.2</v>
      </c>
      <c r="J255" s="19">
        <f t="shared" si="19"/>
        <v>1043.2</v>
      </c>
      <c r="K255" s="14" t="s">
        <v>31</v>
      </c>
      <c r="L255" s="100"/>
      <c r="M255" s="31" t="s">
        <v>106</v>
      </c>
    </row>
    <row r="256" spans="5:13" x14ac:dyDescent="0.2">
      <c r="E256" s="14">
        <v>4</v>
      </c>
      <c r="F256" s="24"/>
      <c r="G256" s="25">
        <v>45613</v>
      </c>
      <c r="H256" s="17">
        <v>1000</v>
      </c>
      <c r="I256" s="18">
        <v>43.2</v>
      </c>
      <c r="J256" s="19">
        <f t="shared" si="19"/>
        <v>1043.2</v>
      </c>
      <c r="K256" s="14" t="s">
        <v>31</v>
      </c>
      <c r="L256" s="100"/>
      <c r="M256" s="31" t="s">
        <v>106</v>
      </c>
    </row>
    <row r="257" spans="5:13" x14ac:dyDescent="0.2">
      <c r="E257" s="14">
        <v>6</v>
      </c>
      <c r="F257" s="24"/>
      <c r="G257" s="25">
        <v>45615</v>
      </c>
      <c r="H257" s="17">
        <v>1000</v>
      </c>
      <c r="I257" s="18">
        <v>69.599999999999994</v>
      </c>
      <c r="J257" s="19">
        <f t="shared" si="19"/>
        <v>1069.5999999999999</v>
      </c>
      <c r="K257" s="14" t="s">
        <v>31</v>
      </c>
      <c r="L257" s="100"/>
      <c r="M257" s="31" t="s">
        <v>106</v>
      </c>
    </row>
    <row r="258" spans="5:13" x14ac:dyDescent="0.2">
      <c r="E258" s="14">
        <v>6</v>
      </c>
      <c r="F258" s="24"/>
      <c r="G258" s="25">
        <v>45615</v>
      </c>
      <c r="H258" s="17">
        <v>2000</v>
      </c>
      <c r="I258" s="18">
        <v>139.19999999999999</v>
      </c>
      <c r="J258" s="19">
        <f t="shared" ref="J258:J310" si="21">SUM(H258:I258)</f>
        <v>2139.1999999999998</v>
      </c>
      <c r="K258" s="14" t="s">
        <v>31</v>
      </c>
      <c r="L258" s="100"/>
      <c r="M258" s="31" t="s">
        <v>106</v>
      </c>
    </row>
    <row r="259" spans="5:13" x14ac:dyDescent="0.2">
      <c r="E259" s="14">
        <v>6</v>
      </c>
      <c r="F259" s="24"/>
      <c r="G259" s="25">
        <v>45624</v>
      </c>
      <c r="H259" s="17">
        <v>2000</v>
      </c>
      <c r="I259" s="18">
        <v>115.2</v>
      </c>
      <c r="J259" s="19">
        <f t="shared" si="21"/>
        <v>2115.1999999999998</v>
      </c>
      <c r="K259" s="14" t="s">
        <v>31</v>
      </c>
      <c r="L259" s="100"/>
      <c r="M259" s="31" t="s">
        <v>106</v>
      </c>
    </row>
    <row r="260" spans="5:13" x14ac:dyDescent="0.2">
      <c r="E260" s="14">
        <v>4</v>
      </c>
      <c r="F260" s="24"/>
      <c r="G260" s="25">
        <v>45624</v>
      </c>
      <c r="H260" s="17">
        <v>1000</v>
      </c>
      <c r="I260" s="18">
        <v>40</v>
      </c>
      <c r="J260" s="19">
        <f t="shared" si="21"/>
        <v>1040</v>
      </c>
      <c r="K260" s="14" t="s">
        <v>31</v>
      </c>
      <c r="L260" s="100"/>
      <c r="M260" s="31" t="s">
        <v>106</v>
      </c>
    </row>
    <row r="261" spans="5:13" x14ac:dyDescent="0.2">
      <c r="E261" s="14">
        <v>4</v>
      </c>
      <c r="F261" s="24"/>
      <c r="G261" s="25">
        <v>45624</v>
      </c>
      <c r="H261" s="17">
        <v>1000</v>
      </c>
      <c r="I261" s="18">
        <v>49.6</v>
      </c>
      <c r="J261" s="19">
        <f t="shared" si="21"/>
        <v>1049.5999999999999</v>
      </c>
      <c r="K261" s="14" t="s">
        <v>31</v>
      </c>
      <c r="L261" s="100"/>
      <c r="M261" s="31" t="s">
        <v>106</v>
      </c>
    </row>
    <row r="262" spans="5:13" x14ac:dyDescent="0.2">
      <c r="E262" s="14">
        <v>4</v>
      </c>
      <c r="F262" s="24"/>
      <c r="G262" s="25">
        <v>45624</v>
      </c>
      <c r="H262" s="17">
        <v>1000</v>
      </c>
      <c r="I262" s="18">
        <v>43.2</v>
      </c>
      <c r="J262" s="19">
        <f t="shared" si="21"/>
        <v>1043.2</v>
      </c>
      <c r="K262" s="14" t="s">
        <v>31</v>
      </c>
      <c r="L262" s="100"/>
      <c r="M262" s="31" t="s">
        <v>106</v>
      </c>
    </row>
    <row r="263" spans="5:13" x14ac:dyDescent="0.2">
      <c r="E263" s="14">
        <v>6</v>
      </c>
      <c r="F263" s="24"/>
      <c r="G263" s="25">
        <v>45625</v>
      </c>
      <c r="H263" s="17">
        <v>2000</v>
      </c>
      <c r="I263" s="18">
        <v>115.2</v>
      </c>
      <c r="J263" s="19">
        <f t="shared" si="21"/>
        <v>2115.1999999999998</v>
      </c>
      <c r="K263" s="14" t="s">
        <v>31</v>
      </c>
      <c r="L263" s="100"/>
      <c r="M263" s="31" t="s">
        <v>106</v>
      </c>
    </row>
    <row r="264" spans="5:13" x14ac:dyDescent="0.2">
      <c r="E264" s="14">
        <v>6</v>
      </c>
      <c r="F264" s="24"/>
      <c r="G264" s="25">
        <v>45626</v>
      </c>
      <c r="H264" s="17">
        <v>1000</v>
      </c>
      <c r="I264" s="18">
        <v>74.400000000000006</v>
      </c>
      <c r="J264" s="19">
        <f t="shared" si="21"/>
        <v>1074.4000000000001</v>
      </c>
      <c r="K264" s="14" t="s">
        <v>31</v>
      </c>
      <c r="L264" s="100"/>
      <c r="M264" s="31" t="s">
        <v>106</v>
      </c>
    </row>
    <row r="265" spans="5:13" x14ac:dyDescent="0.2">
      <c r="E265" s="14">
        <v>6</v>
      </c>
      <c r="F265" s="24"/>
      <c r="G265" s="25">
        <v>45628</v>
      </c>
      <c r="H265" s="17">
        <v>2000</v>
      </c>
      <c r="I265" s="18">
        <v>120</v>
      </c>
      <c r="J265" s="19">
        <f t="shared" si="21"/>
        <v>2120</v>
      </c>
      <c r="K265" s="14" t="s">
        <v>31</v>
      </c>
      <c r="L265" s="100"/>
      <c r="M265" s="31" t="s">
        <v>106</v>
      </c>
    </row>
    <row r="266" spans="5:13" x14ac:dyDescent="0.2">
      <c r="E266" s="14">
        <v>6</v>
      </c>
      <c r="F266" s="24"/>
      <c r="G266" s="25">
        <v>45628</v>
      </c>
      <c r="H266" s="17">
        <v>1000</v>
      </c>
      <c r="I266" s="18">
        <v>74.400000000000006</v>
      </c>
      <c r="J266" s="19">
        <f t="shared" si="21"/>
        <v>1074.4000000000001</v>
      </c>
      <c r="K266" s="14" t="s">
        <v>31</v>
      </c>
      <c r="L266" s="100"/>
      <c r="M266" s="31" t="s">
        <v>106</v>
      </c>
    </row>
    <row r="267" spans="5:13" x14ac:dyDescent="0.2">
      <c r="E267" s="14">
        <v>6</v>
      </c>
      <c r="F267" s="24"/>
      <c r="G267" s="25">
        <v>45630</v>
      </c>
      <c r="H267" s="17">
        <v>1000</v>
      </c>
      <c r="I267" s="18">
        <v>74.400000000000006</v>
      </c>
      <c r="J267" s="19">
        <f t="shared" si="21"/>
        <v>1074.4000000000001</v>
      </c>
      <c r="K267" s="14" t="s">
        <v>31</v>
      </c>
      <c r="L267" s="100"/>
      <c r="M267" s="31" t="s">
        <v>106</v>
      </c>
    </row>
    <row r="268" spans="5:13" x14ac:dyDescent="0.2">
      <c r="E268" s="14">
        <v>4</v>
      </c>
      <c r="F268" s="24"/>
      <c r="G268" s="25">
        <v>45633</v>
      </c>
      <c r="H268" s="17">
        <v>1000</v>
      </c>
      <c r="I268" s="18">
        <v>48</v>
      </c>
      <c r="J268" s="19">
        <f t="shared" si="21"/>
        <v>1048</v>
      </c>
      <c r="K268" s="14" t="s">
        <v>31</v>
      </c>
      <c r="L268" s="100"/>
      <c r="M268" s="31" t="s">
        <v>106</v>
      </c>
    </row>
    <row r="269" spans="5:13" x14ac:dyDescent="0.2">
      <c r="E269" s="14">
        <v>6</v>
      </c>
      <c r="F269" s="24"/>
      <c r="G269" s="25">
        <v>45635</v>
      </c>
      <c r="H269" s="17">
        <v>1000</v>
      </c>
      <c r="I269" s="18">
        <v>72</v>
      </c>
      <c r="J269" s="19">
        <f t="shared" si="21"/>
        <v>1072</v>
      </c>
      <c r="K269" s="14" t="s">
        <v>31</v>
      </c>
      <c r="L269" s="100"/>
      <c r="M269" s="31" t="s">
        <v>106</v>
      </c>
    </row>
    <row r="270" spans="5:13" x14ac:dyDescent="0.2">
      <c r="E270" s="14">
        <v>6</v>
      </c>
      <c r="F270" s="24"/>
      <c r="G270" s="25">
        <v>45636</v>
      </c>
      <c r="H270" s="17">
        <v>2000</v>
      </c>
      <c r="I270" s="18">
        <v>124.8</v>
      </c>
      <c r="J270" s="19">
        <f t="shared" si="21"/>
        <v>2124.8000000000002</v>
      </c>
      <c r="K270" s="14" t="s">
        <v>31</v>
      </c>
      <c r="L270" s="100"/>
      <c r="M270" s="31" t="s">
        <v>106</v>
      </c>
    </row>
    <row r="271" spans="5:13" x14ac:dyDescent="0.2">
      <c r="E271" s="14">
        <v>6</v>
      </c>
      <c r="F271" s="24"/>
      <c r="G271" s="25">
        <v>45638</v>
      </c>
      <c r="H271" s="17">
        <v>2000</v>
      </c>
      <c r="I271" s="18">
        <v>124.8</v>
      </c>
      <c r="J271" s="19">
        <f t="shared" si="21"/>
        <v>2124.8000000000002</v>
      </c>
      <c r="K271" s="14" t="s">
        <v>31</v>
      </c>
      <c r="L271" s="100"/>
      <c r="M271" s="31" t="s">
        <v>106</v>
      </c>
    </row>
    <row r="272" spans="5:13" x14ac:dyDescent="0.2">
      <c r="E272" s="14">
        <v>6</v>
      </c>
      <c r="F272" s="24"/>
      <c r="G272" s="25">
        <v>45639</v>
      </c>
      <c r="H272" s="17">
        <v>2000</v>
      </c>
      <c r="I272" s="18">
        <v>124.8</v>
      </c>
      <c r="J272" s="19">
        <f t="shared" si="21"/>
        <v>2124.8000000000002</v>
      </c>
      <c r="K272" s="14" t="s">
        <v>31</v>
      </c>
      <c r="L272" s="100"/>
      <c r="M272" s="31" t="s">
        <v>106</v>
      </c>
    </row>
    <row r="273" spans="5:13" x14ac:dyDescent="0.2">
      <c r="E273" s="14">
        <v>6</v>
      </c>
      <c r="F273" s="24"/>
      <c r="G273" s="25">
        <v>45639</v>
      </c>
      <c r="H273" s="17">
        <v>1000</v>
      </c>
      <c r="I273" s="18">
        <v>67.2</v>
      </c>
      <c r="J273" s="19">
        <f t="shared" si="21"/>
        <v>1067.2</v>
      </c>
      <c r="K273" s="14" t="s">
        <v>31</v>
      </c>
      <c r="L273" s="100"/>
      <c r="M273" s="31" t="s">
        <v>106</v>
      </c>
    </row>
    <row r="274" spans="5:13" x14ac:dyDescent="0.2">
      <c r="E274" s="14">
        <v>5</v>
      </c>
      <c r="F274" s="24"/>
      <c r="G274" s="25">
        <v>45642</v>
      </c>
      <c r="H274" s="17">
        <v>1000</v>
      </c>
      <c r="I274" s="18">
        <v>58</v>
      </c>
      <c r="J274" s="19">
        <f t="shared" si="21"/>
        <v>1058</v>
      </c>
      <c r="K274" s="14" t="s">
        <v>31</v>
      </c>
      <c r="L274" s="100"/>
      <c r="M274" s="31" t="s">
        <v>106</v>
      </c>
    </row>
    <row r="275" spans="5:13" x14ac:dyDescent="0.2">
      <c r="E275" s="14">
        <v>5</v>
      </c>
      <c r="F275" s="24"/>
      <c r="G275" s="25">
        <v>45642</v>
      </c>
      <c r="H275" s="17">
        <v>1000</v>
      </c>
      <c r="I275" s="18">
        <v>58</v>
      </c>
      <c r="J275" s="19">
        <f t="shared" si="21"/>
        <v>1058</v>
      </c>
      <c r="K275" s="14" t="s">
        <v>31</v>
      </c>
      <c r="L275" s="100"/>
      <c r="M275" s="31" t="s">
        <v>106</v>
      </c>
    </row>
    <row r="276" spans="5:13" x14ac:dyDescent="0.2">
      <c r="E276" s="14">
        <v>7</v>
      </c>
      <c r="F276" s="24"/>
      <c r="G276" s="25">
        <v>45659</v>
      </c>
      <c r="H276" s="17">
        <v>2000</v>
      </c>
      <c r="I276" s="18">
        <v>128.80000000000001</v>
      </c>
      <c r="J276" s="19">
        <f t="shared" si="21"/>
        <v>2128.8000000000002</v>
      </c>
      <c r="K276" s="14" t="s">
        <v>31</v>
      </c>
      <c r="L276" s="100"/>
      <c r="M276" s="31" t="s">
        <v>106</v>
      </c>
    </row>
    <row r="277" spans="5:13" x14ac:dyDescent="0.2">
      <c r="E277" s="14">
        <v>6</v>
      </c>
      <c r="F277" s="24"/>
      <c r="G277" s="25">
        <v>45664</v>
      </c>
      <c r="H277" s="17">
        <v>1950</v>
      </c>
      <c r="I277" s="18">
        <v>107.64</v>
      </c>
      <c r="J277" s="19">
        <f t="shared" si="21"/>
        <v>2057.64</v>
      </c>
      <c r="K277" s="14" t="s">
        <v>31</v>
      </c>
      <c r="L277" s="100"/>
      <c r="M277" s="31" t="s">
        <v>106</v>
      </c>
    </row>
    <row r="278" spans="5:13" x14ac:dyDescent="0.2">
      <c r="E278" s="14">
        <v>6</v>
      </c>
      <c r="F278" s="24"/>
      <c r="G278" s="25">
        <v>45664</v>
      </c>
      <c r="H278" s="17">
        <v>1000</v>
      </c>
      <c r="I278" s="18">
        <v>81.599999999999994</v>
      </c>
      <c r="J278" s="19">
        <f t="shared" si="21"/>
        <v>1081.5999999999999</v>
      </c>
      <c r="K278" s="14" t="s">
        <v>31</v>
      </c>
      <c r="L278" s="100"/>
      <c r="M278" s="31" t="s">
        <v>106</v>
      </c>
    </row>
    <row r="279" spans="5:13" x14ac:dyDescent="0.2">
      <c r="E279" s="14">
        <v>6</v>
      </c>
      <c r="F279" s="24"/>
      <c r="G279" s="25">
        <v>45665</v>
      </c>
      <c r="H279" s="17">
        <v>2000</v>
      </c>
      <c r="I279" s="18">
        <v>124.8</v>
      </c>
      <c r="J279" s="19">
        <f t="shared" si="21"/>
        <v>2124.8000000000002</v>
      </c>
      <c r="K279" s="14" t="s">
        <v>31</v>
      </c>
      <c r="L279" s="100"/>
      <c r="M279" s="31" t="s">
        <v>106</v>
      </c>
    </row>
    <row r="280" spans="5:13" x14ac:dyDescent="0.2">
      <c r="E280" s="14">
        <v>6</v>
      </c>
      <c r="F280" s="24"/>
      <c r="G280" s="25">
        <v>45666</v>
      </c>
      <c r="H280" s="17">
        <v>1000</v>
      </c>
      <c r="I280" s="18">
        <v>81.599999999999994</v>
      </c>
      <c r="J280" s="19">
        <f t="shared" si="21"/>
        <v>1081.5999999999999</v>
      </c>
      <c r="K280" s="14" t="s">
        <v>31</v>
      </c>
      <c r="L280" s="100"/>
      <c r="M280" s="31" t="s">
        <v>106</v>
      </c>
    </row>
    <row r="281" spans="5:13" x14ac:dyDescent="0.2">
      <c r="E281" s="14">
        <v>6</v>
      </c>
      <c r="F281" s="24"/>
      <c r="G281" s="25">
        <v>45674</v>
      </c>
      <c r="H281" s="17">
        <v>1000</v>
      </c>
      <c r="I281" s="18">
        <v>69.599999999999994</v>
      </c>
      <c r="J281" s="19">
        <f t="shared" si="21"/>
        <v>1069.5999999999999</v>
      </c>
      <c r="K281" s="14" t="s">
        <v>31</v>
      </c>
      <c r="L281" s="100"/>
      <c r="M281" s="31" t="s">
        <v>106</v>
      </c>
    </row>
    <row r="282" spans="5:13" x14ac:dyDescent="0.2">
      <c r="E282" s="14">
        <v>6</v>
      </c>
      <c r="F282" s="24"/>
      <c r="G282" s="25">
        <v>45674</v>
      </c>
      <c r="H282" s="17">
        <v>1000</v>
      </c>
      <c r="I282" s="18">
        <v>69.599999999999994</v>
      </c>
      <c r="J282" s="19">
        <f t="shared" si="21"/>
        <v>1069.5999999999999</v>
      </c>
      <c r="K282" s="14" t="s">
        <v>31</v>
      </c>
      <c r="L282" s="100"/>
      <c r="M282" s="31" t="s">
        <v>106</v>
      </c>
    </row>
    <row r="283" spans="5:13" x14ac:dyDescent="0.2">
      <c r="E283" s="14">
        <v>6</v>
      </c>
      <c r="F283" s="24"/>
      <c r="G283" s="25">
        <v>45678</v>
      </c>
      <c r="H283" s="17">
        <v>1000</v>
      </c>
      <c r="I283" s="18">
        <v>62.4</v>
      </c>
      <c r="J283" s="19">
        <f t="shared" si="21"/>
        <v>1062.4000000000001</v>
      </c>
      <c r="K283" s="14" t="s">
        <v>31</v>
      </c>
      <c r="L283" s="100"/>
      <c r="M283" s="31" t="s">
        <v>106</v>
      </c>
    </row>
    <row r="284" spans="5:13" x14ac:dyDescent="0.2">
      <c r="E284" s="14">
        <v>6</v>
      </c>
      <c r="F284" s="24"/>
      <c r="G284" s="25">
        <v>45678</v>
      </c>
      <c r="H284" s="17">
        <v>1000</v>
      </c>
      <c r="I284" s="18">
        <v>62.4</v>
      </c>
      <c r="J284" s="19">
        <f t="shared" si="21"/>
        <v>1062.4000000000001</v>
      </c>
      <c r="K284" s="14" t="s">
        <v>31</v>
      </c>
      <c r="L284" s="100"/>
      <c r="M284" s="31" t="s">
        <v>106</v>
      </c>
    </row>
    <row r="285" spans="5:13" x14ac:dyDescent="0.2">
      <c r="E285" s="14">
        <v>6</v>
      </c>
      <c r="F285" s="24"/>
      <c r="G285" s="25">
        <v>45678</v>
      </c>
      <c r="H285" s="17">
        <v>1000</v>
      </c>
      <c r="I285" s="18">
        <v>62.4</v>
      </c>
      <c r="J285" s="19">
        <f t="shared" si="21"/>
        <v>1062.4000000000001</v>
      </c>
      <c r="K285" s="14" t="s">
        <v>31</v>
      </c>
      <c r="L285" s="100"/>
      <c r="M285" s="31" t="s">
        <v>106</v>
      </c>
    </row>
    <row r="286" spans="5:13" x14ac:dyDescent="0.2">
      <c r="E286" s="82">
        <v>6</v>
      </c>
      <c r="F286" s="83"/>
      <c r="G286" s="25">
        <v>45680</v>
      </c>
      <c r="H286" s="84">
        <v>1000</v>
      </c>
      <c r="I286" s="85">
        <v>62.4</v>
      </c>
      <c r="J286" s="19">
        <f t="shared" si="21"/>
        <v>1062.4000000000001</v>
      </c>
      <c r="K286" s="14" t="s">
        <v>31</v>
      </c>
      <c r="L286" s="100"/>
      <c r="M286" s="31" t="s">
        <v>106</v>
      </c>
    </row>
    <row r="287" spans="5:13" x14ac:dyDescent="0.2">
      <c r="E287" s="82">
        <v>6</v>
      </c>
      <c r="F287" s="83"/>
      <c r="G287" s="25">
        <v>45681</v>
      </c>
      <c r="H287" s="84">
        <v>1000</v>
      </c>
      <c r="I287" s="85">
        <v>62.4</v>
      </c>
      <c r="J287" s="19">
        <f t="shared" si="21"/>
        <v>1062.4000000000001</v>
      </c>
      <c r="K287" s="14" t="s">
        <v>31</v>
      </c>
      <c r="L287" s="100"/>
      <c r="M287" s="31" t="s">
        <v>106</v>
      </c>
    </row>
    <row r="288" spans="5:13" x14ac:dyDescent="0.2">
      <c r="E288" s="14">
        <v>6</v>
      </c>
      <c r="F288" s="24"/>
      <c r="G288" s="25">
        <v>45682</v>
      </c>
      <c r="H288" s="17">
        <v>1000</v>
      </c>
      <c r="I288" s="18">
        <v>74.400000000000006</v>
      </c>
      <c r="J288" s="19">
        <f t="shared" si="21"/>
        <v>1074.4000000000001</v>
      </c>
      <c r="K288" s="14" t="s">
        <v>31</v>
      </c>
      <c r="L288" s="100"/>
      <c r="M288" s="31" t="s">
        <v>106</v>
      </c>
    </row>
    <row r="289" spans="5:13" x14ac:dyDescent="0.2">
      <c r="E289" s="14">
        <v>6</v>
      </c>
      <c r="F289" s="24"/>
      <c r="G289" s="25">
        <v>45682</v>
      </c>
      <c r="H289" s="17">
        <v>1000</v>
      </c>
      <c r="I289" s="18">
        <v>74.400000000000006</v>
      </c>
      <c r="J289" s="19">
        <f t="shared" si="21"/>
        <v>1074.4000000000001</v>
      </c>
      <c r="K289" s="14" t="s">
        <v>31</v>
      </c>
      <c r="L289" s="100"/>
      <c r="M289" s="31" t="s">
        <v>106</v>
      </c>
    </row>
    <row r="290" spans="5:13" x14ac:dyDescent="0.2">
      <c r="E290" s="82">
        <v>6</v>
      </c>
      <c r="F290" s="83"/>
      <c r="G290" s="25">
        <v>45682</v>
      </c>
      <c r="H290" s="84">
        <v>1000</v>
      </c>
      <c r="I290" s="85">
        <v>62.4</v>
      </c>
      <c r="J290" s="19">
        <f t="shared" si="21"/>
        <v>1062.4000000000001</v>
      </c>
      <c r="K290" s="14" t="s">
        <v>31</v>
      </c>
      <c r="L290" s="100"/>
      <c r="M290" s="31" t="s">
        <v>106</v>
      </c>
    </row>
    <row r="291" spans="5:13" x14ac:dyDescent="0.2">
      <c r="E291" s="14">
        <v>6</v>
      </c>
      <c r="F291" s="24"/>
      <c r="G291" s="25">
        <v>45685</v>
      </c>
      <c r="H291" s="17">
        <v>1000</v>
      </c>
      <c r="I291" s="18">
        <v>74.400000000000006</v>
      </c>
      <c r="J291" s="19">
        <f t="shared" si="21"/>
        <v>1074.4000000000001</v>
      </c>
      <c r="K291" s="14" t="s">
        <v>31</v>
      </c>
      <c r="L291" s="100"/>
      <c r="M291" s="31" t="s">
        <v>106</v>
      </c>
    </row>
    <row r="292" spans="5:13" x14ac:dyDescent="0.2">
      <c r="E292" s="14">
        <v>6</v>
      </c>
      <c r="F292" s="24"/>
      <c r="G292" s="25">
        <v>45686</v>
      </c>
      <c r="H292" s="17">
        <v>1000</v>
      </c>
      <c r="I292" s="18">
        <v>69.599999999999994</v>
      </c>
      <c r="J292" s="19">
        <f t="shared" si="21"/>
        <v>1069.5999999999999</v>
      </c>
      <c r="K292" s="14" t="s">
        <v>31</v>
      </c>
      <c r="L292" s="100"/>
      <c r="M292" s="31" t="s">
        <v>106</v>
      </c>
    </row>
    <row r="293" spans="5:13" x14ac:dyDescent="0.2">
      <c r="E293" s="14">
        <v>9</v>
      </c>
      <c r="F293" s="24"/>
      <c r="G293" s="25" t="s">
        <v>107</v>
      </c>
      <c r="H293" s="17">
        <v>2000</v>
      </c>
      <c r="I293" s="18">
        <v>208.8</v>
      </c>
      <c r="J293" s="19">
        <f t="shared" si="21"/>
        <v>2208.8000000000002</v>
      </c>
      <c r="K293" s="14" t="s">
        <v>31</v>
      </c>
      <c r="L293" s="100"/>
      <c r="M293" s="31" t="s">
        <v>106</v>
      </c>
    </row>
    <row r="294" spans="5:13" x14ac:dyDescent="0.2">
      <c r="E294" s="14">
        <v>6</v>
      </c>
      <c r="F294" s="24">
        <v>45681</v>
      </c>
      <c r="G294" s="25"/>
      <c r="H294" s="17">
        <v>1000</v>
      </c>
      <c r="I294" s="18">
        <v>67.2</v>
      </c>
      <c r="J294" s="19">
        <f t="shared" si="21"/>
        <v>1067.2</v>
      </c>
      <c r="K294" s="14" t="str">
        <f t="shared" ref="K294:K302" ca="1" si="22">IF(F294&lt;=TODAY(),"Check!","Waiting")</f>
        <v>Check!</v>
      </c>
      <c r="L294" s="100" t="s">
        <v>34</v>
      </c>
      <c r="M294" s="31" t="s">
        <v>106</v>
      </c>
    </row>
    <row r="295" spans="5:13" x14ac:dyDescent="0.2">
      <c r="E295" s="14">
        <v>8</v>
      </c>
      <c r="F295" s="24">
        <v>45724</v>
      </c>
      <c r="G295" s="25"/>
      <c r="H295" s="17">
        <v>1000</v>
      </c>
      <c r="I295" s="18">
        <v>108.8</v>
      </c>
      <c r="J295" s="19">
        <f t="shared" si="21"/>
        <v>1108.8</v>
      </c>
      <c r="K295" s="14" t="s">
        <v>31</v>
      </c>
      <c r="L295" s="100" t="s">
        <v>34</v>
      </c>
      <c r="M295" s="31" t="s">
        <v>106</v>
      </c>
    </row>
    <row r="296" spans="5:13" x14ac:dyDescent="0.2">
      <c r="E296" s="14">
        <v>12</v>
      </c>
      <c r="F296" s="24"/>
      <c r="G296" s="25">
        <v>45840</v>
      </c>
      <c r="H296" s="17">
        <v>2000</v>
      </c>
      <c r="I296" s="18">
        <v>259.2</v>
      </c>
      <c r="J296" s="19">
        <f t="shared" ref="J296:J301" si="23">SUM(H296:I296)</f>
        <v>2259.1999999999998</v>
      </c>
      <c r="K296" s="14" t="s">
        <v>31</v>
      </c>
      <c r="L296" s="100" t="s">
        <v>59</v>
      </c>
      <c r="M296" s="31" t="s">
        <v>106</v>
      </c>
    </row>
    <row r="297" spans="5:13" x14ac:dyDescent="0.2">
      <c r="E297" s="14">
        <v>12</v>
      </c>
      <c r="F297" s="24"/>
      <c r="G297" s="25">
        <v>45846</v>
      </c>
      <c r="H297" s="17">
        <v>2000</v>
      </c>
      <c r="I297" s="18">
        <v>259.2</v>
      </c>
      <c r="J297" s="19">
        <f t="shared" si="23"/>
        <v>2259.1999999999998</v>
      </c>
      <c r="K297" s="14" t="s">
        <v>31</v>
      </c>
      <c r="L297" s="100" t="s">
        <v>59</v>
      </c>
      <c r="M297" s="31" t="s">
        <v>106</v>
      </c>
    </row>
    <row r="298" spans="5:13" x14ac:dyDescent="0.2">
      <c r="E298" s="14">
        <v>12</v>
      </c>
      <c r="F298" s="24"/>
      <c r="G298" s="25">
        <v>45846</v>
      </c>
      <c r="H298" s="17">
        <v>2000</v>
      </c>
      <c r="I298" s="18">
        <v>259.2</v>
      </c>
      <c r="J298" s="19">
        <f t="shared" si="23"/>
        <v>2259.1999999999998</v>
      </c>
      <c r="K298" s="14" t="s">
        <v>31</v>
      </c>
      <c r="L298" s="100" t="s">
        <v>59</v>
      </c>
      <c r="M298" s="31" t="s">
        <v>106</v>
      </c>
    </row>
    <row r="299" spans="5:13" x14ac:dyDescent="0.2">
      <c r="E299" s="14">
        <v>12</v>
      </c>
      <c r="F299" s="24"/>
      <c r="G299" s="25">
        <v>45846</v>
      </c>
      <c r="H299" s="17">
        <v>2000</v>
      </c>
      <c r="I299" s="18">
        <v>259.2</v>
      </c>
      <c r="J299" s="19">
        <f t="shared" si="23"/>
        <v>2259.1999999999998</v>
      </c>
      <c r="K299" s="14" t="s">
        <v>31</v>
      </c>
      <c r="L299" s="100" t="s">
        <v>59</v>
      </c>
      <c r="M299" s="31" t="s">
        <v>106</v>
      </c>
    </row>
    <row r="300" spans="5:13" x14ac:dyDescent="0.2">
      <c r="E300" s="14">
        <v>12</v>
      </c>
      <c r="F300" s="24"/>
      <c r="G300" s="25">
        <v>45846</v>
      </c>
      <c r="H300" s="17">
        <v>2000</v>
      </c>
      <c r="I300" s="18">
        <v>259.2</v>
      </c>
      <c r="J300" s="19">
        <f t="shared" si="23"/>
        <v>2259.1999999999998</v>
      </c>
      <c r="K300" s="14" t="s">
        <v>31</v>
      </c>
      <c r="L300" s="100" t="s">
        <v>59</v>
      </c>
      <c r="M300" s="31" t="s">
        <v>106</v>
      </c>
    </row>
    <row r="301" spans="5:13" x14ac:dyDescent="0.2">
      <c r="E301" s="14">
        <v>9</v>
      </c>
      <c r="F301" s="24">
        <v>45716</v>
      </c>
      <c r="G301" s="25"/>
      <c r="H301" s="17">
        <v>5000</v>
      </c>
      <c r="I301" s="18">
        <v>585</v>
      </c>
      <c r="J301" s="19">
        <f t="shared" si="23"/>
        <v>5585</v>
      </c>
      <c r="K301" s="14" t="str">
        <f ca="1">IF(F301&lt;=TODAY(),"Check!","Waiting")</f>
        <v>Check!</v>
      </c>
      <c r="L301" s="100" t="s">
        <v>34</v>
      </c>
      <c r="M301" s="31" t="s">
        <v>108</v>
      </c>
    </row>
    <row r="302" spans="5:13" x14ac:dyDescent="0.2">
      <c r="E302" s="14">
        <v>30</v>
      </c>
      <c r="F302" s="24">
        <v>46374</v>
      </c>
      <c r="G302" s="25"/>
      <c r="H302" s="17">
        <v>5000</v>
      </c>
      <c r="I302" s="18">
        <v>2297.5</v>
      </c>
      <c r="J302" s="19">
        <f t="shared" si="21"/>
        <v>7297.5</v>
      </c>
      <c r="K302" s="14" t="str">
        <f t="shared" ca="1" si="22"/>
        <v>Waiting</v>
      </c>
      <c r="L302" s="100"/>
      <c r="M302" s="31" t="s">
        <v>108</v>
      </c>
    </row>
    <row r="303" spans="5:13" x14ac:dyDescent="0.2">
      <c r="E303" s="14">
        <v>9</v>
      </c>
      <c r="F303" s="24"/>
      <c r="G303" s="25">
        <v>45763</v>
      </c>
      <c r="H303" s="17">
        <v>5000</v>
      </c>
      <c r="I303" s="18">
        <v>622.5</v>
      </c>
      <c r="J303" s="19">
        <f t="shared" si="21"/>
        <v>5622.5</v>
      </c>
      <c r="K303" s="14" t="s">
        <v>31</v>
      </c>
      <c r="L303" s="100"/>
      <c r="M303" s="31" t="s">
        <v>108</v>
      </c>
    </row>
    <row r="304" spans="5:13" x14ac:dyDescent="0.2">
      <c r="E304" s="14">
        <v>6</v>
      </c>
      <c r="F304" s="24"/>
      <c r="G304" s="25">
        <v>45678</v>
      </c>
      <c r="H304" s="17">
        <v>5000</v>
      </c>
      <c r="I304" s="18">
        <v>401.5</v>
      </c>
      <c r="J304" s="19">
        <f t="shared" si="21"/>
        <v>5401.5</v>
      </c>
      <c r="K304" s="14" t="s">
        <v>31</v>
      </c>
      <c r="L304" s="100"/>
      <c r="M304" s="31" t="s">
        <v>108</v>
      </c>
    </row>
    <row r="305" spans="5:14" x14ac:dyDescent="0.2">
      <c r="E305" s="14">
        <v>15</v>
      </c>
      <c r="F305" s="24">
        <v>46093</v>
      </c>
      <c r="G305" s="25"/>
      <c r="H305" s="17">
        <v>5000</v>
      </c>
      <c r="I305" s="18">
        <v>937.5</v>
      </c>
      <c r="J305" s="19">
        <f t="shared" si="21"/>
        <v>5937.5</v>
      </c>
      <c r="K305" s="14" t="str">
        <f ca="1">IF(F305&lt;=TODAY(),"Check!","Waiting")</f>
        <v>Waiting</v>
      </c>
      <c r="L305" s="100"/>
      <c r="M305" s="31" t="s">
        <v>108</v>
      </c>
    </row>
    <row r="306" spans="5:14" x14ac:dyDescent="0.2">
      <c r="E306" s="14">
        <v>18</v>
      </c>
      <c r="F306" s="24">
        <v>46198</v>
      </c>
      <c r="G306" s="25"/>
      <c r="H306" s="17">
        <v>5000</v>
      </c>
      <c r="I306" s="18">
        <v>1183.5</v>
      </c>
      <c r="J306" s="19">
        <f t="shared" si="21"/>
        <v>6183.5</v>
      </c>
      <c r="K306" s="14" t="str">
        <f ca="1">IF(F306&lt;=TODAY(),"Check!","Waiting")</f>
        <v>Waiting</v>
      </c>
      <c r="L306" s="100"/>
      <c r="M306" s="31" t="s">
        <v>108</v>
      </c>
    </row>
    <row r="307" spans="5:14" x14ac:dyDescent="0.2">
      <c r="E307" s="14">
        <v>17</v>
      </c>
      <c r="F307" s="113">
        <v>46312</v>
      </c>
      <c r="G307" s="25"/>
      <c r="H307" s="17">
        <v>20000</v>
      </c>
      <c r="I307" s="18">
        <v>4086</v>
      </c>
      <c r="J307" s="19">
        <f t="shared" si="21"/>
        <v>24086</v>
      </c>
      <c r="K307" s="14" t="str">
        <f ca="1">IF(F307&lt;=TODAY(),"Check!","Waiting")</f>
        <v>Waiting</v>
      </c>
      <c r="L307" s="114"/>
      <c r="M307" s="31"/>
    </row>
    <row r="308" spans="5:14" x14ac:dyDescent="0.2">
      <c r="E308" s="14">
        <v>30</v>
      </c>
      <c r="F308" s="24">
        <v>46709</v>
      </c>
      <c r="G308" s="25"/>
      <c r="H308" s="17">
        <v>10000</v>
      </c>
      <c r="I308" s="18">
        <v>3249.89</v>
      </c>
      <c r="J308" s="19">
        <f t="shared" si="21"/>
        <v>13249.89</v>
      </c>
      <c r="K308" s="14" t="str">
        <f ca="1">IF(F308&lt;=TODAY(),"Check!","Waiting")</f>
        <v>Waiting</v>
      </c>
      <c r="L308" s="114"/>
      <c r="M308" s="31"/>
    </row>
    <row r="309" spans="5:14" x14ac:dyDescent="0.2">
      <c r="E309" s="56">
        <v>18</v>
      </c>
      <c r="F309" s="63"/>
      <c r="G309" s="25">
        <v>45796</v>
      </c>
      <c r="H309" s="58">
        <v>5000</v>
      </c>
      <c r="I309" s="59">
        <v>1007.84</v>
      </c>
      <c r="J309" s="60">
        <f t="shared" si="21"/>
        <v>6007.84</v>
      </c>
      <c r="K309" s="56" t="s">
        <v>31</v>
      </c>
      <c r="L309" s="161" t="s">
        <v>43</v>
      </c>
      <c r="M309" s="31"/>
    </row>
    <row r="310" spans="5:14" x14ac:dyDescent="0.2">
      <c r="E310" s="14">
        <v>7</v>
      </c>
      <c r="F310" s="24">
        <v>46061</v>
      </c>
      <c r="G310" s="25"/>
      <c r="H310" s="17">
        <v>10000</v>
      </c>
      <c r="I310" s="18">
        <v>560.55999999999995</v>
      </c>
      <c r="J310" s="19">
        <f t="shared" si="21"/>
        <v>10560.56</v>
      </c>
      <c r="K310" s="14" t="str">
        <f t="shared" ref="K310" ca="1" si="24">IF(F310&lt;=TODAY(),"Check!","Waiting")</f>
        <v>Waiting</v>
      </c>
      <c r="L310" s="19"/>
      <c r="M310" s="31" t="s">
        <v>60</v>
      </c>
    </row>
    <row r="311" spans="5:14" x14ac:dyDescent="0.2">
      <c r="E311" s="14">
        <v>6</v>
      </c>
      <c r="F311" s="24">
        <v>46072</v>
      </c>
      <c r="G311" s="25"/>
      <c r="H311" s="17">
        <v>10000</v>
      </c>
      <c r="I311" s="18">
        <v>511.28</v>
      </c>
      <c r="J311" s="19">
        <f t="shared" ref="J311:J322" si="25">SUM(H311:I311)</f>
        <v>10511.28</v>
      </c>
      <c r="K311" s="14" t="str">
        <f t="shared" ref="K311:K322" ca="1" si="26">IF(F311&lt;=TODAY(),"Check!","Waiting")</f>
        <v>Waiting</v>
      </c>
      <c r="L311" s="19"/>
      <c r="M311" s="31" t="s">
        <v>60</v>
      </c>
    </row>
    <row r="312" spans="5:14" x14ac:dyDescent="0.2">
      <c r="E312" s="14">
        <v>24</v>
      </c>
      <c r="F312" s="24">
        <v>46617</v>
      </c>
      <c r="G312" s="25"/>
      <c r="H312" s="17">
        <v>20000</v>
      </c>
      <c r="I312" s="18">
        <v>4543</v>
      </c>
      <c r="J312" s="19">
        <f t="shared" si="25"/>
        <v>24543</v>
      </c>
      <c r="K312" s="14" t="str">
        <f t="shared" ca="1" si="26"/>
        <v>Waiting</v>
      </c>
      <c r="L312" s="19"/>
      <c r="M312" s="31" t="s">
        <v>60</v>
      </c>
    </row>
    <row r="313" spans="5:14" x14ac:dyDescent="0.2">
      <c r="E313" s="14">
        <v>24</v>
      </c>
      <c r="F313" s="24">
        <v>46617</v>
      </c>
      <c r="G313" s="25"/>
      <c r="H313" s="17">
        <v>10000</v>
      </c>
      <c r="I313" s="18">
        <v>1925</v>
      </c>
      <c r="J313" s="19">
        <f t="shared" si="25"/>
        <v>11925</v>
      </c>
      <c r="K313" s="14" t="str">
        <f t="shared" ca="1" si="26"/>
        <v>Waiting</v>
      </c>
      <c r="L313" s="19"/>
      <c r="M313" s="31" t="s">
        <v>60</v>
      </c>
    </row>
    <row r="314" spans="5:14" x14ac:dyDescent="0.2">
      <c r="E314" s="14">
        <v>6</v>
      </c>
      <c r="F314" s="24">
        <v>46072</v>
      </c>
      <c r="G314" s="25"/>
      <c r="H314" s="17">
        <v>10000</v>
      </c>
      <c r="I314" s="18">
        <v>572.11</v>
      </c>
      <c r="J314" s="19">
        <f t="shared" si="25"/>
        <v>10572.11</v>
      </c>
      <c r="K314" s="14" t="str">
        <f t="shared" ca="1" si="26"/>
        <v>Waiting</v>
      </c>
      <c r="L314" s="19"/>
      <c r="M314" s="20" t="s">
        <v>60</v>
      </c>
    </row>
    <row r="315" spans="5:14" x14ac:dyDescent="0.2">
      <c r="E315" s="14">
        <v>4</v>
      </c>
      <c r="F315" s="24"/>
      <c r="G315" s="25">
        <v>45960</v>
      </c>
      <c r="H315" s="17">
        <v>10000</v>
      </c>
      <c r="I315" s="18">
        <v>187.3</v>
      </c>
      <c r="J315" s="19">
        <f t="shared" si="25"/>
        <v>10187.299999999999</v>
      </c>
      <c r="K315" s="14" t="s">
        <v>31</v>
      </c>
      <c r="L315" s="162" t="s">
        <v>109</v>
      </c>
      <c r="M315" s="20" t="s">
        <v>60</v>
      </c>
    </row>
    <row r="316" spans="5:14" x14ac:dyDescent="0.2">
      <c r="E316" s="14">
        <v>19</v>
      </c>
      <c r="F316" s="24">
        <v>46474</v>
      </c>
      <c r="G316" s="25"/>
      <c r="H316" s="17">
        <v>10000</v>
      </c>
      <c r="I316" s="18">
        <v>2076.13</v>
      </c>
      <c r="J316" s="19">
        <f t="shared" si="25"/>
        <v>12076.130000000001</v>
      </c>
      <c r="K316" s="14" t="str">
        <f t="shared" ca="1" si="26"/>
        <v>Waiting</v>
      </c>
      <c r="L316" s="100"/>
      <c r="M316" s="20" t="s">
        <v>40</v>
      </c>
    </row>
    <row r="317" spans="5:14" x14ac:dyDescent="0.2">
      <c r="E317" s="14">
        <v>3</v>
      </c>
      <c r="F317" s="24">
        <v>45986</v>
      </c>
      <c r="G317" s="25"/>
      <c r="H317" s="17">
        <v>10000</v>
      </c>
      <c r="I317" s="18">
        <v>280.27999999999997</v>
      </c>
      <c r="J317" s="19">
        <f t="shared" si="25"/>
        <v>10280.280000000001</v>
      </c>
      <c r="K317" s="14" t="str">
        <f t="shared" ca="1" si="26"/>
        <v>Waiting</v>
      </c>
      <c r="L317" s="114"/>
      <c r="M317" s="20" t="s">
        <v>60</v>
      </c>
    </row>
    <row r="318" spans="5:14" x14ac:dyDescent="0.2">
      <c r="E318" s="14">
        <v>5</v>
      </c>
      <c r="F318" s="24">
        <v>46047</v>
      </c>
      <c r="G318" s="25"/>
      <c r="H318" s="17">
        <v>10000</v>
      </c>
      <c r="I318" s="18">
        <v>463.54</v>
      </c>
      <c r="J318" s="19">
        <f t="shared" si="25"/>
        <v>10463.540000000001</v>
      </c>
      <c r="K318" s="14" t="str">
        <f t="shared" ca="1" si="26"/>
        <v>Waiting</v>
      </c>
      <c r="L318" s="114"/>
      <c r="M318" s="20" t="s">
        <v>60</v>
      </c>
    </row>
    <row r="319" spans="5:14" x14ac:dyDescent="0.2">
      <c r="E319" s="14">
        <v>21</v>
      </c>
      <c r="F319" s="24">
        <v>46541</v>
      </c>
      <c r="G319" s="25"/>
      <c r="H319" s="17">
        <v>10000</v>
      </c>
      <c r="I319" s="18">
        <v>287</v>
      </c>
      <c r="J319" s="19">
        <f t="shared" si="25"/>
        <v>10287</v>
      </c>
      <c r="K319" s="14" t="str">
        <f t="shared" ca="1" si="26"/>
        <v>Waiting</v>
      </c>
      <c r="L319" s="100"/>
      <c r="M319" s="20" t="s">
        <v>108</v>
      </c>
    </row>
    <row r="320" spans="5:14" x14ac:dyDescent="0.2">
      <c r="E320" s="56">
        <v>30</v>
      </c>
      <c r="F320" s="63">
        <v>46712</v>
      </c>
      <c r="G320" s="25"/>
      <c r="H320" s="58">
        <v>10000</v>
      </c>
      <c r="I320" s="59">
        <v>3249.88</v>
      </c>
      <c r="J320" s="60">
        <f t="shared" si="25"/>
        <v>13249.880000000001</v>
      </c>
      <c r="K320" s="56" t="str">
        <f t="shared" ca="1" si="26"/>
        <v>Waiting</v>
      </c>
      <c r="L320" s="100"/>
      <c r="M320" s="61" t="s">
        <v>42</v>
      </c>
      <c r="N320" s="81"/>
    </row>
    <row r="321" spans="5:14" x14ac:dyDescent="0.2">
      <c r="E321" s="56">
        <v>28</v>
      </c>
      <c r="F321" s="63">
        <v>46813</v>
      </c>
      <c r="G321" s="25"/>
      <c r="H321" s="58">
        <v>5000</v>
      </c>
      <c r="I321" s="59">
        <v>1690.58</v>
      </c>
      <c r="J321" s="60">
        <f t="shared" si="25"/>
        <v>6690.58</v>
      </c>
      <c r="K321" s="56" t="str">
        <f t="shared" ca="1" si="26"/>
        <v>Waiting</v>
      </c>
      <c r="L321" s="100"/>
      <c r="M321" s="61" t="s">
        <v>42</v>
      </c>
      <c r="N321" s="81"/>
    </row>
    <row r="322" spans="5:14" x14ac:dyDescent="0.2">
      <c r="E322" s="14">
        <v>24</v>
      </c>
      <c r="F322" s="24">
        <v>46700</v>
      </c>
      <c r="G322" s="25"/>
      <c r="H322" s="17">
        <v>10000</v>
      </c>
      <c r="I322" s="18">
        <v>2804.06</v>
      </c>
      <c r="J322" s="19">
        <f t="shared" si="25"/>
        <v>12804.06</v>
      </c>
      <c r="K322" s="14" t="str">
        <f t="shared" ca="1" si="26"/>
        <v>Waiting</v>
      </c>
      <c r="L322" s="114"/>
      <c r="M322" s="20" t="s">
        <v>35</v>
      </c>
    </row>
    <row r="323" spans="5:14" x14ac:dyDescent="0.2">
      <c r="E323" s="14">
        <v>26</v>
      </c>
      <c r="F323" s="24">
        <v>46735</v>
      </c>
      <c r="G323" s="25"/>
      <c r="H323" s="17">
        <v>20000</v>
      </c>
      <c r="I323" s="18">
        <v>6217.56</v>
      </c>
      <c r="J323" s="19">
        <f>SUM(H323:I323)</f>
        <v>26217.56</v>
      </c>
      <c r="K323" s="14" t="str">
        <f ca="1">IF(F323&lt;=TODAY(),"Check!","Waiting")</f>
        <v>Waiting</v>
      </c>
      <c r="L323" s="114"/>
      <c r="M323" s="20" t="s">
        <v>40</v>
      </c>
    </row>
    <row r="324" spans="5:14" x14ac:dyDescent="0.2">
      <c r="E324" s="14">
        <v>18</v>
      </c>
      <c r="F324" s="24">
        <v>46513</v>
      </c>
      <c r="G324" s="25"/>
      <c r="H324" s="17">
        <v>10000</v>
      </c>
      <c r="I324" s="18">
        <v>2415</v>
      </c>
      <c r="J324" s="19">
        <f>SUM(H324:I324)</f>
        <v>12415</v>
      </c>
      <c r="K324" s="14" t="str">
        <f ca="1">IF(F324&lt;=TODAY(),"Check!","Waiting")</f>
        <v>Waiting</v>
      </c>
      <c r="L324" s="114"/>
      <c r="M324" s="20" t="s">
        <v>108</v>
      </c>
    </row>
    <row r="325" spans="5:14" x14ac:dyDescent="0.2">
      <c r="E325" s="170">
        <v>15</v>
      </c>
      <c r="F325" s="24">
        <v>46429</v>
      </c>
      <c r="G325" s="25"/>
      <c r="H325" s="17">
        <v>20000</v>
      </c>
      <c r="I325" s="18">
        <v>4220</v>
      </c>
      <c r="J325" s="19">
        <f>SUM(H325:I325)</f>
        <v>24220</v>
      </c>
      <c r="K325" s="170" t="str">
        <f ca="1">IF(F325&lt;=TODAY(),"Check!","Waiting")</f>
        <v>Waiting</v>
      </c>
      <c r="L325" s="114"/>
      <c r="M325" s="31" t="s">
        <v>108</v>
      </c>
    </row>
    <row r="326" spans="5:14" x14ac:dyDescent="0.2">
      <c r="E326" s="180">
        <v>34</v>
      </c>
      <c r="F326" s="181">
        <v>47008</v>
      </c>
      <c r="G326" s="182"/>
      <c r="H326" s="183">
        <v>20000</v>
      </c>
      <c r="I326" s="184">
        <v>7780</v>
      </c>
      <c r="J326" s="185">
        <f t="shared" ref="J326" si="27">SUM(H326:I326)</f>
        <v>27780</v>
      </c>
      <c r="K326" s="180" t="str">
        <f t="shared" ref="K326" ca="1" si="28">IF(F326&lt;=TODAY(),"Check!","Waiting")</f>
        <v>Waiting</v>
      </c>
      <c r="L326" s="186"/>
      <c r="M326" s="187"/>
    </row>
  </sheetData>
  <mergeCells count="40">
    <mergeCell ref="A56:C56"/>
    <mergeCell ref="C2:C3"/>
    <mergeCell ref="A25:C25"/>
    <mergeCell ref="A24:C24"/>
    <mergeCell ref="A26:C26"/>
    <mergeCell ref="A28:C28"/>
    <mergeCell ref="A29:C29"/>
    <mergeCell ref="A30:C30"/>
    <mergeCell ref="A31:C31"/>
    <mergeCell ref="A27:C27"/>
    <mergeCell ref="B2:B3"/>
    <mergeCell ref="A2:A3"/>
    <mergeCell ref="A89:C89"/>
    <mergeCell ref="A80:C80"/>
    <mergeCell ref="A82:C82"/>
    <mergeCell ref="A81:C81"/>
    <mergeCell ref="A83:C83"/>
    <mergeCell ref="A98:C98"/>
    <mergeCell ref="A99:C99"/>
    <mergeCell ref="A100:C100"/>
    <mergeCell ref="A97:C97"/>
    <mergeCell ref="A84:C84"/>
    <mergeCell ref="A95:C95"/>
    <mergeCell ref="A96:C96"/>
    <mergeCell ref="A90:C90"/>
    <mergeCell ref="A91:C91"/>
    <mergeCell ref="A92:C92"/>
    <mergeCell ref="A93:C93"/>
    <mergeCell ref="A94:C94"/>
    <mergeCell ref="A85:C85"/>
    <mergeCell ref="A86:C86"/>
    <mergeCell ref="A87:C87"/>
    <mergeCell ref="A88:C88"/>
    <mergeCell ref="A106:C106"/>
    <mergeCell ref="A107:C107"/>
    <mergeCell ref="A101:C101"/>
    <mergeCell ref="A102:C102"/>
    <mergeCell ref="A103:C103"/>
    <mergeCell ref="A104:C104"/>
    <mergeCell ref="A105:C105"/>
  </mergeCells>
  <phoneticPr fontId="1" type="noConversion"/>
  <conditionalFormatting sqref="L2:L15 L17:L26 L28 L30:L34 L36:L42 L44:L45 L48 L50:L133 L139 L152 L301:L309 L327:L501">
    <cfRule type="cellIs" dxfId="110" priority="320" operator="equal">
      <formula>"DEF"</formula>
    </cfRule>
  </conditionalFormatting>
  <conditionalFormatting sqref="L2:L162">
    <cfRule type="expression" dxfId="109" priority="4">
      <formula>K2="Paid"</formula>
    </cfRule>
    <cfRule type="expression" dxfId="108" priority="5">
      <formula>K2="Check!"</formula>
    </cfRule>
    <cfRule type="expression" dxfId="107" priority="6">
      <formula>K2="Waiting"</formula>
    </cfRule>
  </conditionalFormatting>
  <conditionalFormatting sqref="L2:L326">
    <cfRule type="cellIs" dxfId="106" priority="1" operator="equal">
      <formula>"EARLY"</formula>
    </cfRule>
    <cfRule type="cellIs" dxfId="105" priority="3" operator="equal">
      <formula>"LATE"</formula>
    </cfRule>
  </conditionalFormatting>
  <conditionalFormatting sqref="L16">
    <cfRule type="cellIs" dxfId="104" priority="302" operator="equal">
      <formula>"DEF"</formula>
    </cfRule>
  </conditionalFormatting>
  <conditionalFormatting sqref="L27">
    <cfRule type="cellIs" dxfId="103" priority="86" operator="equal">
      <formula>"DEF"</formula>
    </cfRule>
  </conditionalFormatting>
  <conditionalFormatting sqref="L29">
    <cfRule type="cellIs" dxfId="102" priority="314" operator="equal">
      <formula>"DEF"</formula>
    </cfRule>
  </conditionalFormatting>
  <conditionalFormatting sqref="L35">
    <cfRule type="cellIs" dxfId="101" priority="140" operator="equal">
      <formula>"DEF"</formula>
    </cfRule>
  </conditionalFormatting>
  <conditionalFormatting sqref="L43">
    <cfRule type="cellIs" dxfId="100" priority="20" operator="equal">
      <formula>"DEF"</formula>
    </cfRule>
  </conditionalFormatting>
  <conditionalFormatting sqref="L46:L47">
    <cfRule type="cellIs" dxfId="99" priority="110" operator="equal">
      <formula>"DEF"</formula>
    </cfRule>
  </conditionalFormatting>
  <conditionalFormatting sqref="L49">
    <cfRule type="cellIs" dxfId="98" priority="128" operator="equal">
      <formula>"DEF"</formula>
    </cfRule>
  </conditionalFormatting>
  <conditionalFormatting sqref="L134">
    <cfRule type="cellIs" dxfId="97" priority="312" operator="equal">
      <formula>"DEF"</formula>
    </cfRule>
  </conditionalFormatting>
  <conditionalFormatting sqref="L135">
    <cfRule type="cellIs" dxfId="96" priority="284" operator="equal">
      <formula>"DEF"</formula>
    </cfRule>
  </conditionalFormatting>
  <conditionalFormatting sqref="L136:L138">
    <cfRule type="cellIs" dxfId="95" priority="248" operator="equal">
      <formula>"DEF"</formula>
    </cfRule>
  </conditionalFormatting>
  <conditionalFormatting sqref="L140:L151">
    <cfRule type="cellIs" dxfId="94" priority="78" operator="equal">
      <formula>"DEF"</formula>
    </cfRule>
  </conditionalFormatting>
  <conditionalFormatting sqref="L153:L162">
    <cfRule type="cellIs" dxfId="93" priority="2" operator="equal">
      <formula>"DEF"</formula>
    </cfRule>
  </conditionalFormatting>
  <conditionalFormatting sqref="L163:L295">
    <cfRule type="cellIs" dxfId="92" priority="50" operator="equal">
      <formula>"DEF"</formula>
    </cfRule>
  </conditionalFormatting>
  <conditionalFormatting sqref="L163:L318">
    <cfRule type="expression" dxfId="91" priority="22">
      <formula>K163="Paid"</formula>
    </cfRule>
    <cfRule type="expression" dxfId="90" priority="23">
      <formula>K163="Check!"</formula>
    </cfRule>
    <cfRule type="expression" dxfId="89" priority="24">
      <formula>K163="Waiting"</formula>
    </cfRule>
  </conditionalFormatting>
  <conditionalFormatting sqref="L296:L300">
    <cfRule type="cellIs" dxfId="88" priority="257" operator="equal">
      <formula>"DEF"</formula>
    </cfRule>
  </conditionalFormatting>
  <conditionalFormatting sqref="L310:L326">
    <cfRule type="cellIs" dxfId="87" priority="8" operator="equal">
      <formula>"DEF"</formula>
    </cfRule>
  </conditionalFormatting>
  <conditionalFormatting sqref="L317:L326">
    <cfRule type="expression" dxfId="86" priority="11">
      <formula>K317="Check!"</formula>
    </cfRule>
    <cfRule type="expression" dxfId="85" priority="10">
      <formula>K317="Paid"</formula>
    </cfRule>
    <cfRule type="expression" dxfId="84" priority="12">
      <formula>K317="Waiting"</formula>
    </cfRule>
  </conditionalFormatting>
  <conditionalFormatting sqref="L327:L501">
    <cfRule type="cellIs" dxfId="83" priority="319" operator="equal">
      <formula>"EARLY"</formula>
    </cfRule>
    <cfRule type="cellIs" dxfId="82" priority="321" operator="equal">
      <formula>"LATE"</formula>
    </cfRule>
    <cfRule type="expression" dxfId="81" priority="322">
      <formula>K327="Paid"</formula>
    </cfRule>
    <cfRule type="expression" dxfId="80" priority="323">
      <formula>K327="Check!"</formula>
    </cfRule>
    <cfRule type="expression" dxfId="79" priority="324">
      <formula>K327="Waiting"</formula>
    </cfRule>
  </conditionalFormatting>
  <conditionalFormatting sqref="O1:O1048576">
    <cfRule type="colorScale" priority="331">
      <colorScale>
        <cfvo type="num" val="0"/>
        <cfvo type="num" val="10000"/>
        <color theme="1" tint="0.34998626667073579"/>
        <color theme="0" tint="-0.14999847407452621"/>
      </colorScale>
    </cfRule>
  </conditionalFormatting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D188"/>
  <sheetViews>
    <sheetView tabSelected="1" topLeftCell="E1" zoomScaleNormal="100" workbookViewId="0">
      <selection activeCell="G51" sqref="G51"/>
    </sheetView>
  </sheetViews>
  <sheetFormatPr defaultColWidth="8.7421875" defaultRowHeight="15" x14ac:dyDescent="0.2"/>
  <cols>
    <col min="1" max="3" width="15.6015625" style="81" customWidth="1"/>
    <col min="4" max="4" width="2.6875" style="81" customWidth="1"/>
    <col min="5" max="5" width="5.6484375" style="81" customWidth="1"/>
    <col min="6" max="7" width="12.64453125" style="81" customWidth="1"/>
    <col min="8" max="10" width="15.6015625" style="81" customWidth="1"/>
    <col min="11" max="11" width="7.6640625" style="81" customWidth="1"/>
    <col min="12" max="12" width="5.6484375" style="81" customWidth="1"/>
    <col min="13" max="13" width="15.6015625" style="81" customWidth="1"/>
    <col min="14" max="14" width="10.35546875" style="81" customWidth="1"/>
    <col min="15" max="15" width="2.6875" style="81" customWidth="1"/>
    <col min="16" max="16" width="10.35546875" style="22" customWidth="1"/>
    <col min="17" max="17" width="10.35546875" style="12" customWidth="1"/>
    <col min="18" max="21" width="11.8359375" style="81" customWidth="1"/>
    <col min="22" max="22" width="13.046875" style="81" bestFit="1" customWidth="1"/>
    <col min="23" max="23" width="11.97265625" style="81" bestFit="1" customWidth="1"/>
    <col min="24" max="24" width="13.046875" style="81" bestFit="1" customWidth="1"/>
    <col min="25" max="25" width="11.97265625" style="81" bestFit="1" customWidth="1"/>
    <col min="26" max="26" width="13.046875" style="81" bestFit="1" customWidth="1"/>
    <col min="27" max="27" width="11.8359375" style="81" bestFit="1" customWidth="1"/>
    <col min="28" max="16384" width="8.7421875" style="81"/>
  </cols>
  <sheetData>
    <row r="1" spans="1:30" s="55" customFormat="1" ht="23.1" customHeight="1" x14ac:dyDescent="0.2">
      <c r="A1" s="227" t="s">
        <v>17</v>
      </c>
      <c r="B1" s="227"/>
      <c r="C1" s="176">
        <v>31586.18</v>
      </c>
      <c r="D1" s="11"/>
      <c r="E1" s="178" t="s">
        <v>19</v>
      </c>
      <c r="F1" s="175" t="s">
        <v>20</v>
      </c>
      <c r="G1" s="145" t="s">
        <v>21</v>
      </c>
      <c r="H1" s="146" t="s">
        <v>22</v>
      </c>
      <c r="I1" s="136" t="s">
        <v>23</v>
      </c>
      <c r="J1" s="136" t="s">
        <v>24</v>
      </c>
      <c r="K1" s="136" t="s">
        <v>25</v>
      </c>
      <c r="L1" s="147" t="s">
        <v>26</v>
      </c>
      <c r="M1" s="147" t="s">
        <v>110</v>
      </c>
      <c r="N1" s="136" t="s">
        <v>111</v>
      </c>
      <c r="O1" s="97"/>
      <c r="P1" s="137" t="s">
        <v>28</v>
      </c>
      <c r="Q1" s="138" t="s">
        <v>29</v>
      </c>
      <c r="R1" s="226" t="s">
        <v>112</v>
      </c>
      <c r="S1" s="226"/>
      <c r="T1" s="226"/>
      <c r="U1" s="101"/>
      <c r="V1" s="177"/>
      <c r="W1" s="177"/>
      <c r="X1" s="177"/>
      <c r="Y1" s="177"/>
      <c r="Z1" s="177"/>
      <c r="AA1" s="177"/>
      <c r="AB1" s="177"/>
      <c r="AC1" s="177"/>
      <c r="AD1" s="177"/>
    </row>
    <row r="2" spans="1:30" s="55" customFormat="1" ht="19.149999999999999" customHeight="1" x14ac:dyDescent="0.2">
      <c r="A2" s="228">
        <f>SUMIFS(J2:J300,F2:F300,"&lt;&gt;")+B19+A19+C1+C2</f>
        <v>400586.87</v>
      </c>
      <c r="B2" s="228"/>
      <c r="C2" s="176">
        <v>2856.9</v>
      </c>
      <c r="D2" s="177"/>
      <c r="E2" s="56">
        <v>16</v>
      </c>
      <c r="F2" s="57"/>
      <c r="G2" s="25">
        <v>45484</v>
      </c>
      <c r="H2" s="58">
        <v>5000</v>
      </c>
      <c r="I2" s="59">
        <v>976.19</v>
      </c>
      <c r="J2" s="60">
        <f t="shared" ref="J2:J33" si="0">SUM(H2:I2)</f>
        <v>5976.1900000000005</v>
      </c>
      <c r="K2" s="56" t="s">
        <v>31</v>
      </c>
      <c r="L2" s="100"/>
      <c r="M2" s="61" t="s">
        <v>113</v>
      </c>
      <c r="N2" s="62">
        <v>16</v>
      </c>
      <c r="O2" s="177"/>
      <c r="P2" s="22">
        <v>45778</v>
      </c>
      <c r="Q2" s="105">
        <f>SUMIFS(J$2:J$1000, F$2:F$1000, "&gt;=" &amp; DATE(YEAR(P2), MONTH(P2), 1), F$2:F$1000, "&lt;=" &amp; EOMONTH(P2, 0))</f>
        <v>5610.29</v>
      </c>
      <c r="R2" s="222"/>
      <c r="S2" s="222"/>
      <c r="T2" s="222"/>
      <c r="U2" s="107"/>
      <c r="V2" s="177"/>
      <c r="W2" s="177"/>
      <c r="X2" s="177"/>
      <c r="Y2" s="177"/>
      <c r="Z2" s="177"/>
      <c r="AA2" s="177"/>
      <c r="AB2" s="177"/>
      <c r="AC2" s="177"/>
      <c r="AD2" s="177"/>
    </row>
    <row r="3" spans="1:30" s="55" customFormat="1" ht="19.149999999999999" customHeight="1" thickBot="1" x14ac:dyDescent="0.25">
      <c r="A3" s="229"/>
      <c r="B3" s="229"/>
      <c r="C3" s="229"/>
      <c r="D3" s="177"/>
      <c r="E3" s="56">
        <v>18</v>
      </c>
      <c r="F3" s="63"/>
      <c r="G3" s="25">
        <v>45551</v>
      </c>
      <c r="H3" s="58">
        <v>5000</v>
      </c>
      <c r="I3" s="59">
        <v>1122.6600000000001</v>
      </c>
      <c r="J3" s="60">
        <f t="shared" si="0"/>
        <v>6122.66</v>
      </c>
      <c r="K3" s="56" t="s">
        <v>31</v>
      </c>
      <c r="L3" s="100"/>
      <c r="M3" s="61" t="s">
        <v>114</v>
      </c>
      <c r="N3" s="62">
        <v>16.2</v>
      </c>
      <c r="O3" s="177"/>
      <c r="P3" s="22">
        <v>45809</v>
      </c>
      <c r="Q3" s="105">
        <f t="shared" ref="Q3:Q66" si="1">SUMIFS(J$2:J$1000, F$2:F$1000, "&gt;=" &amp; DATE(YEAR(P3), MONTH(P3), 1), F$2:F$1000, "&lt;=" &amp; EOMONTH(P3, 0))</f>
        <v>0</v>
      </c>
      <c r="R3" s="225" t="s">
        <v>115</v>
      </c>
      <c r="S3" s="225"/>
      <c r="T3" s="225"/>
      <c r="U3" s="107"/>
      <c r="V3" s="177"/>
      <c r="W3" s="177"/>
      <c r="X3" s="177"/>
      <c r="Y3" s="177"/>
      <c r="Z3" s="177"/>
      <c r="AA3" s="177"/>
      <c r="AB3" s="177"/>
      <c r="AC3" s="177"/>
      <c r="AD3" s="177"/>
    </row>
    <row r="4" spans="1:30" s="55" customFormat="1" ht="19.149999999999999" customHeight="1" x14ac:dyDescent="0.2">
      <c r="A4" s="205" t="s">
        <v>116</v>
      </c>
      <c r="B4" s="206"/>
      <c r="C4" s="207"/>
      <c r="D4" s="177"/>
      <c r="E4" s="56">
        <v>20</v>
      </c>
      <c r="F4" s="63"/>
      <c r="G4" s="25">
        <v>45575</v>
      </c>
      <c r="H4" s="58">
        <v>10000</v>
      </c>
      <c r="I4" s="59">
        <v>2378.56</v>
      </c>
      <c r="J4" s="60">
        <f t="shared" si="0"/>
        <v>12378.56</v>
      </c>
      <c r="K4" s="56" t="s">
        <v>31</v>
      </c>
      <c r="L4" s="100"/>
      <c r="M4" s="61" t="s">
        <v>117</v>
      </c>
      <c r="N4" s="62">
        <v>16.399999999999999</v>
      </c>
      <c r="O4" s="177"/>
      <c r="P4" s="22">
        <v>45839</v>
      </c>
      <c r="Q4" s="105">
        <f t="shared" si="1"/>
        <v>0</v>
      </c>
      <c r="R4" s="222" t="s">
        <v>118</v>
      </c>
      <c r="S4" s="222"/>
      <c r="T4" s="222"/>
      <c r="U4" s="107"/>
      <c r="V4" s="177"/>
      <c r="W4" s="177"/>
      <c r="X4" s="177"/>
      <c r="Y4" s="177"/>
      <c r="Z4" s="177"/>
      <c r="AA4" s="177"/>
      <c r="AB4" s="177"/>
      <c r="AC4" s="177"/>
      <c r="AD4" s="177"/>
    </row>
    <row r="5" spans="1:30" s="55" customFormat="1" ht="19.149999999999999" customHeight="1" x14ac:dyDescent="0.2">
      <c r="A5" s="216"/>
      <c r="B5" s="217"/>
      <c r="C5" s="217"/>
      <c r="D5" s="177"/>
      <c r="E5" s="56">
        <v>9</v>
      </c>
      <c r="F5" s="63"/>
      <c r="G5" s="25">
        <v>45286</v>
      </c>
      <c r="H5" s="58">
        <v>5000</v>
      </c>
      <c r="I5" s="59">
        <v>459</v>
      </c>
      <c r="J5" s="60">
        <f t="shared" si="0"/>
        <v>5459</v>
      </c>
      <c r="K5" s="56" t="s">
        <v>31</v>
      </c>
      <c r="L5" s="100"/>
      <c r="M5" s="61" t="s">
        <v>119</v>
      </c>
      <c r="N5" s="62">
        <v>13.5</v>
      </c>
      <c r="O5" s="177"/>
      <c r="P5" s="22">
        <v>45870</v>
      </c>
      <c r="Q5" s="105">
        <f t="shared" si="1"/>
        <v>0</v>
      </c>
      <c r="R5" s="222" t="s">
        <v>120</v>
      </c>
      <c r="S5" s="222"/>
      <c r="T5" s="222"/>
      <c r="U5" s="107"/>
      <c r="V5" s="177"/>
      <c r="W5" s="177"/>
      <c r="X5" s="177"/>
      <c r="Y5" s="177"/>
      <c r="Z5" s="177"/>
      <c r="AA5" s="177"/>
      <c r="AB5" s="177"/>
      <c r="AC5" s="177"/>
      <c r="AD5" s="177"/>
    </row>
    <row r="6" spans="1:30" s="55" customFormat="1" ht="19.149999999999999" customHeight="1" x14ac:dyDescent="0.2">
      <c r="A6" s="214" t="s">
        <v>121</v>
      </c>
      <c r="B6" s="215"/>
      <c r="C6" s="215"/>
      <c r="D6" s="177"/>
      <c r="E6" s="56">
        <v>12</v>
      </c>
      <c r="F6" s="63"/>
      <c r="G6" s="25">
        <v>45286</v>
      </c>
      <c r="H6" s="58">
        <v>5000</v>
      </c>
      <c r="I6" s="59">
        <v>607.04999999999995</v>
      </c>
      <c r="J6" s="60">
        <f t="shared" si="0"/>
        <v>5607.05</v>
      </c>
      <c r="K6" s="56" t="s">
        <v>31</v>
      </c>
      <c r="L6" s="100"/>
      <c r="M6" s="61" t="s">
        <v>122</v>
      </c>
      <c r="N6" s="62">
        <v>13.3</v>
      </c>
      <c r="O6" s="177"/>
      <c r="P6" s="22">
        <v>45901</v>
      </c>
      <c r="Q6" s="105">
        <f t="shared" si="1"/>
        <v>0</v>
      </c>
      <c r="R6" s="222" t="s">
        <v>123</v>
      </c>
      <c r="S6" s="222"/>
      <c r="T6" s="222"/>
      <c r="U6" s="107"/>
      <c r="V6" s="177"/>
      <c r="W6" s="177"/>
      <c r="X6" s="177"/>
      <c r="Y6" s="177"/>
      <c r="Z6" s="177"/>
      <c r="AA6" s="177"/>
      <c r="AB6" s="177"/>
      <c r="AC6" s="177"/>
      <c r="AD6" s="177"/>
    </row>
    <row r="7" spans="1:30" s="55" customFormat="1" ht="19.149999999999999" customHeight="1" x14ac:dyDescent="0.2">
      <c r="A7" s="214"/>
      <c r="B7" s="215"/>
      <c r="C7" s="215"/>
      <c r="D7" s="177"/>
      <c r="E7" s="56">
        <v>9</v>
      </c>
      <c r="F7" s="63"/>
      <c r="G7" s="25">
        <v>45413</v>
      </c>
      <c r="H7" s="58">
        <v>20000</v>
      </c>
      <c r="I7" s="59">
        <v>1963.57</v>
      </c>
      <c r="J7" s="60">
        <f t="shared" si="0"/>
        <v>21963.57</v>
      </c>
      <c r="K7" s="56" t="s">
        <v>31</v>
      </c>
      <c r="L7" s="100" t="s">
        <v>32</v>
      </c>
      <c r="M7" s="61" t="s">
        <v>124</v>
      </c>
      <c r="N7" s="62">
        <v>14.2</v>
      </c>
      <c r="O7" s="177"/>
      <c r="P7" s="22">
        <v>45931</v>
      </c>
      <c r="Q7" s="105">
        <f t="shared" si="1"/>
        <v>0</v>
      </c>
      <c r="R7" s="222" t="s">
        <v>125</v>
      </c>
      <c r="S7" s="222"/>
      <c r="T7" s="222"/>
      <c r="U7" s="107"/>
      <c r="V7" s="177"/>
      <c r="W7" s="177"/>
      <c r="X7" s="177"/>
      <c r="Y7" s="177"/>
      <c r="Z7" s="177"/>
      <c r="AA7" s="177"/>
      <c r="AB7" s="177"/>
      <c r="AC7" s="177"/>
      <c r="AD7" s="177"/>
    </row>
    <row r="8" spans="1:30" s="55" customFormat="1" ht="19.149999999999999" customHeight="1" x14ac:dyDescent="0.2">
      <c r="A8" s="216"/>
      <c r="B8" s="217"/>
      <c r="C8" s="217"/>
      <c r="D8" s="177"/>
      <c r="E8" s="56">
        <v>4</v>
      </c>
      <c r="F8" s="63"/>
      <c r="G8" s="25">
        <v>45351</v>
      </c>
      <c r="H8" s="58">
        <v>20000</v>
      </c>
      <c r="I8" s="59">
        <v>826.52</v>
      </c>
      <c r="J8" s="60">
        <f t="shared" si="0"/>
        <v>20826.52</v>
      </c>
      <c r="K8" s="56" t="s">
        <v>31</v>
      </c>
      <c r="L8" s="100"/>
      <c r="M8" s="61" t="s">
        <v>126</v>
      </c>
      <c r="N8" s="62">
        <v>14.2</v>
      </c>
      <c r="O8" s="177"/>
      <c r="P8" s="22">
        <v>45962</v>
      </c>
      <c r="Q8" s="105">
        <f t="shared" si="1"/>
        <v>0</v>
      </c>
      <c r="R8" s="223"/>
      <c r="S8" s="223"/>
      <c r="T8" s="223"/>
      <c r="U8" s="107"/>
      <c r="V8" s="177"/>
      <c r="W8" s="177"/>
      <c r="X8" s="177"/>
      <c r="Y8" s="177"/>
      <c r="Z8" s="177"/>
      <c r="AA8" s="177"/>
      <c r="AB8" s="177"/>
      <c r="AC8" s="177"/>
      <c r="AD8" s="177"/>
    </row>
    <row r="9" spans="1:30" s="55" customFormat="1" ht="19.149999999999999" customHeight="1" x14ac:dyDescent="0.2">
      <c r="A9" s="216"/>
      <c r="B9" s="217"/>
      <c r="C9" s="217"/>
      <c r="D9" s="177"/>
      <c r="E9" s="56">
        <v>9</v>
      </c>
      <c r="F9" s="63"/>
      <c r="G9" s="25">
        <v>45519</v>
      </c>
      <c r="H9" s="58">
        <v>10000</v>
      </c>
      <c r="I9" s="59">
        <v>953.2</v>
      </c>
      <c r="J9" s="60">
        <f t="shared" si="0"/>
        <v>10953.2</v>
      </c>
      <c r="K9" s="56" t="s">
        <v>31</v>
      </c>
      <c r="L9" s="100" t="s">
        <v>32</v>
      </c>
      <c r="M9" s="61" t="s">
        <v>127</v>
      </c>
      <c r="N9" s="62">
        <v>13.9</v>
      </c>
      <c r="O9" s="177"/>
      <c r="P9" s="22">
        <v>45992</v>
      </c>
      <c r="Q9" s="105">
        <f t="shared" si="1"/>
        <v>10729.61</v>
      </c>
      <c r="R9" s="224"/>
      <c r="S9" s="224"/>
      <c r="T9" s="224"/>
      <c r="U9" s="107"/>
      <c r="V9" s="177"/>
      <c r="W9" s="177"/>
      <c r="X9" s="177"/>
      <c r="Y9" s="177"/>
      <c r="Z9" s="177"/>
      <c r="AA9" s="177"/>
      <c r="AB9" s="177"/>
      <c r="AC9" s="177"/>
      <c r="AD9" s="177"/>
    </row>
    <row r="10" spans="1:30" s="55" customFormat="1" ht="19.149999999999999" customHeight="1" x14ac:dyDescent="0.2">
      <c r="A10" s="216" t="s">
        <v>128</v>
      </c>
      <c r="B10" s="217"/>
      <c r="C10" s="217"/>
      <c r="D10" s="177"/>
      <c r="E10" s="56">
        <v>17</v>
      </c>
      <c r="F10" s="63"/>
      <c r="G10" s="25">
        <v>45742</v>
      </c>
      <c r="H10" s="58">
        <v>20000</v>
      </c>
      <c r="I10" s="59">
        <v>3744.86</v>
      </c>
      <c r="J10" s="60">
        <f t="shared" si="0"/>
        <v>23744.86</v>
      </c>
      <c r="K10" s="56" t="s">
        <v>31</v>
      </c>
      <c r="L10" s="100"/>
      <c r="M10" s="61" t="s">
        <v>129</v>
      </c>
      <c r="N10" s="62">
        <v>14.8</v>
      </c>
      <c r="O10" s="177"/>
      <c r="P10" s="22">
        <v>46023</v>
      </c>
      <c r="Q10" s="105">
        <f t="shared" si="1"/>
        <v>0</v>
      </c>
      <c r="R10" s="225" t="s">
        <v>130</v>
      </c>
      <c r="S10" s="225"/>
      <c r="T10" s="225"/>
      <c r="U10" s="107"/>
      <c r="V10" s="177"/>
      <c r="W10" s="177"/>
      <c r="X10" s="177"/>
      <c r="Y10" s="177"/>
      <c r="Z10" s="177"/>
      <c r="AA10" s="177"/>
      <c r="AB10" s="177"/>
      <c r="AC10" s="177"/>
      <c r="AD10" s="177"/>
    </row>
    <row r="11" spans="1:30" s="55" customFormat="1" ht="19.149999999999999" customHeight="1" x14ac:dyDescent="0.2">
      <c r="A11" s="218" t="s">
        <v>131</v>
      </c>
      <c r="B11" s="219"/>
      <c r="C11" s="219"/>
      <c r="D11" s="177"/>
      <c r="E11" s="56">
        <v>28</v>
      </c>
      <c r="F11" s="63">
        <v>46147</v>
      </c>
      <c r="G11" s="25"/>
      <c r="H11" s="58">
        <v>5000</v>
      </c>
      <c r="I11" s="59">
        <v>1652.77</v>
      </c>
      <c r="J11" s="60">
        <f t="shared" si="0"/>
        <v>6652.77</v>
      </c>
      <c r="K11" s="56" t="str">
        <f ca="1">IF(F11&lt;=TODAY(),"Check!","Waiting")</f>
        <v>Waiting</v>
      </c>
      <c r="L11" s="100"/>
      <c r="M11" s="61" t="s">
        <v>132</v>
      </c>
      <c r="N11" s="62">
        <v>15.2</v>
      </c>
      <c r="O11" s="177"/>
      <c r="P11" s="22">
        <v>46054</v>
      </c>
      <c r="Q11" s="105">
        <f t="shared" si="1"/>
        <v>0</v>
      </c>
      <c r="R11" s="222" t="s">
        <v>133</v>
      </c>
      <c r="S11" s="222"/>
      <c r="T11" s="222"/>
      <c r="U11" s="107"/>
      <c r="V11" s="177"/>
      <c r="W11" s="177"/>
      <c r="X11" s="177"/>
      <c r="Y11" s="177"/>
      <c r="Z11" s="177"/>
      <c r="AA11" s="177"/>
      <c r="AB11" s="177"/>
      <c r="AC11" s="177"/>
      <c r="AD11" s="177"/>
    </row>
    <row r="12" spans="1:30" s="55" customFormat="1" ht="19.149999999999999" customHeight="1" x14ac:dyDescent="0.2">
      <c r="A12" s="216" t="s">
        <v>134</v>
      </c>
      <c r="B12" s="217"/>
      <c r="C12" s="217"/>
      <c r="D12" s="177"/>
      <c r="E12" s="56">
        <v>9</v>
      </c>
      <c r="F12" s="63"/>
      <c r="G12" s="25">
        <v>45592</v>
      </c>
      <c r="H12" s="58">
        <v>5000</v>
      </c>
      <c r="I12" s="59">
        <v>463.86</v>
      </c>
      <c r="J12" s="60">
        <f t="shared" si="0"/>
        <v>5463.86</v>
      </c>
      <c r="K12" s="56" t="s">
        <v>31</v>
      </c>
      <c r="L12" s="100"/>
      <c r="M12" s="61" t="s">
        <v>135</v>
      </c>
      <c r="N12" s="62">
        <v>13.5</v>
      </c>
      <c r="O12" s="177"/>
      <c r="P12" s="22">
        <v>46082</v>
      </c>
      <c r="Q12" s="105">
        <f t="shared" si="1"/>
        <v>17190.89</v>
      </c>
      <c r="R12" s="222" t="s">
        <v>136</v>
      </c>
      <c r="S12" s="222"/>
      <c r="T12" s="222"/>
      <c r="U12" s="107"/>
      <c r="V12" s="177"/>
      <c r="W12" s="177"/>
      <c r="X12" s="177"/>
      <c r="Y12" s="177"/>
      <c r="Z12" s="177"/>
      <c r="AA12" s="177"/>
      <c r="AB12" s="177"/>
      <c r="AC12" s="177"/>
      <c r="AD12" s="177"/>
    </row>
    <row r="13" spans="1:30" s="55" customFormat="1" ht="19.149999999999999" customHeight="1" x14ac:dyDescent="0.2">
      <c r="A13" s="218"/>
      <c r="B13" s="219"/>
      <c r="C13" s="219"/>
      <c r="D13" s="177"/>
      <c r="E13" s="56">
        <v>14</v>
      </c>
      <c r="F13" s="63"/>
      <c r="G13" s="25">
        <v>45683</v>
      </c>
      <c r="H13" s="58">
        <v>5000</v>
      </c>
      <c r="I13" s="59">
        <v>631.95000000000005</v>
      </c>
      <c r="J13" s="60">
        <f t="shared" si="0"/>
        <v>5631.95</v>
      </c>
      <c r="K13" s="56" t="s">
        <v>31</v>
      </c>
      <c r="L13" s="100"/>
      <c r="M13" s="61" t="s">
        <v>137</v>
      </c>
      <c r="N13" s="62">
        <v>13.8</v>
      </c>
      <c r="O13" s="177"/>
      <c r="P13" s="22">
        <v>46113</v>
      </c>
      <c r="Q13" s="105">
        <f t="shared" si="1"/>
        <v>29364.49</v>
      </c>
      <c r="R13" s="222" t="s">
        <v>138</v>
      </c>
      <c r="S13" s="222"/>
      <c r="T13" s="222"/>
      <c r="U13" s="107"/>
      <c r="V13" s="177"/>
      <c r="W13" s="177"/>
      <c r="X13" s="177"/>
      <c r="Y13" s="177"/>
      <c r="Z13" s="177"/>
      <c r="AA13" s="177"/>
      <c r="AB13" s="177"/>
      <c r="AC13" s="177"/>
      <c r="AD13" s="177"/>
    </row>
    <row r="14" spans="1:30" s="55" customFormat="1" ht="19.149999999999999" customHeight="1" x14ac:dyDescent="0.2">
      <c r="A14" s="216"/>
      <c r="B14" s="217"/>
      <c r="C14" s="217"/>
      <c r="D14" s="177"/>
      <c r="E14" s="56">
        <v>38</v>
      </c>
      <c r="F14" s="63">
        <v>46481</v>
      </c>
      <c r="G14" s="25"/>
      <c r="H14" s="58">
        <v>5000</v>
      </c>
      <c r="I14" s="59">
        <v>2055.02</v>
      </c>
      <c r="J14" s="60">
        <f t="shared" si="0"/>
        <v>7055.02</v>
      </c>
      <c r="K14" s="56" t="str">
        <f ca="1">IF(F14&lt;=TODAY(),"Check!","Waiting")</f>
        <v>Waiting</v>
      </c>
      <c r="L14" s="100"/>
      <c r="M14" s="61" t="s">
        <v>139</v>
      </c>
      <c r="N14" s="62">
        <v>14.1</v>
      </c>
      <c r="O14" s="177"/>
      <c r="P14" s="22">
        <v>46143</v>
      </c>
      <c r="Q14" s="105">
        <f t="shared" si="1"/>
        <v>18578.03</v>
      </c>
      <c r="R14" s="222" t="s">
        <v>140</v>
      </c>
      <c r="S14" s="222"/>
      <c r="T14" s="222"/>
      <c r="U14" s="107"/>
      <c r="V14" s="177"/>
      <c r="W14" s="177"/>
      <c r="X14" s="177"/>
      <c r="Y14" s="177"/>
      <c r="Z14" s="177"/>
      <c r="AA14" s="177"/>
      <c r="AB14" s="177"/>
      <c r="AC14" s="177"/>
      <c r="AD14" s="177"/>
    </row>
    <row r="15" spans="1:30" s="55" customFormat="1" ht="19.149999999999999" customHeight="1" x14ac:dyDescent="0.2">
      <c r="A15" s="216"/>
      <c r="B15" s="217"/>
      <c r="C15" s="217"/>
      <c r="D15" s="177"/>
      <c r="E15" s="56">
        <v>24</v>
      </c>
      <c r="F15" s="63"/>
      <c r="G15" s="25">
        <v>45452</v>
      </c>
      <c r="H15" s="58">
        <v>5000</v>
      </c>
      <c r="I15" s="59">
        <v>205.51</v>
      </c>
      <c r="J15" s="60">
        <f t="shared" si="0"/>
        <v>5205.51</v>
      </c>
      <c r="K15" s="56" t="s">
        <v>31</v>
      </c>
      <c r="L15" s="100"/>
      <c r="M15" s="61" t="s">
        <v>141</v>
      </c>
      <c r="N15" s="62">
        <v>13.1</v>
      </c>
      <c r="O15" s="177"/>
      <c r="P15" s="22">
        <v>46174</v>
      </c>
      <c r="Q15" s="105">
        <f t="shared" si="1"/>
        <v>22154.87</v>
      </c>
      <c r="R15" s="222" t="s">
        <v>142</v>
      </c>
      <c r="S15" s="222"/>
      <c r="T15" s="222"/>
      <c r="U15" s="107"/>
      <c r="V15" s="177"/>
      <c r="W15" s="177"/>
      <c r="X15" s="177"/>
      <c r="Y15" s="177"/>
      <c r="Z15" s="177"/>
      <c r="AA15" s="177"/>
      <c r="AB15" s="177"/>
      <c r="AC15" s="177"/>
      <c r="AD15" s="177"/>
    </row>
    <row r="16" spans="1:30" s="55" customFormat="1" ht="19.149999999999999" customHeight="1" x14ac:dyDescent="0.2">
      <c r="A16" s="216"/>
      <c r="B16" s="217"/>
      <c r="C16" s="217"/>
      <c r="D16" s="177"/>
      <c r="E16" s="56">
        <v>16</v>
      </c>
      <c r="F16" s="63"/>
      <c r="G16" s="25">
        <v>45812</v>
      </c>
      <c r="H16" s="58">
        <v>5000</v>
      </c>
      <c r="I16" s="59">
        <v>713.33</v>
      </c>
      <c r="J16" s="60">
        <f t="shared" si="0"/>
        <v>5713.33</v>
      </c>
      <c r="K16" s="56" t="s">
        <v>31</v>
      </c>
      <c r="L16" s="162" t="s">
        <v>33</v>
      </c>
      <c r="M16" s="61" t="s">
        <v>143</v>
      </c>
      <c r="N16" s="62">
        <v>11.8</v>
      </c>
      <c r="O16" s="177"/>
      <c r="P16" s="22">
        <v>46204</v>
      </c>
      <c r="Q16" s="105">
        <f t="shared" si="1"/>
        <v>6485.95</v>
      </c>
      <c r="R16" s="222" t="s">
        <v>144</v>
      </c>
      <c r="S16" s="222"/>
      <c r="T16" s="222"/>
      <c r="U16" s="107"/>
      <c r="V16" s="177"/>
      <c r="W16" s="177"/>
      <c r="X16" s="177"/>
      <c r="Y16" s="177"/>
      <c r="Z16" s="177"/>
      <c r="AA16" s="177"/>
      <c r="AB16" s="177"/>
      <c r="AC16" s="177"/>
      <c r="AD16" s="177"/>
    </row>
    <row r="17" spans="1:30" s="55" customFormat="1" ht="19.149999999999999" customHeight="1" x14ac:dyDescent="0.2">
      <c r="A17" s="214"/>
      <c r="B17" s="215"/>
      <c r="C17" s="215"/>
      <c r="D17" s="177"/>
      <c r="E17" s="56">
        <v>6</v>
      </c>
      <c r="F17" s="63"/>
      <c r="G17" s="25">
        <v>45512</v>
      </c>
      <c r="H17" s="58">
        <v>10000</v>
      </c>
      <c r="I17" s="59">
        <v>569.01</v>
      </c>
      <c r="J17" s="60">
        <f t="shared" si="0"/>
        <v>10569.01</v>
      </c>
      <c r="K17" s="56" t="s">
        <v>31</v>
      </c>
      <c r="L17" s="100"/>
      <c r="M17" s="61" t="s">
        <v>145</v>
      </c>
      <c r="N17" s="62">
        <v>13.2</v>
      </c>
      <c r="O17" s="177"/>
      <c r="P17" s="22">
        <v>46235</v>
      </c>
      <c r="Q17" s="105">
        <f t="shared" si="1"/>
        <v>19687.91</v>
      </c>
      <c r="R17" s="223"/>
      <c r="S17" s="223"/>
      <c r="T17" s="223"/>
      <c r="U17" s="107"/>
      <c r="V17" s="177"/>
      <c r="W17" s="177"/>
      <c r="X17" s="177"/>
      <c r="Y17" s="177"/>
      <c r="Z17" s="177"/>
      <c r="AA17" s="177"/>
      <c r="AB17" s="177"/>
      <c r="AC17" s="177"/>
      <c r="AD17" s="177"/>
    </row>
    <row r="18" spans="1:30" s="55" customFormat="1" ht="19.149999999999999" customHeight="1" x14ac:dyDescent="0.2">
      <c r="A18" s="214" t="s">
        <v>146</v>
      </c>
      <c r="B18" s="215"/>
      <c r="C18" s="215"/>
      <c r="D18" s="177"/>
      <c r="E18" s="56">
        <v>9</v>
      </c>
      <c r="F18" s="63"/>
      <c r="G18" s="25">
        <v>45600</v>
      </c>
      <c r="H18" s="58">
        <v>5000</v>
      </c>
      <c r="I18" s="59">
        <v>390.38</v>
      </c>
      <c r="J18" s="60">
        <f t="shared" si="0"/>
        <v>5390.38</v>
      </c>
      <c r="K18" s="56" t="s">
        <v>31</v>
      </c>
      <c r="L18" s="100"/>
      <c r="M18" s="61" t="s">
        <v>147</v>
      </c>
      <c r="N18" s="62">
        <v>12.3</v>
      </c>
      <c r="O18" s="177"/>
      <c r="P18" s="22">
        <v>46266</v>
      </c>
      <c r="Q18" s="105">
        <f t="shared" si="1"/>
        <v>0</v>
      </c>
      <c r="R18" s="107"/>
      <c r="S18" s="107"/>
      <c r="T18" s="107"/>
      <c r="U18" s="107"/>
      <c r="V18" s="177"/>
      <c r="W18" s="177"/>
      <c r="X18" s="177"/>
      <c r="Y18" s="177"/>
      <c r="Z18" s="177"/>
      <c r="AA18" s="177"/>
      <c r="AB18" s="177"/>
      <c r="AC18" s="177"/>
      <c r="AD18" s="177"/>
    </row>
    <row r="19" spans="1:30" s="55" customFormat="1" ht="19.149999999999999" customHeight="1" x14ac:dyDescent="0.2">
      <c r="A19" s="118">
        <v>0.7</v>
      </c>
      <c r="B19" s="118">
        <v>0.41</v>
      </c>
      <c r="C19" s="116" t="s">
        <v>148</v>
      </c>
      <c r="D19" s="177"/>
      <c r="E19" s="56">
        <v>10</v>
      </c>
      <c r="F19" s="63"/>
      <c r="G19" s="25">
        <v>45669</v>
      </c>
      <c r="H19" s="58">
        <v>5000</v>
      </c>
      <c r="I19" s="59">
        <v>428.76</v>
      </c>
      <c r="J19" s="60">
        <f t="shared" si="0"/>
        <v>5428.76</v>
      </c>
      <c r="K19" s="56" t="s">
        <v>31</v>
      </c>
      <c r="L19" s="100"/>
      <c r="M19" s="61" t="s">
        <v>149</v>
      </c>
      <c r="N19" s="62">
        <v>11.4</v>
      </c>
      <c r="O19" s="177"/>
      <c r="P19" s="22">
        <v>46296</v>
      </c>
      <c r="Q19" s="105">
        <f t="shared" si="1"/>
        <v>0</v>
      </c>
      <c r="R19" s="107"/>
      <c r="S19" s="107"/>
      <c r="T19" s="107"/>
      <c r="U19" s="107"/>
      <c r="V19" s="177"/>
      <c r="W19" s="177"/>
      <c r="X19" s="177"/>
      <c r="Y19" s="177"/>
      <c r="Z19" s="177"/>
      <c r="AA19" s="177"/>
      <c r="AB19" s="177"/>
      <c r="AC19" s="177"/>
      <c r="AD19" s="177"/>
    </row>
    <row r="20" spans="1:30" s="55" customFormat="1" ht="19.149999999999999" customHeight="1" x14ac:dyDescent="0.2">
      <c r="A20" s="177"/>
      <c r="B20" s="177"/>
      <c r="C20" s="177"/>
      <c r="D20" s="177"/>
      <c r="E20" s="56">
        <v>6</v>
      </c>
      <c r="F20" s="63"/>
      <c r="G20" s="25">
        <v>45561</v>
      </c>
      <c r="H20" s="58">
        <v>5000</v>
      </c>
      <c r="I20" s="59">
        <v>300.25</v>
      </c>
      <c r="J20" s="60">
        <f t="shared" si="0"/>
        <v>5300.25</v>
      </c>
      <c r="K20" s="56" t="s">
        <v>31</v>
      </c>
      <c r="L20" s="100"/>
      <c r="M20" s="61" t="s">
        <v>150</v>
      </c>
      <c r="N20" s="62">
        <v>13.2</v>
      </c>
      <c r="O20" s="177"/>
      <c r="P20" s="22">
        <v>46327</v>
      </c>
      <c r="Q20" s="105">
        <f t="shared" si="1"/>
        <v>12083.619999999999</v>
      </c>
      <c r="R20" s="107"/>
      <c r="S20" s="107"/>
      <c r="T20" s="107"/>
      <c r="U20" s="107"/>
      <c r="V20" s="177"/>
      <c r="W20" s="177"/>
      <c r="X20" s="177"/>
      <c r="Y20" s="177"/>
      <c r="Z20" s="177"/>
      <c r="AA20" s="177"/>
      <c r="AB20" s="177"/>
      <c r="AC20" s="177"/>
      <c r="AD20" s="177"/>
    </row>
    <row r="21" spans="1:30" s="55" customFormat="1" ht="19.149999999999999" customHeight="1" x14ac:dyDescent="0.2">
      <c r="A21" s="230" t="s">
        <v>47</v>
      </c>
      <c r="B21" s="230"/>
      <c r="C21" s="230"/>
      <c r="D21" s="177"/>
      <c r="E21" s="56">
        <v>9</v>
      </c>
      <c r="F21" s="63"/>
      <c r="G21" s="25">
        <v>45655</v>
      </c>
      <c r="H21" s="58">
        <v>5000</v>
      </c>
      <c r="I21" s="59">
        <v>458.24</v>
      </c>
      <c r="J21" s="60">
        <f t="shared" si="0"/>
        <v>5458.24</v>
      </c>
      <c r="K21" s="56" t="s">
        <v>31</v>
      </c>
      <c r="L21" s="100"/>
      <c r="M21" s="61" t="s">
        <v>151</v>
      </c>
      <c r="N21" s="62">
        <v>13.4</v>
      </c>
      <c r="O21" s="177"/>
      <c r="P21" s="22">
        <v>46357</v>
      </c>
      <c r="Q21" s="105">
        <f t="shared" si="1"/>
        <v>0</v>
      </c>
      <c r="R21" s="107"/>
      <c r="S21" s="107"/>
      <c r="T21" s="107"/>
      <c r="U21" s="107"/>
      <c r="V21" s="177"/>
      <c r="W21" s="177"/>
      <c r="X21" s="177"/>
      <c r="Y21" s="177"/>
      <c r="Z21" s="177"/>
      <c r="AA21" s="177"/>
      <c r="AB21" s="177"/>
      <c r="AC21" s="177"/>
      <c r="AD21" s="177"/>
    </row>
    <row r="22" spans="1:30" s="55" customFormat="1" ht="19.149999999999999" customHeight="1" x14ac:dyDescent="0.2">
      <c r="A22" s="116" t="s">
        <v>22</v>
      </c>
      <c r="B22" s="116" t="s">
        <v>48</v>
      </c>
      <c r="C22" s="116" t="s">
        <v>49</v>
      </c>
      <c r="D22" s="177"/>
      <c r="E22" s="56">
        <v>6</v>
      </c>
      <c r="F22" s="63"/>
      <c r="G22" s="25">
        <v>45565</v>
      </c>
      <c r="H22" s="58">
        <v>5000</v>
      </c>
      <c r="I22" s="59">
        <v>280</v>
      </c>
      <c r="J22" s="60">
        <f t="shared" si="0"/>
        <v>5280</v>
      </c>
      <c r="K22" s="56" t="s">
        <v>31</v>
      </c>
      <c r="L22" s="100"/>
      <c r="M22" s="61" t="s">
        <v>152</v>
      </c>
      <c r="N22" s="62">
        <v>12.3</v>
      </c>
      <c r="O22" s="177"/>
      <c r="P22" s="22">
        <v>46388</v>
      </c>
      <c r="Q22" s="105">
        <f t="shared" si="1"/>
        <v>6547.1</v>
      </c>
      <c r="R22" s="107"/>
      <c r="S22" s="107"/>
      <c r="T22" s="107"/>
      <c r="U22" s="107"/>
      <c r="V22" s="177"/>
      <c r="W22" s="177"/>
      <c r="X22" s="177"/>
      <c r="Y22" s="177"/>
      <c r="Z22" s="177"/>
      <c r="AA22" s="177"/>
      <c r="AB22" s="177"/>
      <c r="AC22" s="177"/>
      <c r="AD22" s="177"/>
    </row>
    <row r="23" spans="1:30" s="55" customFormat="1" ht="19.149999999999999" customHeight="1" x14ac:dyDescent="0.2">
      <c r="A23" s="139">
        <f>SUMIFS(H2:H300,F2:F300,"&lt;&gt;")</f>
        <v>282000</v>
      </c>
      <c r="B23" s="139">
        <f>SUMIFS(I2:I300,F2:F300,"&lt;&gt;")</f>
        <v>84142.680000000008</v>
      </c>
      <c r="C23" s="140">
        <f>COUNT(N2:N300, "?*")</f>
        <v>67</v>
      </c>
      <c r="D23" s="177"/>
      <c r="E23" s="56">
        <v>9</v>
      </c>
      <c r="F23" s="63"/>
      <c r="G23" s="25">
        <v>45649</v>
      </c>
      <c r="H23" s="58">
        <v>5000</v>
      </c>
      <c r="I23" s="59">
        <v>431.37</v>
      </c>
      <c r="J23" s="60">
        <f t="shared" si="0"/>
        <v>5431.37</v>
      </c>
      <c r="K23" s="56" t="s">
        <v>31</v>
      </c>
      <c r="L23" s="100"/>
      <c r="M23" s="61" t="s">
        <v>153</v>
      </c>
      <c r="N23" s="62">
        <v>13</v>
      </c>
      <c r="O23" s="177"/>
      <c r="P23" s="22">
        <v>46419</v>
      </c>
      <c r="Q23" s="105">
        <f t="shared" si="1"/>
        <v>0</v>
      </c>
      <c r="R23" s="107"/>
      <c r="S23" s="107"/>
      <c r="T23" s="107"/>
      <c r="U23" s="107"/>
      <c r="V23" s="177"/>
      <c r="W23" s="177"/>
      <c r="X23" s="177"/>
      <c r="Y23" s="177"/>
      <c r="Z23" s="177"/>
      <c r="AA23" s="177"/>
      <c r="AB23" s="177"/>
      <c r="AC23" s="177"/>
      <c r="AD23" s="177"/>
    </row>
    <row r="24" spans="1:30" s="55" customFormat="1" ht="19.149999999999999" customHeight="1" x14ac:dyDescent="0.2">
      <c r="A24" s="116" t="s">
        <v>154</v>
      </c>
      <c r="B24" s="116" t="s">
        <v>51</v>
      </c>
      <c r="C24" s="116" t="s">
        <v>52</v>
      </c>
      <c r="D24" s="177"/>
      <c r="E24" s="56">
        <v>13</v>
      </c>
      <c r="F24" s="63">
        <v>45792</v>
      </c>
      <c r="G24" s="25"/>
      <c r="H24" s="58">
        <v>5000</v>
      </c>
      <c r="I24" s="59">
        <v>610.29</v>
      </c>
      <c r="J24" s="60">
        <f t="shared" si="0"/>
        <v>5610.29</v>
      </c>
      <c r="K24" s="56" t="str">
        <f ca="1">IF(F24&lt;=TODAY(),"Check!","Waiting")</f>
        <v>Check!</v>
      </c>
      <c r="L24" s="100" t="s">
        <v>32</v>
      </c>
      <c r="M24" s="61" t="s">
        <v>155</v>
      </c>
      <c r="N24" s="62">
        <v>14.7</v>
      </c>
      <c r="O24" s="177"/>
      <c r="P24" s="22">
        <v>46447</v>
      </c>
      <c r="Q24" s="105">
        <f t="shared" si="1"/>
        <v>25596.379999999997</v>
      </c>
      <c r="R24" s="107"/>
      <c r="S24" s="107"/>
      <c r="T24" s="107"/>
      <c r="U24" s="107"/>
      <c r="V24" s="177"/>
      <c r="W24" s="177"/>
      <c r="X24" s="177"/>
      <c r="Y24" s="177"/>
      <c r="Z24" s="177"/>
      <c r="AA24" s="177"/>
      <c r="AB24" s="177"/>
      <c r="AC24" s="177"/>
      <c r="AD24" s="177"/>
    </row>
    <row r="25" spans="1:30" s="55" customFormat="1" ht="19.149999999999999" customHeight="1" x14ac:dyDescent="0.2">
      <c r="A25" s="141">
        <f>AVERAGE(N2:N500)</f>
        <v>14.016567164179103</v>
      </c>
      <c r="B25" s="139" t="str">
        <f>TEXT(B23/A23, "0.00%")</f>
        <v>29.84%</v>
      </c>
      <c r="C25" s="142">
        <f>SUMPRODUCT(H2:H500, E2:E500) / SUM(H2:H500)</f>
        <v>10.611111111111111</v>
      </c>
      <c r="D25" s="177"/>
      <c r="E25" s="56">
        <v>24</v>
      </c>
      <c r="F25" s="63"/>
      <c r="G25" s="25">
        <v>45705</v>
      </c>
      <c r="H25" s="58">
        <v>5000</v>
      </c>
      <c r="I25" s="59">
        <v>481.39</v>
      </c>
      <c r="J25" s="60">
        <f t="shared" si="0"/>
        <v>5481.39</v>
      </c>
      <c r="K25" s="56" t="s">
        <v>31</v>
      </c>
      <c r="L25" s="100"/>
      <c r="M25" s="61" t="s">
        <v>156</v>
      </c>
      <c r="N25" s="62">
        <v>12.9</v>
      </c>
      <c r="O25" s="177"/>
      <c r="P25" s="22">
        <v>46478</v>
      </c>
      <c r="Q25" s="105">
        <f t="shared" si="1"/>
        <v>7055.02</v>
      </c>
      <c r="R25" s="107"/>
      <c r="S25" s="107"/>
      <c r="T25" s="107"/>
      <c r="U25" s="107"/>
      <c r="V25" s="177"/>
      <c r="W25" s="177"/>
      <c r="X25" s="177"/>
      <c r="Y25" s="177"/>
      <c r="Z25" s="177"/>
      <c r="AA25" s="177"/>
      <c r="AB25" s="177"/>
      <c r="AC25" s="177"/>
      <c r="AD25" s="177"/>
    </row>
    <row r="26" spans="1:30" s="55" customFormat="1" ht="19.149999999999999" customHeight="1" x14ac:dyDescent="0.2">
      <c r="A26" s="122" t="s">
        <v>53</v>
      </c>
      <c r="B26" s="123" t="s">
        <v>54</v>
      </c>
      <c r="C26" s="116" t="s">
        <v>55</v>
      </c>
      <c r="D26" s="177"/>
      <c r="E26" s="56">
        <v>24</v>
      </c>
      <c r="F26" s="63">
        <v>46140</v>
      </c>
      <c r="G26" s="25"/>
      <c r="H26" s="58">
        <v>5000</v>
      </c>
      <c r="I26" s="59">
        <v>1151.3399999999999</v>
      </c>
      <c r="J26" s="60">
        <f t="shared" si="0"/>
        <v>6151.34</v>
      </c>
      <c r="K26" s="56" t="str">
        <f ca="1">IF(F26&lt;=TODAY(),"Check!","Waiting")</f>
        <v>Waiting</v>
      </c>
      <c r="L26" s="100"/>
      <c r="M26" s="61" t="s">
        <v>157</v>
      </c>
      <c r="N26" s="62">
        <v>12.7</v>
      </c>
      <c r="O26" s="177"/>
      <c r="P26" s="22">
        <v>46508</v>
      </c>
      <c r="Q26" s="105">
        <f t="shared" si="1"/>
        <v>6429.23</v>
      </c>
      <c r="R26" s="107"/>
      <c r="S26" s="107"/>
      <c r="T26" s="107"/>
      <c r="U26" s="107"/>
      <c r="V26" s="177"/>
      <c r="W26" s="177"/>
      <c r="X26" s="177"/>
      <c r="Y26" s="177"/>
      <c r="Z26" s="177"/>
      <c r="AA26" s="177"/>
      <c r="AB26" s="177"/>
      <c r="AC26" s="177"/>
      <c r="AD26" s="177"/>
    </row>
    <row r="27" spans="1:30" s="55" customFormat="1" ht="19.149999999999999" customHeight="1" x14ac:dyDescent="0.2">
      <c r="A27" s="143">
        <f ca="1">COUNTIF(K2:K300, "CHECK!")</f>
        <v>1</v>
      </c>
      <c r="B27" s="143">
        <f ca="1">COUNTIF(K2:K300, "WAITING")</f>
        <v>31</v>
      </c>
      <c r="C27" s="143">
        <f ca="1">COUNTIF(K2:K300, "PAID")</f>
        <v>35</v>
      </c>
      <c r="D27" s="177"/>
      <c r="E27" s="56">
        <v>17</v>
      </c>
      <c r="F27" s="63"/>
      <c r="G27" s="25">
        <v>45922</v>
      </c>
      <c r="H27" s="58">
        <v>5000</v>
      </c>
      <c r="I27" s="59">
        <v>936.94</v>
      </c>
      <c r="J27" s="60">
        <f t="shared" si="0"/>
        <v>5936.9400000000005</v>
      </c>
      <c r="K27" s="56" t="s">
        <v>31</v>
      </c>
      <c r="L27" s="100"/>
      <c r="M27" s="61" t="s">
        <v>158</v>
      </c>
      <c r="N27" s="62">
        <v>14.4</v>
      </c>
      <c r="O27" s="177"/>
      <c r="P27" s="22">
        <v>46539</v>
      </c>
      <c r="Q27" s="105">
        <f t="shared" si="1"/>
        <v>0</v>
      </c>
      <c r="R27" s="107"/>
      <c r="S27" s="107"/>
      <c r="T27" s="107"/>
      <c r="U27" s="107"/>
      <c r="V27" s="177"/>
      <c r="W27" s="177"/>
      <c r="X27" s="177"/>
      <c r="Y27" s="177"/>
      <c r="Z27" s="177"/>
      <c r="AA27" s="177"/>
      <c r="AB27" s="177"/>
      <c r="AC27" s="177"/>
      <c r="AD27" s="177"/>
    </row>
    <row r="28" spans="1:30" s="55" customFormat="1" ht="19.149999999999999" customHeight="1" x14ac:dyDescent="0.2">
      <c r="A28" s="177"/>
      <c r="B28" s="177"/>
      <c r="C28" s="177"/>
      <c r="D28" s="177"/>
      <c r="E28" s="56">
        <v>17</v>
      </c>
      <c r="F28" s="63"/>
      <c r="G28" s="25">
        <v>45931</v>
      </c>
      <c r="H28" s="58">
        <v>5000</v>
      </c>
      <c r="I28" s="59">
        <v>843.34</v>
      </c>
      <c r="J28" s="60">
        <f t="shared" si="0"/>
        <v>5843.34</v>
      </c>
      <c r="K28" s="56" t="s">
        <v>31</v>
      </c>
      <c r="L28" s="100"/>
      <c r="M28" s="61" t="s">
        <v>159</v>
      </c>
      <c r="N28" s="62">
        <v>13.1</v>
      </c>
      <c r="O28" s="177"/>
      <c r="P28" s="22">
        <v>46569</v>
      </c>
      <c r="Q28" s="105">
        <f t="shared" si="1"/>
        <v>42606.080000000002</v>
      </c>
      <c r="R28" s="107"/>
      <c r="S28" s="107"/>
      <c r="T28" s="107"/>
      <c r="U28" s="107"/>
      <c r="V28" s="177"/>
      <c r="W28" s="177"/>
      <c r="X28" s="177"/>
      <c r="Y28" s="177"/>
      <c r="Z28" s="177"/>
      <c r="AA28" s="177"/>
      <c r="AB28" s="177"/>
      <c r="AC28" s="177"/>
      <c r="AD28" s="177"/>
    </row>
    <row r="29" spans="1:30" s="55" customFormat="1" ht="19.149999999999999" customHeight="1" x14ac:dyDescent="0.2">
      <c r="A29" s="177"/>
      <c r="B29" s="177"/>
      <c r="C29" s="177"/>
      <c r="D29" s="177"/>
      <c r="E29" s="56">
        <v>13</v>
      </c>
      <c r="F29" s="63"/>
      <c r="G29" s="25">
        <v>45811</v>
      </c>
      <c r="H29" s="58">
        <v>5000</v>
      </c>
      <c r="I29" s="59">
        <v>622.41</v>
      </c>
      <c r="J29" s="60">
        <f t="shared" si="0"/>
        <v>5622.41</v>
      </c>
      <c r="K29" s="56" t="s">
        <v>31</v>
      </c>
      <c r="L29" s="162" t="s">
        <v>36</v>
      </c>
      <c r="M29" s="61" t="s">
        <v>160</v>
      </c>
      <c r="N29" s="62">
        <v>12.4</v>
      </c>
      <c r="O29" s="177"/>
      <c r="P29" s="22">
        <v>46600</v>
      </c>
      <c r="Q29" s="105">
        <f t="shared" si="1"/>
        <v>0</v>
      </c>
      <c r="R29" s="107"/>
      <c r="S29" s="107"/>
      <c r="T29" s="107"/>
      <c r="U29" s="107"/>
      <c r="V29" s="177"/>
      <c r="W29" s="177"/>
      <c r="X29" s="177"/>
      <c r="Y29" s="177"/>
      <c r="Z29" s="177"/>
      <c r="AA29" s="177"/>
      <c r="AB29" s="177"/>
      <c r="AC29" s="177"/>
      <c r="AD29" s="177"/>
    </row>
    <row r="30" spans="1:30" s="55" customFormat="1" ht="19.149999999999999" customHeight="1" x14ac:dyDescent="0.2">
      <c r="A30" s="144" t="s">
        <v>161</v>
      </c>
      <c r="B30" s="144" t="s">
        <v>162</v>
      </c>
      <c r="C30" s="144" t="s">
        <v>163</v>
      </c>
      <c r="D30" s="177"/>
      <c r="E30" s="56">
        <v>24</v>
      </c>
      <c r="F30" s="63">
        <v>46145</v>
      </c>
      <c r="G30" s="25"/>
      <c r="H30" s="58">
        <v>5000</v>
      </c>
      <c r="I30" s="59">
        <v>1251.93</v>
      </c>
      <c r="J30" s="60">
        <f t="shared" si="0"/>
        <v>6251.93</v>
      </c>
      <c r="K30" s="56" t="str">
        <f ca="1">IF(F30&lt;=TODAY(),"Check!","Waiting")</f>
        <v>Waiting</v>
      </c>
      <c r="L30" s="100"/>
      <c r="M30" s="61" t="s">
        <v>164</v>
      </c>
      <c r="N30" s="62">
        <v>13.7</v>
      </c>
      <c r="O30" s="177"/>
      <c r="P30" s="22">
        <v>46631</v>
      </c>
      <c r="Q30" s="105">
        <f t="shared" si="1"/>
        <v>13216.119999999999</v>
      </c>
      <c r="R30" s="107"/>
      <c r="S30" s="107"/>
      <c r="T30" s="107"/>
      <c r="U30" s="107"/>
      <c r="V30" s="177"/>
      <c r="W30" s="177"/>
      <c r="X30" s="177"/>
      <c r="Y30" s="177"/>
      <c r="Z30" s="177"/>
      <c r="AA30" s="177"/>
      <c r="AB30" s="177"/>
      <c r="AC30" s="177"/>
      <c r="AD30" s="177"/>
    </row>
    <row r="31" spans="1:30" s="55" customFormat="1" ht="19.149999999999999" customHeight="1" x14ac:dyDescent="0.2">
      <c r="A31" s="143">
        <f>SUMIFS(H2:H167,G2:G167,"&lt;&gt;")</f>
        <v>240000</v>
      </c>
      <c r="B31" s="143">
        <f>SUMIFS(I2:I167,G2:G167,"&lt;&gt;")</f>
        <v>29150.259999999995</v>
      </c>
      <c r="C31" s="143">
        <f>A31+B31</f>
        <v>269150.26</v>
      </c>
      <c r="D31" s="177"/>
      <c r="E31" s="56">
        <v>9</v>
      </c>
      <c r="F31" s="63"/>
      <c r="G31" s="25">
        <v>45753</v>
      </c>
      <c r="H31" s="58">
        <v>5000</v>
      </c>
      <c r="I31" s="59">
        <v>341.49</v>
      </c>
      <c r="J31" s="60">
        <f t="shared" si="0"/>
        <v>5341.49</v>
      </c>
      <c r="K31" s="56" t="s">
        <v>31</v>
      </c>
      <c r="L31" s="100"/>
      <c r="M31" s="61" t="s">
        <v>165</v>
      </c>
      <c r="N31" s="62">
        <v>14.6</v>
      </c>
      <c r="O31" s="177"/>
      <c r="P31" s="22">
        <v>46661</v>
      </c>
      <c r="Q31" s="105">
        <f t="shared" si="1"/>
        <v>0</v>
      </c>
      <c r="R31" s="107"/>
      <c r="S31" s="107"/>
      <c r="T31" s="107"/>
      <c r="U31" s="107"/>
      <c r="V31" s="177"/>
      <c r="W31" s="177"/>
      <c r="X31" s="177"/>
      <c r="Y31" s="177"/>
      <c r="Z31" s="177"/>
      <c r="AA31" s="177"/>
      <c r="AB31" s="177"/>
      <c r="AC31" s="177"/>
      <c r="AD31" s="177"/>
    </row>
    <row r="32" spans="1:30" s="55" customFormat="1" ht="19.149999999999999" customHeight="1" x14ac:dyDescent="0.2">
      <c r="A32" s="221" t="s">
        <v>163</v>
      </c>
      <c r="B32" s="221"/>
      <c r="C32" s="221"/>
      <c r="D32" s="177"/>
      <c r="E32" s="56">
        <v>18</v>
      </c>
      <c r="F32" s="63">
        <v>46196</v>
      </c>
      <c r="G32" s="25"/>
      <c r="H32" s="58">
        <v>20000</v>
      </c>
      <c r="I32" s="59">
        <v>2154.87</v>
      </c>
      <c r="J32" s="60">
        <f t="shared" si="0"/>
        <v>22154.87</v>
      </c>
      <c r="K32" s="56" t="str">
        <f t="shared" ref="K32:K40" ca="1" si="2">IF(F32&lt;=TODAY(),"Check!","Waiting")</f>
        <v>Waiting</v>
      </c>
      <c r="L32" s="100"/>
      <c r="M32" s="61" t="s">
        <v>166</v>
      </c>
      <c r="N32" s="62">
        <v>14.3</v>
      </c>
      <c r="O32" s="177"/>
      <c r="P32" s="22">
        <v>46692</v>
      </c>
      <c r="Q32" s="105">
        <f t="shared" si="1"/>
        <v>26053.940000000002</v>
      </c>
      <c r="R32" s="107"/>
      <c r="S32" s="107"/>
      <c r="T32" s="107"/>
      <c r="U32" s="107"/>
      <c r="V32" s="177"/>
      <c r="W32" s="177"/>
      <c r="X32" s="177"/>
      <c r="Y32" s="177"/>
      <c r="Z32" s="177"/>
      <c r="AA32" s="177"/>
      <c r="AB32" s="177"/>
      <c r="AC32" s="177"/>
      <c r="AD32" s="177"/>
    </row>
    <row r="33" spans="1:30" s="55" customFormat="1" ht="19.149999999999999" customHeight="1" x14ac:dyDescent="0.2">
      <c r="A33" s="220" t="s">
        <v>167</v>
      </c>
      <c r="B33" s="220"/>
      <c r="C33" s="220"/>
      <c r="D33" s="177"/>
      <c r="E33" s="56">
        <v>30</v>
      </c>
      <c r="F33" s="63">
        <v>46110</v>
      </c>
      <c r="G33" s="25"/>
      <c r="H33" s="58">
        <v>8000</v>
      </c>
      <c r="I33" s="59">
        <v>2571.94</v>
      </c>
      <c r="J33" s="60">
        <f t="shared" si="0"/>
        <v>10571.94</v>
      </c>
      <c r="K33" s="56" t="str">
        <f t="shared" ca="1" si="2"/>
        <v>Waiting</v>
      </c>
      <c r="L33" s="100"/>
      <c r="M33" s="61" t="s">
        <v>168</v>
      </c>
      <c r="N33" s="62">
        <v>14</v>
      </c>
      <c r="O33" s="177"/>
      <c r="P33" s="22">
        <v>46722</v>
      </c>
      <c r="Q33" s="105">
        <f t="shared" si="1"/>
        <v>13045.67</v>
      </c>
      <c r="R33" s="107"/>
      <c r="S33" s="107"/>
      <c r="T33" s="107"/>
      <c r="U33" s="107"/>
      <c r="V33" s="177"/>
      <c r="W33" s="177"/>
      <c r="X33" s="177"/>
      <c r="Y33" s="177"/>
      <c r="Z33" s="177"/>
      <c r="AA33" s="177"/>
      <c r="AB33" s="177"/>
      <c r="AC33" s="177"/>
      <c r="AD33" s="177"/>
    </row>
    <row r="34" spans="1:30" s="55" customFormat="1" ht="19.149999999999999" customHeight="1" x14ac:dyDescent="0.2">
      <c r="A34" s="220" t="s">
        <v>169</v>
      </c>
      <c r="B34" s="220"/>
      <c r="C34" s="220"/>
      <c r="D34" s="177"/>
      <c r="E34" s="56">
        <v>12</v>
      </c>
      <c r="F34" s="63">
        <v>46021</v>
      </c>
      <c r="G34" s="25"/>
      <c r="H34" s="58">
        <v>4000</v>
      </c>
      <c r="I34" s="59">
        <v>396.34</v>
      </c>
      <c r="J34" s="60">
        <f t="shared" ref="J34:J40" si="3">SUM(H34:I34)</f>
        <v>4396.34</v>
      </c>
      <c r="K34" s="56" t="str">
        <f t="shared" ca="1" si="2"/>
        <v>Waiting</v>
      </c>
      <c r="L34" s="100"/>
      <c r="M34" s="61" t="s">
        <v>170</v>
      </c>
      <c r="N34" s="62">
        <v>11.1</v>
      </c>
      <c r="O34" s="177"/>
      <c r="P34" s="22">
        <v>46753</v>
      </c>
      <c r="Q34" s="105">
        <f t="shared" si="1"/>
        <v>0</v>
      </c>
      <c r="R34" s="107"/>
      <c r="S34" s="107"/>
      <c r="T34" s="107"/>
      <c r="U34" s="107"/>
      <c r="V34" s="177"/>
      <c r="W34" s="177"/>
      <c r="X34" s="177"/>
      <c r="Y34" s="177"/>
      <c r="Z34" s="177"/>
      <c r="AA34" s="177"/>
      <c r="AB34" s="177"/>
      <c r="AC34" s="177"/>
      <c r="AD34" s="177"/>
    </row>
    <row r="35" spans="1:30" s="55" customFormat="1" ht="19.149999999999999" customHeight="1" x14ac:dyDescent="0.2">
      <c r="A35" s="220" t="s">
        <v>171</v>
      </c>
      <c r="B35" s="220"/>
      <c r="C35" s="220"/>
      <c r="D35" s="177"/>
      <c r="E35" s="56">
        <v>9</v>
      </c>
      <c r="F35" s="63"/>
      <c r="G35" s="25">
        <v>45901</v>
      </c>
      <c r="H35" s="58">
        <v>5000</v>
      </c>
      <c r="I35" s="59">
        <v>532.94000000000005</v>
      </c>
      <c r="J35" s="60">
        <f t="shared" si="3"/>
        <v>5532.9400000000005</v>
      </c>
      <c r="K35" s="56" t="s">
        <v>31</v>
      </c>
      <c r="L35" s="162" t="s">
        <v>172</v>
      </c>
      <c r="M35" s="61" t="s">
        <v>173</v>
      </c>
      <c r="N35" s="62">
        <v>18.3</v>
      </c>
      <c r="O35" s="177"/>
      <c r="P35" s="22">
        <v>46784</v>
      </c>
      <c r="Q35" s="105">
        <f t="shared" si="1"/>
        <v>13760.06</v>
      </c>
      <c r="R35" s="107"/>
      <c r="S35" s="107"/>
      <c r="T35" s="107"/>
      <c r="U35" s="107"/>
      <c r="V35" s="177"/>
      <c r="W35" s="177"/>
      <c r="X35" s="177"/>
      <c r="Y35" s="177"/>
      <c r="Z35" s="177"/>
      <c r="AA35" s="177"/>
      <c r="AB35" s="177"/>
      <c r="AC35" s="177"/>
      <c r="AD35" s="177"/>
    </row>
    <row r="36" spans="1:30" s="55" customFormat="1" ht="19.149999999999999" customHeight="1" x14ac:dyDescent="0.2">
      <c r="A36" s="220" t="s">
        <v>174</v>
      </c>
      <c r="B36" s="220"/>
      <c r="C36" s="220"/>
      <c r="D36" s="177"/>
      <c r="E36" s="56">
        <v>26</v>
      </c>
      <c r="F36" s="63">
        <v>46453</v>
      </c>
      <c r="G36" s="25"/>
      <c r="H36" s="58">
        <v>5000</v>
      </c>
      <c r="I36" s="59">
        <v>1518.87</v>
      </c>
      <c r="J36" s="60">
        <f t="shared" si="3"/>
        <v>6518.87</v>
      </c>
      <c r="K36" s="56" t="str">
        <f t="shared" ca="1" si="2"/>
        <v>Waiting</v>
      </c>
      <c r="L36" s="100"/>
      <c r="M36" s="61" t="s">
        <v>175</v>
      </c>
      <c r="N36" s="62">
        <v>15.2</v>
      </c>
      <c r="O36" s="177"/>
      <c r="P36" s="22">
        <v>46813</v>
      </c>
      <c r="Q36" s="105">
        <f t="shared" si="1"/>
        <v>34726.230000000003</v>
      </c>
      <c r="R36" s="107"/>
      <c r="S36" s="107"/>
      <c r="T36" s="107"/>
      <c r="U36" s="107"/>
      <c r="V36" s="177"/>
      <c r="W36" s="177"/>
      <c r="X36" s="177"/>
      <c r="Y36" s="177"/>
      <c r="Z36" s="177"/>
      <c r="AA36" s="177"/>
      <c r="AB36" s="177"/>
      <c r="AC36" s="177"/>
      <c r="AD36" s="177"/>
    </row>
    <row r="37" spans="1:30" s="55" customFormat="1" ht="19.149999999999999" customHeight="1" x14ac:dyDescent="0.2">
      <c r="A37" s="220" t="s">
        <v>176</v>
      </c>
      <c r="B37" s="220"/>
      <c r="C37" s="220"/>
      <c r="D37" s="177"/>
      <c r="E37" s="56">
        <v>23</v>
      </c>
      <c r="F37" s="63">
        <v>46448</v>
      </c>
      <c r="G37" s="25"/>
      <c r="H37" s="58">
        <v>10000</v>
      </c>
      <c r="I37" s="59">
        <v>2583.52</v>
      </c>
      <c r="J37" s="60">
        <f t="shared" si="3"/>
        <v>12583.52</v>
      </c>
      <c r="K37" s="56" t="str">
        <f t="shared" ca="1" si="2"/>
        <v>Waiting</v>
      </c>
      <c r="L37" s="100"/>
      <c r="M37" s="61" t="s">
        <v>177</v>
      </c>
      <c r="N37" s="62">
        <v>14.6</v>
      </c>
      <c r="O37" s="177"/>
      <c r="P37" s="22">
        <v>46844</v>
      </c>
      <c r="Q37" s="105">
        <f t="shared" si="1"/>
        <v>0</v>
      </c>
      <c r="R37" s="107"/>
      <c r="S37" s="107"/>
      <c r="T37" s="107"/>
      <c r="U37" s="107"/>
      <c r="V37" s="177"/>
      <c r="W37" s="177"/>
      <c r="X37" s="177"/>
      <c r="Y37" s="177"/>
      <c r="Z37" s="177"/>
      <c r="AA37" s="177"/>
      <c r="AB37" s="177"/>
      <c r="AC37" s="177"/>
      <c r="AD37" s="177"/>
    </row>
    <row r="38" spans="1:30" s="55" customFormat="1" ht="19.149999999999999" customHeight="1" x14ac:dyDescent="0.2">
      <c r="A38" s="231"/>
      <c r="B38" s="231"/>
      <c r="C38" s="231"/>
      <c r="D38" s="177"/>
      <c r="E38" s="56">
        <v>13</v>
      </c>
      <c r="F38" s="63">
        <v>46145</v>
      </c>
      <c r="G38" s="25"/>
      <c r="H38" s="58">
        <v>5000</v>
      </c>
      <c r="I38" s="59">
        <v>673.33</v>
      </c>
      <c r="J38" s="60">
        <f t="shared" si="3"/>
        <v>5673.33</v>
      </c>
      <c r="K38" s="56" t="str">
        <f t="shared" ca="1" si="2"/>
        <v>Waiting</v>
      </c>
      <c r="L38" s="100"/>
      <c r="M38" s="61" t="s">
        <v>178</v>
      </c>
      <c r="N38" s="62">
        <v>13.6</v>
      </c>
      <c r="O38" s="177"/>
      <c r="P38" s="22">
        <v>46874</v>
      </c>
      <c r="Q38" s="105">
        <f t="shared" si="1"/>
        <v>7441.1900000000005</v>
      </c>
      <c r="R38" s="107"/>
      <c r="S38" s="107"/>
      <c r="T38" s="107"/>
      <c r="U38" s="107"/>
      <c r="V38" s="177"/>
      <c r="W38" s="177"/>
      <c r="X38" s="177"/>
      <c r="Y38" s="177"/>
      <c r="Z38" s="177"/>
      <c r="AA38" s="177"/>
      <c r="AB38" s="177"/>
      <c r="AC38" s="177"/>
      <c r="AD38" s="177"/>
    </row>
    <row r="39" spans="1:30" s="55" customFormat="1" ht="19.149999999999999" customHeight="1" x14ac:dyDescent="0.2">
      <c r="A39" s="220" t="s">
        <v>37</v>
      </c>
      <c r="B39" s="220"/>
      <c r="C39" s="220"/>
      <c r="D39" s="177"/>
      <c r="E39" s="56">
        <v>27</v>
      </c>
      <c r="F39" s="63">
        <v>46575</v>
      </c>
      <c r="G39" s="25"/>
      <c r="H39" s="58">
        <v>10000</v>
      </c>
      <c r="I39" s="59">
        <v>2885.89</v>
      </c>
      <c r="J39" s="60">
        <f t="shared" si="3"/>
        <v>12885.89</v>
      </c>
      <c r="K39" s="56" t="str">
        <f t="shared" ca="1" si="2"/>
        <v>Waiting</v>
      </c>
      <c r="L39" s="100"/>
      <c r="M39" s="61" t="s">
        <v>179</v>
      </c>
      <c r="N39" s="62">
        <v>14</v>
      </c>
      <c r="O39" s="177"/>
      <c r="P39" s="22">
        <v>46905</v>
      </c>
      <c r="Q39" s="105">
        <f t="shared" si="1"/>
        <v>0</v>
      </c>
      <c r="R39" s="107"/>
      <c r="S39" s="107"/>
      <c r="T39" s="107"/>
      <c r="U39" s="107"/>
      <c r="V39" s="177"/>
      <c r="W39" s="177"/>
      <c r="X39" s="177"/>
      <c r="Y39" s="177"/>
      <c r="Z39" s="177"/>
      <c r="AA39" s="177"/>
      <c r="AB39" s="177"/>
      <c r="AC39" s="177"/>
      <c r="AD39" s="177"/>
    </row>
    <row r="40" spans="1:30" s="55" customFormat="1" ht="19.149999999999999" customHeight="1" x14ac:dyDescent="0.2">
      <c r="A40" s="220" t="s">
        <v>38</v>
      </c>
      <c r="B40" s="220"/>
      <c r="C40" s="220"/>
      <c r="D40" s="177"/>
      <c r="E40" s="56">
        <v>19</v>
      </c>
      <c r="F40" s="63">
        <v>46348</v>
      </c>
      <c r="G40" s="25"/>
      <c r="H40" s="58">
        <v>10000</v>
      </c>
      <c r="I40" s="59">
        <v>2083.62</v>
      </c>
      <c r="J40" s="60">
        <f t="shared" si="3"/>
        <v>12083.619999999999</v>
      </c>
      <c r="K40" s="56" t="str">
        <f t="shared" ca="1" si="2"/>
        <v>Waiting</v>
      </c>
      <c r="L40" s="100"/>
      <c r="M40" s="61" t="s">
        <v>180</v>
      </c>
      <c r="N40" s="62">
        <v>14.2</v>
      </c>
      <c r="O40" s="177"/>
      <c r="P40" s="22">
        <v>46935</v>
      </c>
      <c r="Q40" s="105">
        <f t="shared" si="1"/>
        <v>0</v>
      </c>
      <c r="R40" s="107"/>
      <c r="S40" s="107"/>
      <c r="T40" s="107"/>
      <c r="U40" s="107"/>
      <c r="V40" s="177"/>
      <c r="W40" s="177"/>
      <c r="X40" s="177"/>
      <c r="Y40" s="177"/>
      <c r="Z40" s="177"/>
      <c r="AA40" s="177"/>
      <c r="AB40" s="177"/>
      <c r="AC40" s="177"/>
      <c r="AD40" s="177"/>
    </row>
    <row r="41" spans="1:30" s="55" customFormat="1" ht="19.149999999999999" customHeight="1" x14ac:dyDescent="0.2">
      <c r="A41" s="221" t="s">
        <v>163</v>
      </c>
      <c r="B41" s="221"/>
      <c r="C41" s="221"/>
      <c r="D41" s="177"/>
      <c r="E41" s="56">
        <v>31</v>
      </c>
      <c r="F41" s="63">
        <v>46729</v>
      </c>
      <c r="G41" s="25"/>
      <c r="H41" s="58">
        <v>10000</v>
      </c>
      <c r="I41" s="59">
        <v>3045.67</v>
      </c>
      <c r="J41" s="60">
        <f t="shared" ref="J41:J42" si="4">SUM(H41:I41)</f>
        <v>13045.67</v>
      </c>
      <c r="K41" s="56" t="str">
        <f t="shared" ref="K41:K42" ca="1" si="5">IF(F41&lt;=TODAY(),"Check!","Waiting")</f>
        <v>Waiting</v>
      </c>
      <c r="L41" s="100"/>
      <c r="M41" s="61" t="s">
        <v>181</v>
      </c>
      <c r="N41" s="62">
        <v>12.9</v>
      </c>
      <c r="O41" s="177"/>
      <c r="P41" s="22">
        <v>46966</v>
      </c>
      <c r="Q41" s="105">
        <f t="shared" si="1"/>
        <v>0</v>
      </c>
      <c r="R41" s="107"/>
      <c r="S41" s="107"/>
      <c r="T41" s="107"/>
      <c r="U41" s="107"/>
      <c r="V41" s="177"/>
      <c r="W41" s="177"/>
      <c r="X41" s="177"/>
      <c r="Y41" s="177"/>
      <c r="Z41" s="177"/>
      <c r="AA41" s="177"/>
      <c r="AB41" s="177"/>
      <c r="AC41" s="177"/>
      <c r="AD41" s="177"/>
    </row>
    <row r="42" spans="1:30" s="55" customFormat="1" ht="19.149999999999999" customHeight="1" x14ac:dyDescent="0.2">
      <c r="A42" s="221" t="s">
        <v>163</v>
      </c>
      <c r="B42" s="221"/>
      <c r="C42" s="221"/>
      <c r="D42" s="177"/>
      <c r="E42" s="56">
        <v>24</v>
      </c>
      <c r="F42" s="63">
        <v>46700</v>
      </c>
      <c r="G42" s="25"/>
      <c r="H42" s="58">
        <v>10000</v>
      </c>
      <c r="I42" s="59">
        <v>2804.06</v>
      </c>
      <c r="J42" s="60">
        <f t="shared" si="4"/>
        <v>12804.06</v>
      </c>
      <c r="K42" s="56" t="str">
        <f t="shared" ca="1" si="5"/>
        <v>Waiting</v>
      </c>
      <c r="L42" s="100"/>
      <c r="M42" s="61" t="s">
        <v>182</v>
      </c>
      <c r="N42" s="62">
        <v>15.17</v>
      </c>
      <c r="O42" s="177"/>
      <c r="P42" s="22">
        <v>46997</v>
      </c>
      <c r="Q42" s="105">
        <f t="shared" si="1"/>
        <v>27780</v>
      </c>
      <c r="R42" s="107"/>
      <c r="S42" s="107"/>
      <c r="T42" s="107"/>
      <c r="U42" s="107"/>
      <c r="V42" s="177"/>
      <c r="W42" s="177"/>
      <c r="X42" s="177"/>
      <c r="Y42" s="177"/>
      <c r="Z42" s="177"/>
      <c r="AA42" s="177"/>
      <c r="AB42" s="177"/>
      <c r="AC42" s="177"/>
      <c r="AD42" s="177"/>
    </row>
    <row r="43" spans="1:30" s="55" customFormat="1" ht="19.149999999999999" customHeight="1" x14ac:dyDescent="0.2">
      <c r="A43" s="107"/>
      <c r="B43" s="107"/>
      <c r="C43" s="177"/>
      <c r="D43" s="177"/>
      <c r="E43" s="56">
        <v>34</v>
      </c>
      <c r="F43" s="63">
        <v>47008</v>
      </c>
      <c r="G43" s="25"/>
      <c r="H43" s="58">
        <v>20000</v>
      </c>
      <c r="I43" s="59">
        <v>7780</v>
      </c>
      <c r="J43" s="60">
        <f t="shared" ref="J43" si="6">SUM(H43:I43)</f>
        <v>27780</v>
      </c>
      <c r="K43" s="56" t="str">
        <f t="shared" ref="K43" ca="1" si="7">IF(F43&lt;=TODAY(),"Check!","Waiting")</f>
        <v>Waiting</v>
      </c>
      <c r="L43" s="100"/>
      <c r="M43" s="61" t="s">
        <v>183</v>
      </c>
      <c r="N43" s="62">
        <v>14.9</v>
      </c>
      <c r="O43" s="177"/>
      <c r="P43" s="22">
        <v>47027</v>
      </c>
      <c r="Q43" s="105">
        <f t="shared" si="1"/>
        <v>0</v>
      </c>
      <c r="R43" s="107"/>
      <c r="S43" s="107"/>
      <c r="T43" s="107"/>
      <c r="U43" s="107"/>
      <c r="V43" s="177"/>
      <c r="W43" s="177"/>
      <c r="X43" s="177"/>
      <c r="Y43" s="177"/>
      <c r="Z43" s="177"/>
      <c r="AA43" s="177"/>
      <c r="AB43" s="177"/>
      <c r="AC43" s="177"/>
      <c r="AD43" s="177"/>
    </row>
    <row r="44" spans="1:30" s="55" customFormat="1" ht="19.149999999999999" customHeight="1" x14ac:dyDescent="0.2">
      <c r="A44" s="74"/>
      <c r="B44" s="74"/>
      <c r="C44" s="74"/>
      <c r="D44" s="177"/>
      <c r="E44" s="56"/>
      <c r="F44" s="63"/>
      <c r="G44" s="25"/>
      <c r="H44" s="58"/>
      <c r="I44" s="59"/>
      <c r="J44" s="60"/>
      <c r="K44" s="56"/>
      <c r="L44" s="100"/>
      <c r="M44" s="61"/>
      <c r="N44" s="62"/>
      <c r="O44" s="177"/>
      <c r="P44" s="22">
        <v>47058</v>
      </c>
      <c r="Q44" s="105">
        <f t="shared" si="1"/>
        <v>0</v>
      </c>
      <c r="R44" s="107"/>
      <c r="S44" s="107"/>
      <c r="T44" s="107"/>
      <c r="U44" s="107"/>
      <c r="V44" s="177"/>
      <c r="W44" s="177"/>
      <c r="X44" s="177"/>
      <c r="Y44" s="177"/>
      <c r="Z44" s="177"/>
      <c r="AA44" s="177"/>
      <c r="AB44" s="177"/>
      <c r="AC44" s="177"/>
      <c r="AD44" s="177"/>
    </row>
    <row r="45" spans="1:30" s="55" customFormat="1" ht="19.149999999999999" customHeight="1" x14ac:dyDescent="0.2">
      <c r="A45" s="220"/>
      <c r="B45" s="220"/>
      <c r="C45" s="220"/>
      <c r="D45" s="177"/>
      <c r="E45" s="56"/>
      <c r="F45" s="63"/>
      <c r="G45" s="25"/>
      <c r="H45" s="58"/>
      <c r="I45" s="59"/>
      <c r="J45" s="60"/>
      <c r="K45" s="56"/>
      <c r="L45" s="100"/>
      <c r="M45" s="61"/>
      <c r="N45" s="62"/>
      <c r="O45" s="177"/>
      <c r="P45" s="22">
        <v>47088</v>
      </c>
      <c r="Q45" s="105">
        <f t="shared" si="1"/>
        <v>0</v>
      </c>
      <c r="R45" s="107"/>
      <c r="S45" s="107"/>
      <c r="T45" s="107"/>
      <c r="U45" s="107"/>
      <c r="V45" s="177"/>
      <c r="W45" s="177"/>
      <c r="X45" s="177"/>
      <c r="Y45" s="177"/>
      <c r="Z45" s="177"/>
      <c r="AA45" s="177"/>
      <c r="AB45" s="177"/>
      <c r="AC45" s="177"/>
      <c r="AD45" s="177"/>
    </row>
    <row r="46" spans="1:30" s="55" customFormat="1" ht="19.149999999999999" customHeight="1" x14ac:dyDescent="0.2">
      <c r="A46" s="220"/>
      <c r="B46" s="220"/>
      <c r="C46" s="220"/>
      <c r="D46" s="177"/>
      <c r="E46" s="56"/>
      <c r="F46" s="63"/>
      <c r="G46" s="25"/>
      <c r="H46" s="58"/>
      <c r="I46" s="59"/>
      <c r="J46" s="60"/>
      <c r="K46" s="56"/>
      <c r="L46" s="100"/>
      <c r="M46" s="61"/>
      <c r="N46" s="62"/>
      <c r="O46" s="177"/>
      <c r="P46" s="22">
        <v>47119</v>
      </c>
      <c r="Q46" s="105">
        <f t="shared" si="1"/>
        <v>0</v>
      </c>
      <c r="R46" s="107"/>
      <c r="S46" s="107"/>
      <c r="T46" s="107"/>
      <c r="U46" s="107"/>
      <c r="V46" s="177"/>
      <c r="W46" s="177"/>
      <c r="X46" s="177"/>
      <c r="Y46" s="177"/>
      <c r="Z46" s="177"/>
      <c r="AA46" s="177"/>
      <c r="AB46" s="177"/>
      <c r="AC46" s="177"/>
      <c r="AD46" s="177"/>
    </row>
    <row r="47" spans="1:30" s="55" customFormat="1" ht="19.149999999999999" customHeight="1" x14ac:dyDescent="0.2">
      <c r="A47" s="220"/>
      <c r="B47" s="220"/>
      <c r="C47" s="220"/>
      <c r="D47" s="177"/>
      <c r="E47" s="56"/>
      <c r="F47" s="63"/>
      <c r="G47" s="25"/>
      <c r="H47" s="58"/>
      <c r="I47" s="59"/>
      <c r="J47" s="60"/>
      <c r="K47" s="56"/>
      <c r="L47" s="100"/>
      <c r="M47" s="61"/>
      <c r="N47" s="62"/>
      <c r="O47" s="177"/>
      <c r="P47" s="22">
        <v>47150</v>
      </c>
      <c r="Q47" s="105">
        <f t="shared" si="1"/>
        <v>0</v>
      </c>
      <c r="R47" s="107"/>
      <c r="S47" s="107"/>
      <c r="T47" s="107"/>
      <c r="U47" s="107"/>
      <c r="V47" s="177"/>
      <c r="W47" s="177"/>
      <c r="X47" s="177"/>
      <c r="Y47" s="177"/>
      <c r="Z47" s="177"/>
      <c r="AA47" s="177"/>
      <c r="AB47" s="177"/>
      <c r="AC47" s="177"/>
      <c r="AD47" s="177"/>
    </row>
    <row r="48" spans="1:30" s="55" customFormat="1" ht="19.149999999999999" customHeight="1" x14ac:dyDescent="0.2">
      <c r="A48" s="220"/>
      <c r="B48" s="220"/>
      <c r="C48" s="220"/>
      <c r="D48" s="177"/>
      <c r="E48" s="56"/>
      <c r="F48" s="63"/>
      <c r="G48" s="25"/>
      <c r="H48" s="58"/>
      <c r="I48" s="59"/>
      <c r="J48" s="60"/>
      <c r="K48" s="56"/>
      <c r="L48" s="100"/>
      <c r="M48" s="61"/>
      <c r="N48" s="62"/>
      <c r="O48" s="177"/>
      <c r="P48" s="22">
        <v>47178</v>
      </c>
      <c r="Q48" s="105">
        <f t="shared" si="1"/>
        <v>0</v>
      </c>
      <c r="R48" s="107"/>
      <c r="S48" s="107"/>
      <c r="T48" s="107"/>
      <c r="U48" s="107"/>
      <c r="V48" s="177"/>
      <c r="W48" s="177"/>
      <c r="X48" s="177"/>
      <c r="Y48" s="177"/>
      <c r="Z48" s="177"/>
      <c r="AA48" s="177"/>
      <c r="AB48" s="177"/>
      <c r="AC48" s="177"/>
      <c r="AD48" s="177"/>
    </row>
    <row r="49" spans="1:30" s="55" customFormat="1" ht="19.149999999999999" customHeight="1" x14ac:dyDescent="0.2">
      <c r="A49" s="220"/>
      <c r="B49" s="220"/>
      <c r="C49" s="220"/>
      <c r="D49" s="177"/>
      <c r="E49" s="56"/>
      <c r="F49" s="63"/>
      <c r="G49" s="25"/>
      <c r="H49" s="58"/>
      <c r="I49" s="59"/>
      <c r="J49" s="60"/>
      <c r="K49" s="56"/>
      <c r="L49" s="100"/>
      <c r="M49" s="61"/>
      <c r="N49" s="62"/>
      <c r="O49" s="177"/>
      <c r="P49" s="22">
        <v>47209</v>
      </c>
      <c r="Q49" s="105">
        <f t="shared" si="1"/>
        <v>0</v>
      </c>
      <c r="R49" s="107"/>
      <c r="S49" s="107"/>
      <c r="T49" s="107"/>
      <c r="U49" s="107"/>
      <c r="V49" s="177"/>
      <c r="W49" s="177"/>
      <c r="X49" s="177"/>
      <c r="Y49" s="177"/>
      <c r="Z49" s="177"/>
      <c r="AA49" s="177"/>
      <c r="AB49" s="177"/>
      <c r="AC49" s="177"/>
      <c r="AD49" s="177"/>
    </row>
    <row r="50" spans="1:30" s="55" customFormat="1" ht="19.149999999999999" customHeight="1" x14ac:dyDescent="0.2">
      <c r="A50" s="231"/>
      <c r="B50" s="231"/>
      <c r="C50" s="231"/>
      <c r="D50" s="177"/>
      <c r="E50" s="56"/>
      <c r="F50" s="63"/>
      <c r="G50" s="25"/>
      <c r="H50" s="58"/>
      <c r="I50" s="59"/>
      <c r="J50" s="60"/>
      <c r="K50" s="56"/>
      <c r="L50" s="100"/>
      <c r="M50" s="61"/>
      <c r="N50" s="62"/>
      <c r="O50" s="177"/>
      <c r="P50" s="22">
        <v>47239</v>
      </c>
      <c r="Q50" s="105">
        <f t="shared" si="1"/>
        <v>0</v>
      </c>
      <c r="R50" s="107"/>
      <c r="S50" s="107"/>
      <c r="T50" s="107"/>
      <c r="U50" s="107"/>
      <c r="V50" s="177"/>
      <c r="W50" s="177"/>
      <c r="X50" s="177"/>
      <c r="Y50" s="177"/>
      <c r="Z50" s="177"/>
      <c r="AA50" s="177"/>
      <c r="AB50" s="177"/>
      <c r="AC50" s="177"/>
      <c r="AD50" s="177"/>
    </row>
    <row r="51" spans="1:30" s="55" customFormat="1" ht="19.149999999999999" customHeight="1" x14ac:dyDescent="0.2">
      <c r="A51" s="220"/>
      <c r="B51" s="220"/>
      <c r="C51" s="220"/>
      <c r="D51" s="177"/>
      <c r="E51" s="56"/>
      <c r="F51" s="63"/>
      <c r="G51" s="25"/>
      <c r="H51" s="58"/>
      <c r="I51" s="59"/>
      <c r="J51" s="60"/>
      <c r="K51" s="56"/>
      <c r="L51" s="100"/>
      <c r="M51" s="61"/>
      <c r="N51" s="62"/>
      <c r="O51" s="177"/>
      <c r="P51" s="22">
        <v>47270</v>
      </c>
      <c r="Q51" s="105">
        <f t="shared" si="1"/>
        <v>0</v>
      </c>
      <c r="R51" s="107"/>
      <c r="S51" s="107"/>
      <c r="T51" s="107"/>
      <c r="U51" s="107"/>
      <c r="V51" s="177"/>
      <c r="W51" s="177"/>
      <c r="X51" s="177"/>
      <c r="Y51" s="177"/>
      <c r="Z51" s="177"/>
      <c r="AA51" s="177"/>
      <c r="AB51" s="177"/>
      <c r="AC51" s="177"/>
      <c r="AD51" s="177"/>
    </row>
    <row r="52" spans="1:30" s="55" customFormat="1" ht="19.149999999999999" customHeight="1" x14ac:dyDescent="0.2">
      <c r="A52" s="220"/>
      <c r="B52" s="220"/>
      <c r="C52" s="220"/>
      <c r="D52" s="177"/>
      <c r="E52" s="56"/>
      <c r="F52" s="63"/>
      <c r="G52" s="25"/>
      <c r="H52" s="58"/>
      <c r="I52" s="59"/>
      <c r="J52" s="60"/>
      <c r="K52" s="56"/>
      <c r="L52" s="100"/>
      <c r="M52" s="61"/>
      <c r="N52" s="62"/>
      <c r="O52" s="177"/>
      <c r="P52" s="22">
        <v>47300</v>
      </c>
      <c r="Q52" s="105">
        <f t="shared" si="1"/>
        <v>0</v>
      </c>
      <c r="R52" s="107"/>
      <c r="S52" s="107"/>
      <c r="T52" s="107"/>
      <c r="U52" s="107"/>
      <c r="V52" s="177"/>
      <c r="W52" s="177"/>
      <c r="X52" s="177"/>
      <c r="Y52" s="177"/>
      <c r="Z52" s="177"/>
      <c r="AA52" s="177"/>
      <c r="AB52" s="177"/>
      <c r="AC52" s="177"/>
      <c r="AD52" s="177"/>
    </row>
    <row r="53" spans="1:30" s="55" customFormat="1" ht="19.149999999999999" customHeight="1" x14ac:dyDescent="0.2">
      <c r="A53" s="177"/>
      <c r="B53" s="177"/>
      <c r="C53" s="177"/>
      <c r="D53" s="177"/>
      <c r="E53" s="56"/>
      <c r="F53" s="63"/>
      <c r="G53" s="25"/>
      <c r="H53" s="58"/>
      <c r="I53" s="59"/>
      <c r="J53" s="60"/>
      <c r="K53" s="56"/>
      <c r="L53" s="100"/>
      <c r="M53" s="61"/>
      <c r="N53" s="62"/>
      <c r="O53" s="177"/>
      <c r="P53" s="22">
        <v>47331</v>
      </c>
      <c r="Q53" s="105">
        <f t="shared" si="1"/>
        <v>0</v>
      </c>
      <c r="R53" s="107"/>
      <c r="S53" s="107"/>
      <c r="T53" s="107"/>
      <c r="U53" s="107"/>
      <c r="V53" s="177"/>
      <c r="W53" s="177"/>
      <c r="X53" s="177"/>
      <c r="Y53" s="177"/>
      <c r="Z53" s="177"/>
      <c r="AA53" s="177"/>
      <c r="AB53" s="177"/>
      <c r="AC53" s="177"/>
      <c r="AD53" s="177"/>
    </row>
    <row r="54" spans="1:30" s="55" customFormat="1" ht="19.149999999999999" customHeight="1" x14ac:dyDescent="0.2">
      <c r="A54" s="177"/>
      <c r="B54" s="177"/>
      <c r="C54" s="177"/>
      <c r="D54" s="177"/>
      <c r="E54" s="56"/>
      <c r="F54" s="63"/>
      <c r="G54" s="25"/>
      <c r="H54" s="58"/>
      <c r="I54" s="59"/>
      <c r="J54" s="60"/>
      <c r="K54" s="56"/>
      <c r="L54" s="100"/>
      <c r="M54" s="61"/>
      <c r="N54" s="62"/>
      <c r="O54" s="177"/>
      <c r="P54" s="22">
        <v>47362</v>
      </c>
      <c r="Q54" s="105">
        <f t="shared" si="1"/>
        <v>0</v>
      </c>
      <c r="R54" s="107"/>
      <c r="S54" s="107"/>
      <c r="T54" s="107"/>
      <c r="U54" s="107"/>
      <c r="V54" s="177"/>
      <c r="W54" s="177"/>
      <c r="X54" s="177"/>
      <c r="Y54" s="177"/>
      <c r="Z54" s="177"/>
      <c r="AA54" s="177"/>
      <c r="AB54" s="177"/>
      <c r="AC54" s="177"/>
      <c r="AD54" s="177"/>
    </row>
    <row r="55" spans="1:30" s="55" customFormat="1" ht="19.149999999999999" customHeight="1" x14ac:dyDescent="0.2">
      <c r="A55" s="177"/>
      <c r="B55" s="177"/>
      <c r="C55" s="177"/>
      <c r="D55" s="177"/>
      <c r="E55" s="56"/>
      <c r="F55" s="63"/>
      <c r="G55" s="25"/>
      <c r="H55" s="58"/>
      <c r="I55" s="59"/>
      <c r="J55" s="60"/>
      <c r="K55" s="56"/>
      <c r="L55" s="100"/>
      <c r="M55" s="61"/>
      <c r="N55" s="62"/>
      <c r="O55" s="177"/>
      <c r="P55" s="22">
        <v>47392</v>
      </c>
      <c r="Q55" s="105">
        <f t="shared" si="1"/>
        <v>0</v>
      </c>
      <c r="R55" s="107"/>
      <c r="S55" s="107"/>
      <c r="T55" s="107"/>
      <c r="U55" s="107"/>
      <c r="V55" s="177"/>
      <c r="W55" s="177"/>
      <c r="X55" s="177"/>
      <c r="Y55" s="177"/>
      <c r="Z55" s="177"/>
      <c r="AA55" s="177"/>
      <c r="AB55" s="177"/>
      <c r="AC55" s="177"/>
      <c r="AD55" s="177"/>
    </row>
    <row r="56" spans="1:30" s="55" customFormat="1" ht="19.149999999999999" customHeight="1" x14ac:dyDescent="0.2">
      <c r="A56" s="177"/>
      <c r="B56" s="177"/>
      <c r="C56" s="177"/>
      <c r="D56" s="177"/>
      <c r="E56" s="56"/>
      <c r="F56" s="63"/>
      <c r="G56" s="25"/>
      <c r="H56" s="58"/>
      <c r="I56" s="59"/>
      <c r="J56" s="60"/>
      <c r="K56" s="56"/>
      <c r="L56" s="100"/>
      <c r="M56" s="61"/>
      <c r="N56" s="62"/>
      <c r="O56" s="177"/>
      <c r="P56" s="22">
        <v>47423</v>
      </c>
      <c r="Q56" s="105">
        <f t="shared" si="1"/>
        <v>0</v>
      </c>
      <c r="R56" s="107"/>
      <c r="S56" s="107"/>
      <c r="T56" s="107"/>
      <c r="U56" s="107"/>
      <c r="V56" s="177"/>
      <c r="W56" s="177"/>
      <c r="X56" s="177"/>
      <c r="Y56" s="177"/>
      <c r="Z56" s="177"/>
      <c r="AA56" s="177"/>
      <c r="AB56" s="177"/>
      <c r="AC56" s="177"/>
      <c r="AD56" s="177"/>
    </row>
    <row r="57" spans="1:30" s="55" customFormat="1" ht="19.149999999999999" customHeight="1" x14ac:dyDescent="0.2">
      <c r="A57" s="177"/>
      <c r="B57" s="177"/>
      <c r="C57" s="177"/>
      <c r="D57" s="177"/>
      <c r="E57" s="56"/>
      <c r="F57" s="63"/>
      <c r="G57" s="25"/>
      <c r="H57" s="58"/>
      <c r="I57" s="59"/>
      <c r="J57" s="60"/>
      <c r="K57" s="56"/>
      <c r="L57" s="100"/>
      <c r="M57" s="61"/>
      <c r="N57" s="62"/>
      <c r="O57" s="177"/>
      <c r="P57" s="22">
        <v>47453</v>
      </c>
      <c r="Q57" s="105">
        <f t="shared" si="1"/>
        <v>0</v>
      </c>
      <c r="R57" s="107"/>
      <c r="S57" s="107"/>
      <c r="T57" s="107"/>
      <c r="U57" s="107"/>
      <c r="V57" s="177"/>
      <c r="W57" s="177"/>
      <c r="X57" s="177"/>
      <c r="Y57" s="177"/>
      <c r="Z57" s="177"/>
      <c r="AA57" s="177"/>
      <c r="AB57" s="177"/>
      <c r="AC57" s="177"/>
      <c r="AD57" s="177"/>
    </row>
    <row r="58" spans="1:30" s="55" customFormat="1" ht="19.149999999999999" customHeight="1" x14ac:dyDescent="0.2">
      <c r="A58" s="177"/>
      <c r="B58" s="177"/>
      <c r="C58" s="177"/>
      <c r="D58" s="177"/>
      <c r="E58" s="56"/>
      <c r="F58" s="63"/>
      <c r="G58" s="25"/>
      <c r="H58" s="58"/>
      <c r="I58" s="59"/>
      <c r="J58" s="60"/>
      <c r="K58" s="56"/>
      <c r="L58" s="100"/>
      <c r="M58" s="61"/>
      <c r="N58" s="62"/>
      <c r="O58" s="177"/>
      <c r="P58" s="22">
        <v>47484</v>
      </c>
      <c r="Q58" s="105">
        <f t="shared" si="1"/>
        <v>0</v>
      </c>
      <c r="R58" s="107"/>
      <c r="S58" s="107"/>
      <c r="T58" s="107"/>
      <c r="U58" s="107"/>
      <c r="V58" s="177"/>
      <c r="W58" s="177"/>
      <c r="X58" s="177"/>
      <c r="Y58" s="177"/>
      <c r="Z58" s="177"/>
      <c r="AA58" s="177"/>
      <c r="AB58" s="177"/>
      <c r="AC58" s="177"/>
      <c r="AD58" s="177"/>
    </row>
    <row r="59" spans="1:30" s="55" customFormat="1" ht="19.149999999999999" customHeight="1" x14ac:dyDescent="0.2">
      <c r="A59" s="177"/>
      <c r="B59" s="177"/>
      <c r="C59" s="177"/>
      <c r="D59" s="177"/>
      <c r="E59" s="56"/>
      <c r="F59" s="63"/>
      <c r="G59" s="25"/>
      <c r="H59" s="58"/>
      <c r="I59" s="59"/>
      <c r="J59" s="60"/>
      <c r="K59" s="56"/>
      <c r="L59" s="100"/>
      <c r="M59" s="61"/>
      <c r="N59" s="62"/>
      <c r="O59" s="177"/>
      <c r="P59" s="22">
        <v>47515</v>
      </c>
      <c r="Q59" s="105">
        <f t="shared" si="1"/>
        <v>0</v>
      </c>
      <c r="R59" s="107"/>
      <c r="S59" s="107"/>
      <c r="T59" s="107"/>
      <c r="U59" s="107"/>
      <c r="V59" s="177"/>
      <c r="W59" s="177"/>
      <c r="X59" s="177"/>
      <c r="Y59" s="177"/>
      <c r="Z59" s="177"/>
      <c r="AA59" s="177"/>
      <c r="AB59" s="177"/>
      <c r="AC59" s="177"/>
      <c r="AD59" s="177"/>
    </row>
    <row r="60" spans="1:30" s="55" customFormat="1" ht="19.149999999999999" customHeight="1" x14ac:dyDescent="0.2">
      <c r="A60" s="177"/>
      <c r="B60" s="177"/>
      <c r="C60" s="177"/>
      <c r="D60" s="177"/>
      <c r="E60" s="56"/>
      <c r="F60" s="63"/>
      <c r="G60" s="25"/>
      <c r="H60" s="58"/>
      <c r="I60" s="59"/>
      <c r="J60" s="60"/>
      <c r="K60" s="56"/>
      <c r="L60" s="100"/>
      <c r="M60" s="61"/>
      <c r="N60" s="62"/>
      <c r="O60" s="177"/>
      <c r="P60" s="22">
        <v>47543</v>
      </c>
      <c r="Q60" s="105">
        <f t="shared" si="1"/>
        <v>0</v>
      </c>
      <c r="R60" s="107"/>
      <c r="S60" s="107"/>
      <c r="T60" s="107"/>
      <c r="U60" s="107"/>
      <c r="V60" s="177"/>
      <c r="W60" s="177"/>
      <c r="X60" s="177"/>
      <c r="Y60" s="177"/>
      <c r="Z60" s="177"/>
      <c r="AA60" s="177"/>
      <c r="AB60" s="177"/>
      <c r="AC60" s="177"/>
      <c r="AD60" s="177"/>
    </row>
    <row r="61" spans="1:30" s="55" customFormat="1" ht="19.149999999999999" customHeight="1" x14ac:dyDescent="0.2">
      <c r="A61" s="177"/>
      <c r="B61" s="177"/>
      <c r="C61" s="177"/>
      <c r="D61" s="177"/>
      <c r="E61" s="56"/>
      <c r="F61" s="63"/>
      <c r="G61" s="25"/>
      <c r="H61" s="58"/>
      <c r="I61" s="59"/>
      <c r="J61" s="60"/>
      <c r="K61" s="56"/>
      <c r="L61" s="100"/>
      <c r="M61" s="61"/>
      <c r="N61" s="62"/>
      <c r="O61" s="177"/>
      <c r="P61" s="22">
        <v>47574</v>
      </c>
      <c r="Q61" s="105">
        <f t="shared" si="1"/>
        <v>0</v>
      </c>
      <c r="R61" s="107"/>
      <c r="S61" s="107"/>
      <c r="T61" s="107"/>
      <c r="U61" s="107"/>
      <c r="V61" s="177"/>
      <c r="W61" s="177"/>
      <c r="X61" s="177"/>
      <c r="Y61" s="177"/>
      <c r="Z61" s="177"/>
      <c r="AA61" s="177"/>
      <c r="AB61" s="177"/>
      <c r="AC61" s="177"/>
      <c r="AD61" s="177"/>
    </row>
    <row r="62" spans="1:30" s="55" customFormat="1" ht="19.149999999999999" customHeight="1" x14ac:dyDescent="0.2">
      <c r="A62" s="177"/>
      <c r="B62" s="177"/>
      <c r="C62" s="177"/>
      <c r="D62" s="177"/>
      <c r="E62" s="56"/>
      <c r="F62" s="63"/>
      <c r="G62" s="25"/>
      <c r="H62" s="58"/>
      <c r="I62" s="59"/>
      <c r="J62" s="60"/>
      <c r="K62" s="56"/>
      <c r="L62" s="100"/>
      <c r="M62" s="61"/>
      <c r="N62" s="62"/>
      <c r="O62" s="177"/>
      <c r="P62" s="22">
        <v>47604</v>
      </c>
      <c r="Q62" s="105">
        <f t="shared" si="1"/>
        <v>0</v>
      </c>
      <c r="R62" s="107"/>
      <c r="S62" s="107"/>
      <c r="T62" s="107"/>
      <c r="U62" s="107"/>
      <c r="V62" s="177"/>
      <c r="W62" s="177"/>
      <c r="X62" s="177"/>
      <c r="Y62" s="177"/>
      <c r="Z62" s="177"/>
      <c r="AA62" s="177"/>
      <c r="AB62" s="177"/>
      <c r="AC62" s="177"/>
      <c r="AD62" s="177"/>
    </row>
    <row r="63" spans="1:30" s="55" customFormat="1" ht="19.149999999999999" customHeight="1" x14ac:dyDescent="0.2">
      <c r="A63" s="177"/>
      <c r="B63" s="177"/>
      <c r="C63" s="177"/>
      <c r="D63" s="177"/>
      <c r="E63" s="56"/>
      <c r="F63" s="63"/>
      <c r="G63" s="25"/>
      <c r="H63" s="58"/>
      <c r="I63" s="59"/>
      <c r="J63" s="60"/>
      <c r="K63" s="56"/>
      <c r="L63" s="100"/>
      <c r="M63" s="61"/>
      <c r="N63" s="62"/>
      <c r="O63" s="177"/>
      <c r="P63" s="22">
        <v>47635</v>
      </c>
      <c r="Q63" s="105">
        <f t="shared" si="1"/>
        <v>0</v>
      </c>
      <c r="R63" s="107"/>
      <c r="S63" s="107"/>
      <c r="T63" s="107"/>
      <c r="U63" s="107"/>
      <c r="V63" s="177"/>
      <c r="W63" s="177"/>
      <c r="X63" s="177"/>
      <c r="Y63" s="177"/>
      <c r="Z63" s="177"/>
      <c r="AA63" s="177"/>
      <c r="AB63" s="177"/>
      <c r="AC63" s="177"/>
      <c r="AD63" s="177"/>
    </row>
    <row r="64" spans="1:30" s="55" customFormat="1" ht="19.149999999999999" customHeight="1" x14ac:dyDescent="0.2">
      <c r="A64" s="177"/>
      <c r="B64" s="177"/>
      <c r="C64" s="177"/>
      <c r="D64" s="177"/>
      <c r="E64" s="56"/>
      <c r="F64" s="63"/>
      <c r="G64" s="25"/>
      <c r="H64" s="58"/>
      <c r="I64" s="59"/>
      <c r="J64" s="60"/>
      <c r="K64" s="56"/>
      <c r="L64" s="100"/>
      <c r="M64" s="61"/>
      <c r="N64" s="62"/>
      <c r="O64" s="177"/>
      <c r="P64" s="22">
        <v>47665</v>
      </c>
      <c r="Q64" s="105">
        <f t="shared" si="1"/>
        <v>0</v>
      </c>
      <c r="R64" s="107"/>
      <c r="S64" s="107"/>
      <c r="T64" s="107"/>
      <c r="U64" s="107"/>
      <c r="V64" s="177"/>
      <c r="W64" s="177"/>
      <c r="X64" s="177"/>
      <c r="Y64" s="177"/>
      <c r="Z64" s="177"/>
      <c r="AA64" s="177"/>
      <c r="AB64" s="177"/>
      <c r="AC64" s="177"/>
      <c r="AD64" s="177"/>
    </row>
    <row r="65" spans="1:30" s="55" customFormat="1" ht="19.149999999999999" customHeight="1" x14ac:dyDescent="0.2">
      <c r="A65" s="177"/>
      <c r="B65" s="177"/>
      <c r="C65" s="177"/>
      <c r="D65" s="177"/>
      <c r="E65" s="56"/>
      <c r="F65" s="63"/>
      <c r="G65" s="25"/>
      <c r="H65" s="58"/>
      <c r="I65" s="59"/>
      <c r="J65" s="60"/>
      <c r="K65" s="56"/>
      <c r="L65" s="100"/>
      <c r="M65" s="61"/>
      <c r="N65" s="62"/>
      <c r="O65" s="177"/>
      <c r="P65" s="22">
        <v>47696</v>
      </c>
      <c r="Q65" s="105">
        <f t="shared" si="1"/>
        <v>0</v>
      </c>
      <c r="R65" s="107"/>
      <c r="S65" s="107"/>
      <c r="T65" s="107"/>
      <c r="U65" s="107"/>
      <c r="V65" s="177"/>
      <c r="W65" s="177"/>
      <c r="X65" s="177"/>
      <c r="Y65" s="177"/>
      <c r="Z65" s="177"/>
      <c r="AA65" s="177"/>
      <c r="AB65" s="177"/>
      <c r="AC65" s="177"/>
      <c r="AD65" s="177"/>
    </row>
    <row r="66" spans="1:30" s="55" customFormat="1" ht="19.149999999999999" customHeight="1" x14ac:dyDescent="0.2">
      <c r="A66" s="177"/>
      <c r="B66" s="177"/>
      <c r="C66" s="177"/>
      <c r="D66" s="177"/>
      <c r="E66" s="56"/>
      <c r="F66" s="63"/>
      <c r="G66" s="25"/>
      <c r="H66" s="58"/>
      <c r="I66" s="59"/>
      <c r="J66" s="60"/>
      <c r="K66" s="56"/>
      <c r="L66" s="100"/>
      <c r="M66" s="61"/>
      <c r="N66" s="62"/>
      <c r="O66" s="177"/>
      <c r="P66" s="22">
        <v>47727</v>
      </c>
      <c r="Q66" s="105">
        <f t="shared" si="1"/>
        <v>0</v>
      </c>
      <c r="R66" s="107"/>
      <c r="S66" s="107"/>
      <c r="T66" s="107"/>
      <c r="U66" s="107"/>
      <c r="V66" s="177"/>
      <c r="W66" s="177"/>
      <c r="X66" s="177"/>
      <c r="Y66" s="177"/>
      <c r="Z66" s="177"/>
      <c r="AA66" s="177"/>
      <c r="AB66" s="177"/>
      <c r="AC66" s="177"/>
      <c r="AD66" s="177"/>
    </row>
    <row r="67" spans="1:30" s="55" customFormat="1" ht="19.149999999999999" customHeight="1" x14ac:dyDescent="0.2">
      <c r="A67" s="177"/>
      <c r="B67" s="177"/>
      <c r="C67" s="177"/>
      <c r="D67" s="177"/>
      <c r="E67" s="56"/>
      <c r="F67" s="63"/>
      <c r="G67" s="25"/>
      <c r="H67" s="58"/>
      <c r="I67" s="59"/>
      <c r="J67" s="60"/>
      <c r="K67" s="56"/>
      <c r="L67" s="100"/>
      <c r="M67" s="61"/>
      <c r="N67" s="62"/>
      <c r="O67" s="177"/>
      <c r="P67" s="22">
        <v>47757</v>
      </c>
      <c r="Q67" s="105">
        <f t="shared" ref="Q67:Q69" si="8">SUMIFS(J$2:J$1000, F$2:F$1000, "&gt;=" &amp; DATE(YEAR(P67), MONTH(P67), 1), F$2:F$1000, "&lt;=" &amp; EOMONTH(P67, 0))</f>
        <v>0</v>
      </c>
      <c r="R67" s="107"/>
      <c r="S67" s="107"/>
      <c r="T67" s="107"/>
      <c r="U67" s="107"/>
      <c r="V67" s="177"/>
      <c r="W67" s="177"/>
      <c r="X67" s="177"/>
      <c r="Y67" s="177"/>
      <c r="Z67" s="177"/>
      <c r="AA67" s="177"/>
      <c r="AB67" s="177"/>
      <c r="AC67" s="177"/>
      <c r="AD67" s="177"/>
    </row>
    <row r="68" spans="1:30" s="55" customFormat="1" ht="19.149999999999999" customHeight="1" x14ac:dyDescent="0.2">
      <c r="A68" s="177"/>
      <c r="B68" s="75"/>
      <c r="C68" s="177"/>
      <c r="D68" s="177"/>
      <c r="E68" s="56"/>
      <c r="F68" s="63"/>
      <c r="G68" s="25"/>
      <c r="H68" s="58"/>
      <c r="I68" s="59"/>
      <c r="J68" s="60"/>
      <c r="K68" s="56"/>
      <c r="L68" s="100"/>
      <c r="M68" s="61"/>
      <c r="N68" s="62"/>
      <c r="O68" s="177"/>
      <c r="P68" s="22">
        <v>47788</v>
      </c>
      <c r="Q68" s="105">
        <f t="shared" si="8"/>
        <v>0</v>
      </c>
      <c r="R68" s="107"/>
      <c r="S68" s="107"/>
      <c r="T68" s="107"/>
      <c r="U68" s="107"/>
      <c r="V68" s="177"/>
      <c r="W68" s="177"/>
      <c r="X68" s="177"/>
      <c r="Y68" s="177"/>
      <c r="Z68" s="177"/>
      <c r="AA68" s="177"/>
      <c r="AB68" s="177"/>
      <c r="AC68" s="177"/>
      <c r="AD68" s="177"/>
    </row>
    <row r="69" spans="1:30" s="55" customFormat="1" ht="19.149999999999999" customHeight="1" x14ac:dyDescent="0.2">
      <c r="A69" s="177"/>
      <c r="B69" s="177"/>
      <c r="C69" s="177"/>
      <c r="D69" s="177"/>
      <c r="E69" s="56"/>
      <c r="F69" s="63"/>
      <c r="G69" s="25"/>
      <c r="H69" s="58"/>
      <c r="I69" s="59"/>
      <c r="J69" s="60"/>
      <c r="K69" s="56"/>
      <c r="L69" s="19"/>
      <c r="M69" s="61"/>
      <c r="N69" s="62"/>
      <c r="O69" s="177"/>
      <c r="P69" s="22">
        <v>47818</v>
      </c>
      <c r="Q69" s="105">
        <f t="shared" si="8"/>
        <v>0</v>
      </c>
      <c r="R69" s="107"/>
      <c r="S69" s="107"/>
      <c r="T69" s="107"/>
      <c r="U69" s="107"/>
      <c r="V69" s="177"/>
      <c r="W69" s="177"/>
      <c r="X69" s="177"/>
      <c r="Y69" s="177"/>
      <c r="Z69" s="177"/>
      <c r="AA69" s="177"/>
      <c r="AB69" s="177"/>
      <c r="AC69" s="177"/>
      <c r="AD69" s="177"/>
    </row>
    <row r="70" spans="1:30" s="55" customFormat="1" ht="19.149999999999999" customHeight="1" x14ac:dyDescent="0.2">
      <c r="A70" s="177"/>
      <c r="B70" s="177"/>
      <c r="C70" s="177"/>
      <c r="D70" s="177"/>
      <c r="E70" s="56"/>
      <c r="F70" s="63"/>
      <c r="G70" s="25"/>
      <c r="H70" s="58"/>
      <c r="I70" s="59"/>
      <c r="J70" s="60"/>
      <c r="K70" s="56"/>
      <c r="L70" s="19"/>
      <c r="M70" s="61"/>
      <c r="N70" s="62"/>
      <c r="O70" s="177"/>
      <c r="P70" s="22"/>
      <c r="Q70" s="23"/>
      <c r="R70" s="107"/>
      <c r="S70" s="107"/>
      <c r="T70" s="107"/>
      <c r="U70" s="107"/>
      <c r="V70" s="177"/>
      <c r="W70" s="177"/>
      <c r="X70" s="177"/>
      <c r="Y70" s="177"/>
      <c r="Z70" s="177"/>
      <c r="AA70" s="177"/>
      <c r="AB70" s="177"/>
      <c r="AC70" s="177"/>
      <c r="AD70" s="177"/>
    </row>
    <row r="71" spans="1:30" s="55" customFormat="1" ht="19.149999999999999" customHeight="1" x14ac:dyDescent="0.2">
      <c r="A71" s="177"/>
      <c r="B71" s="177"/>
      <c r="C71" s="177"/>
      <c r="D71" s="177"/>
      <c r="E71" s="56"/>
      <c r="F71" s="63"/>
      <c r="G71" s="25"/>
      <c r="H71" s="58"/>
      <c r="I71" s="59"/>
      <c r="J71" s="60"/>
      <c r="K71" s="56"/>
      <c r="L71" s="19"/>
      <c r="M71" s="61"/>
      <c r="N71" s="62"/>
      <c r="O71" s="177"/>
      <c r="P71" s="22"/>
      <c r="Q71" s="23"/>
      <c r="R71" s="107"/>
      <c r="S71" s="107"/>
      <c r="T71" s="107"/>
      <c r="U71" s="107"/>
      <c r="V71" s="177"/>
      <c r="W71" s="177"/>
      <c r="X71" s="177"/>
      <c r="Y71" s="177"/>
      <c r="Z71" s="177"/>
      <c r="AA71" s="177"/>
      <c r="AB71" s="177"/>
      <c r="AC71" s="177"/>
      <c r="AD71" s="177"/>
    </row>
    <row r="72" spans="1:30" s="55" customFormat="1" ht="19.149999999999999" customHeight="1" x14ac:dyDescent="0.2">
      <c r="A72" s="177"/>
      <c r="B72" s="177"/>
      <c r="C72" s="177"/>
      <c r="D72" s="177"/>
      <c r="E72" s="56"/>
      <c r="F72" s="63"/>
      <c r="G72" s="25"/>
      <c r="H72" s="58"/>
      <c r="I72" s="59"/>
      <c r="J72" s="60"/>
      <c r="K72" s="56"/>
      <c r="L72" s="19"/>
      <c r="M72" s="61"/>
      <c r="N72" s="62"/>
      <c r="O72" s="177"/>
      <c r="P72" s="22"/>
      <c r="Q72" s="23"/>
      <c r="R72" s="107"/>
      <c r="S72" s="107"/>
      <c r="T72" s="107"/>
      <c r="U72" s="107"/>
      <c r="V72" s="177"/>
      <c r="W72" s="177"/>
      <c r="X72" s="177"/>
      <c r="Y72" s="177"/>
      <c r="Z72" s="177"/>
      <c r="AA72" s="177"/>
      <c r="AB72" s="177"/>
      <c r="AC72" s="177"/>
      <c r="AD72" s="177"/>
    </row>
    <row r="73" spans="1:30" s="55" customFormat="1" ht="19.149999999999999" customHeight="1" x14ac:dyDescent="0.2">
      <c r="A73" s="177"/>
      <c r="B73" s="177"/>
      <c r="C73" s="177"/>
      <c r="D73" s="177"/>
      <c r="E73" s="56"/>
      <c r="F73" s="63"/>
      <c r="G73" s="25"/>
      <c r="H73" s="58"/>
      <c r="I73" s="59"/>
      <c r="J73" s="60"/>
      <c r="K73" s="56"/>
      <c r="L73" s="19"/>
      <c r="M73" s="61"/>
      <c r="N73" s="62"/>
      <c r="O73" s="177"/>
      <c r="P73" s="22"/>
      <c r="Q73" s="23"/>
      <c r="R73" s="107"/>
      <c r="S73" s="107"/>
      <c r="T73" s="107"/>
      <c r="U73" s="107"/>
      <c r="V73" s="177"/>
      <c r="W73" s="177"/>
      <c r="X73" s="177"/>
      <c r="Y73" s="177"/>
      <c r="Z73" s="177"/>
      <c r="AA73" s="177"/>
      <c r="AB73" s="177"/>
      <c r="AC73" s="177"/>
      <c r="AD73" s="177"/>
    </row>
    <row r="74" spans="1:30" s="55" customFormat="1" ht="19.149999999999999" customHeight="1" x14ac:dyDescent="0.2">
      <c r="A74" s="177"/>
      <c r="B74" s="177"/>
      <c r="C74" s="177"/>
      <c r="D74" s="177"/>
      <c r="E74" s="56"/>
      <c r="F74" s="63"/>
      <c r="G74" s="25"/>
      <c r="H74" s="58"/>
      <c r="I74" s="59"/>
      <c r="J74" s="60"/>
      <c r="K74" s="56"/>
      <c r="L74" s="19"/>
      <c r="M74" s="61"/>
      <c r="N74" s="62"/>
      <c r="O74" s="177"/>
      <c r="P74" s="22"/>
      <c r="Q74" s="23"/>
      <c r="R74" s="107"/>
      <c r="S74" s="107"/>
      <c r="T74" s="107"/>
      <c r="U74" s="107"/>
      <c r="V74" s="177"/>
      <c r="W74" s="177"/>
      <c r="X74" s="177"/>
      <c r="Y74" s="177"/>
      <c r="Z74" s="177"/>
      <c r="AA74" s="177"/>
      <c r="AB74" s="177"/>
      <c r="AC74" s="177"/>
      <c r="AD74" s="177"/>
    </row>
    <row r="75" spans="1:30" s="55" customFormat="1" ht="19.149999999999999" customHeight="1" x14ac:dyDescent="0.2">
      <c r="A75" s="177"/>
      <c r="B75" s="177"/>
      <c r="C75" s="177"/>
      <c r="D75" s="177"/>
      <c r="E75" s="56"/>
      <c r="F75" s="63"/>
      <c r="G75" s="25"/>
      <c r="H75" s="58"/>
      <c r="I75" s="59"/>
      <c r="J75" s="60"/>
      <c r="K75" s="56"/>
      <c r="L75" s="100"/>
      <c r="M75" s="61"/>
      <c r="N75" s="62"/>
      <c r="O75" s="177"/>
      <c r="P75" s="22"/>
      <c r="Q75" s="23"/>
      <c r="R75" s="107"/>
      <c r="S75" s="107"/>
      <c r="T75" s="107"/>
      <c r="U75" s="107"/>
      <c r="V75" s="177"/>
      <c r="W75" s="177"/>
      <c r="X75" s="177"/>
      <c r="Y75" s="177"/>
      <c r="Z75" s="177"/>
      <c r="AA75" s="177"/>
      <c r="AB75" s="177"/>
      <c r="AC75" s="177"/>
      <c r="AD75" s="177"/>
    </row>
    <row r="76" spans="1:30" s="55" customFormat="1" ht="19.149999999999999" customHeight="1" x14ac:dyDescent="0.2">
      <c r="A76" s="177"/>
      <c r="B76" s="177"/>
      <c r="C76" s="177"/>
      <c r="D76" s="177"/>
      <c r="E76" s="56"/>
      <c r="F76" s="63"/>
      <c r="G76" s="25"/>
      <c r="H76" s="58"/>
      <c r="I76" s="59"/>
      <c r="J76" s="60"/>
      <c r="K76" s="56"/>
      <c r="L76" s="19"/>
      <c r="M76" s="61"/>
      <c r="N76" s="62"/>
      <c r="O76" s="177"/>
      <c r="P76" s="22"/>
      <c r="Q76" s="23"/>
      <c r="R76" s="107"/>
      <c r="S76" s="107"/>
      <c r="T76" s="107"/>
      <c r="U76" s="107"/>
      <c r="V76" s="177"/>
      <c r="W76" s="177"/>
      <c r="X76" s="177"/>
      <c r="Y76" s="177"/>
      <c r="Z76" s="177"/>
      <c r="AA76" s="177"/>
      <c r="AB76" s="177"/>
      <c r="AC76" s="177"/>
      <c r="AD76" s="177"/>
    </row>
    <row r="77" spans="1:30" s="55" customFormat="1" ht="19.149999999999999" customHeight="1" x14ac:dyDescent="0.2">
      <c r="A77" s="177"/>
      <c r="B77" s="177"/>
      <c r="C77" s="177"/>
      <c r="D77" s="177"/>
      <c r="E77" s="56"/>
      <c r="F77" s="63"/>
      <c r="G77" s="25"/>
      <c r="H77" s="58"/>
      <c r="I77" s="59"/>
      <c r="J77" s="60"/>
      <c r="K77" s="56"/>
      <c r="L77" s="19"/>
      <c r="M77" s="61"/>
      <c r="N77" s="62"/>
      <c r="O77" s="177"/>
      <c r="P77" s="22"/>
      <c r="Q77" s="23"/>
      <c r="R77" s="107"/>
      <c r="S77" s="107"/>
      <c r="T77" s="107"/>
      <c r="U77" s="107"/>
      <c r="V77" s="177"/>
      <c r="W77" s="177"/>
      <c r="X77" s="177"/>
      <c r="Y77" s="177"/>
      <c r="Z77" s="177"/>
      <c r="AA77" s="177"/>
      <c r="AB77" s="177"/>
      <c r="AC77" s="177"/>
      <c r="AD77" s="177"/>
    </row>
    <row r="78" spans="1:30" s="55" customFormat="1" ht="19.149999999999999" customHeight="1" x14ac:dyDescent="0.2">
      <c r="A78" s="177"/>
      <c r="B78" s="177"/>
      <c r="C78" s="177"/>
      <c r="D78" s="177"/>
      <c r="E78" s="56"/>
      <c r="F78" s="63"/>
      <c r="G78" s="25"/>
      <c r="H78" s="58"/>
      <c r="I78" s="59"/>
      <c r="J78" s="60"/>
      <c r="K78" s="56"/>
      <c r="L78" s="19"/>
      <c r="M78" s="61"/>
      <c r="N78" s="62"/>
      <c r="O78" s="177"/>
      <c r="P78" s="22"/>
      <c r="Q78" s="23"/>
      <c r="R78" s="107"/>
      <c r="S78" s="107"/>
      <c r="T78" s="107"/>
      <c r="U78" s="107"/>
      <c r="V78" s="177"/>
      <c r="W78" s="177"/>
      <c r="X78" s="177"/>
      <c r="Y78" s="177"/>
      <c r="Z78" s="177"/>
      <c r="AA78" s="177"/>
      <c r="AB78" s="177"/>
      <c r="AC78" s="177"/>
      <c r="AD78" s="177"/>
    </row>
    <row r="79" spans="1:30" s="55" customFormat="1" ht="19.149999999999999" customHeight="1" x14ac:dyDescent="0.2">
      <c r="A79" s="177"/>
      <c r="B79" s="177"/>
      <c r="C79" s="177"/>
      <c r="D79" s="177"/>
      <c r="E79" s="56"/>
      <c r="F79" s="63"/>
      <c r="G79" s="25"/>
      <c r="H79" s="58"/>
      <c r="I79" s="59"/>
      <c r="J79" s="60"/>
      <c r="K79" s="56"/>
      <c r="L79" s="19"/>
      <c r="M79" s="61"/>
      <c r="N79" s="62"/>
      <c r="O79" s="177"/>
      <c r="P79" s="22"/>
      <c r="Q79" s="23"/>
      <c r="R79" s="107"/>
      <c r="S79" s="107"/>
      <c r="T79" s="107"/>
      <c r="U79" s="107"/>
      <c r="V79" s="177"/>
      <c r="W79" s="177"/>
      <c r="X79" s="177"/>
      <c r="Y79" s="177"/>
      <c r="Z79" s="177"/>
      <c r="AA79" s="177"/>
      <c r="AB79" s="177"/>
      <c r="AC79" s="177"/>
      <c r="AD79" s="177"/>
    </row>
    <row r="80" spans="1:30" s="55" customFormat="1" ht="19.149999999999999" customHeight="1" x14ac:dyDescent="0.2">
      <c r="A80" s="177"/>
      <c r="B80" s="177"/>
      <c r="C80" s="177"/>
      <c r="D80" s="177"/>
      <c r="E80" s="56"/>
      <c r="F80" s="63"/>
      <c r="G80" s="25"/>
      <c r="H80" s="58"/>
      <c r="I80" s="59"/>
      <c r="J80" s="60"/>
      <c r="K80" s="56"/>
      <c r="L80" s="19"/>
      <c r="M80" s="61"/>
      <c r="N80" s="62"/>
      <c r="O80" s="177"/>
      <c r="P80" s="22"/>
      <c r="Q80" s="23"/>
      <c r="R80" s="107"/>
      <c r="S80" s="107"/>
      <c r="T80" s="107"/>
      <c r="U80" s="107"/>
      <c r="V80" s="177"/>
      <c r="W80" s="177"/>
      <c r="X80" s="177"/>
      <c r="Y80" s="177"/>
      <c r="Z80" s="177"/>
      <c r="AA80" s="177"/>
      <c r="AB80" s="177"/>
      <c r="AC80" s="177"/>
      <c r="AD80" s="177"/>
    </row>
    <row r="81" spans="1:30" s="55" customFormat="1" ht="19.149999999999999" customHeight="1" x14ac:dyDescent="0.2">
      <c r="A81" s="177"/>
      <c r="B81" s="177"/>
      <c r="C81" s="177"/>
      <c r="D81" s="177"/>
      <c r="E81" s="56"/>
      <c r="F81" s="63"/>
      <c r="G81" s="25"/>
      <c r="H81" s="58"/>
      <c r="I81" s="59"/>
      <c r="J81" s="60"/>
      <c r="K81" s="56"/>
      <c r="L81" s="19"/>
      <c r="M81" s="61"/>
      <c r="N81" s="62"/>
      <c r="O81" s="177"/>
      <c r="P81" s="22"/>
      <c r="Q81" s="23"/>
      <c r="R81" s="107"/>
      <c r="S81" s="107"/>
      <c r="T81" s="107"/>
      <c r="U81" s="107"/>
      <c r="V81" s="177"/>
      <c r="W81" s="177"/>
      <c r="X81" s="177"/>
      <c r="Y81" s="177"/>
      <c r="Z81" s="177"/>
      <c r="AA81" s="177"/>
      <c r="AB81" s="177"/>
      <c r="AC81" s="177"/>
      <c r="AD81" s="177"/>
    </row>
    <row r="82" spans="1:30" s="55" customFormat="1" ht="19.149999999999999" customHeight="1" x14ac:dyDescent="0.2">
      <c r="A82" s="177"/>
      <c r="B82" s="177"/>
      <c r="C82" s="177"/>
      <c r="D82" s="177"/>
      <c r="E82" s="56"/>
      <c r="F82" s="63"/>
      <c r="G82" s="25"/>
      <c r="H82" s="58"/>
      <c r="I82" s="59"/>
      <c r="J82" s="60"/>
      <c r="K82" s="56"/>
      <c r="L82" s="19"/>
      <c r="M82" s="61"/>
      <c r="N82" s="62"/>
      <c r="O82" s="177"/>
      <c r="P82" s="22"/>
      <c r="Q82" s="23"/>
      <c r="R82" s="107"/>
      <c r="S82" s="107"/>
      <c r="T82" s="107"/>
      <c r="U82" s="107"/>
      <c r="V82" s="177"/>
      <c r="W82" s="177"/>
      <c r="X82" s="177"/>
      <c r="Y82" s="177"/>
      <c r="Z82" s="177"/>
      <c r="AA82" s="177"/>
      <c r="AB82" s="177"/>
      <c r="AC82" s="177"/>
      <c r="AD82" s="177"/>
    </row>
    <row r="83" spans="1:30" s="55" customFormat="1" ht="19.149999999999999" customHeight="1" x14ac:dyDescent="0.2">
      <c r="A83" s="177"/>
      <c r="B83" s="177"/>
      <c r="C83" s="177"/>
      <c r="D83" s="177"/>
      <c r="E83" s="56"/>
      <c r="F83" s="63"/>
      <c r="G83" s="25"/>
      <c r="H83" s="58"/>
      <c r="I83" s="59"/>
      <c r="J83" s="60"/>
      <c r="K83" s="56"/>
      <c r="L83" s="19"/>
      <c r="M83" s="61"/>
      <c r="N83" s="62"/>
      <c r="O83" s="177"/>
      <c r="P83" s="22"/>
      <c r="Q83" s="23"/>
      <c r="R83" s="107"/>
      <c r="S83" s="107"/>
      <c r="T83" s="107"/>
      <c r="U83" s="107"/>
      <c r="V83" s="177"/>
      <c r="W83" s="177"/>
      <c r="X83" s="177"/>
      <c r="Y83" s="177"/>
      <c r="Z83" s="177"/>
      <c r="AA83" s="177"/>
      <c r="AB83" s="177"/>
      <c r="AC83" s="177"/>
      <c r="AD83" s="177"/>
    </row>
    <row r="84" spans="1:30" s="55" customFormat="1" ht="19.149999999999999" customHeight="1" x14ac:dyDescent="0.2">
      <c r="A84" s="177"/>
      <c r="B84" s="177"/>
      <c r="C84" s="177"/>
      <c r="D84" s="177"/>
      <c r="E84" s="56"/>
      <c r="F84" s="63"/>
      <c r="G84" s="25"/>
      <c r="H84" s="58"/>
      <c r="I84" s="59"/>
      <c r="J84" s="60"/>
      <c r="K84" s="56"/>
      <c r="L84" s="19"/>
      <c r="M84" s="61"/>
      <c r="N84" s="62"/>
      <c r="O84" s="177"/>
      <c r="P84" s="22"/>
      <c r="Q84" s="23"/>
      <c r="R84" s="107"/>
      <c r="S84" s="107"/>
      <c r="T84" s="107"/>
      <c r="U84" s="107"/>
      <c r="V84" s="177"/>
      <c r="W84" s="177"/>
      <c r="X84" s="177"/>
      <c r="Y84" s="177"/>
      <c r="Z84" s="177"/>
      <c r="AA84" s="177"/>
      <c r="AB84" s="177"/>
      <c r="AC84" s="177"/>
      <c r="AD84" s="177"/>
    </row>
    <row r="85" spans="1:30" s="55" customFormat="1" ht="19.149999999999999" customHeight="1" x14ac:dyDescent="0.2">
      <c r="A85" s="177"/>
      <c r="B85" s="177"/>
      <c r="C85" s="177"/>
      <c r="D85" s="177"/>
      <c r="E85" s="56"/>
      <c r="F85" s="63"/>
      <c r="G85" s="25"/>
      <c r="H85" s="58"/>
      <c r="I85" s="59"/>
      <c r="J85" s="60"/>
      <c r="K85" s="56"/>
      <c r="L85" s="19"/>
      <c r="M85" s="61"/>
      <c r="N85" s="62"/>
      <c r="O85" s="177"/>
      <c r="P85" s="22"/>
      <c r="Q85" s="23"/>
      <c r="R85" s="107"/>
      <c r="S85" s="107"/>
      <c r="T85" s="107"/>
      <c r="U85" s="107"/>
      <c r="V85" s="177"/>
      <c r="W85" s="177"/>
      <c r="X85" s="177"/>
      <c r="Y85" s="177"/>
      <c r="Z85" s="177"/>
      <c r="AA85" s="177"/>
      <c r="AB85" s="177"/>
      <c r="AC85" s="177"/>
      <c r="AD85" s="177"/>
    </row>
    <row r="86" spans="1:30" s="55" customFormat="1" ht="19.149999999999999" customHeight="1" x14ac:dyDescent="0.2">
      <c r="A86" s="177"/>
      <c r="B86" s="177"/>
      <c r="C86" s="177"/>
      <c r="D86" s="177"/>
      <c r="E86" s="56"/>
      <c r="F86" s="63"/>
      <c r="G86" s="25"/>
      <c r="H86" s="58"/>
      <c r="I86" s="59"/>
      <c r="J86" s="60"/>
      <c r="K86" s="56"/>
      <c r="L86" s="19"/>
      <c r="M86" s="61"/>
      <c r="N86" s="62"/>
      <c r="O86" s="177"/>
      <c r="P86" s="22"/>
      <c r="Q86" s="23"/>
      <c r="R86" s="107"/>
      <c r="S86" s="107"/>
      <c r="T86" s="107"/>
      <c r="U86" s="107"/>
      <c r="V86" s="177"/>
      <c r="W86" s="177"/>
      <c r="X86" s="177"/>
      <c r="Y86" s="177"/>
      <c r="Z86" s="177"/>
      <c r="AA86" s="177"/>
      <c r="AB86" s="177"/>
      <c r="AC86" s="177"/>
      <c r="AD86" s="177"/>
    </row>
    <row r="87" spans="1:30" s="55" customFormat="1" ht="19.149999999999999" customHeight="1" x14ac:dyDescent="0.2">
      <c r="A87" s="177"/>
      <c r="B87" s="177"/>
      <c r="C87" s="177"/>
      <c r="D87" s="177"/>
      <c r="E87" s="56"/>
      <c r="F87" s="63"/>
      <c r="G87" s="25"/>
      <c r="H87" s="58"/>
      <c r="I87" s="59"/>
      <c r="J87" s="60"/>
      <c r="K87" s="56"/>
      <c r="L87" s="19"/>
      <c r="M87" s="61"/>
      <c r="N87" s="62"/>
      <c r="O87" s="177"/>
      <c r="P87" s="22"/>
      <c r="Q87" s="23"/>
      <c r="R87" s="107"/>
      <c r="S87" s="107"/>
      <c r="T87" s="107"/>
      <c r="U87" s="107"/>
      <c r="V87" s="177"/>
      <c r="W87" s="177"/>
      <c r="X87" s="177"/>
      <c r="Y87" s="177"/>
      <c r="Z87" s="177"/>
      <c r="AA87" s="177"/>
      <c r="AB87" s="177"/>
      <c r="AC87" s="177"/>
      <c r="AD87" s="177"/>
    </row>
    <row r="88" spans="1:30" s="55" customFormat="1" ht="19.149999999999999" customHeight="1" x14ac:dyDescent="0.2">
      <c r="A88" s="177"/>
      <c r="B88" s="177"/>
      <c r="C88" s="177"/>
      <c r="D88" s="177"/>
      <c r="E88" s="56"/>
      <c r="F88" s="63"/>
      <c r="G88" s="25"/>
      <c r="H88" s="58"/>
      <c r="I88" s="59"/>
      <c r="J88" s="60"/>
      <c r="K88" s="56"/>
      <c r="L88" s="19"/>
      <c r="M88" s="61"/>
      <c r="N88" s="62"/>
      <c r="O88" s="177"/>
      <c r="P88" s="22"/>
      <c r="Q88" s="23"/>
      <c r="R88" s="107"/>
      <c r="S88" s="107"/>
      <c r="T88" s="107"/>
      <c r="U88" s="107"/>
      <c r="V88" s="177"/>
      <c r="W88" s="177"/>
      <c r="X88" s="177"/>
      <c r="Y88" s="177"/>
      <c r="Z88" s="177"/>
      <c r="AA88" s="177"/>
      <c r="AB88" s="177"/>
      <c r="AC88" s="177"/>
      <c r="AD88" s="177"/>
    </row>
    <row r="89" spans="1:30" s="55" customFormat="1" ht="19.149999999999999" customHeight="1" x14ac:dyDescent="0.2">
      <c r="A89" s="177"/>
      <c r="B89" s="177"/>
      <c r="C89" s="177"/>
      <c r="D89" s="177"/>
      <c r="E89" s="56"/>
      <c r="F89" s="63"/>
      <c r="G89" s="25"/>
      <c r="H89" s="58"/>
      <c r="I89" s="59"/>
      <c r="J89" s="60"/>
      <c r="K89" s="56"/>
      <c r="L89" s="19"/>
      <c r="M89" s="61"/>
      <c r="N89" s="62"/>
      <c r="O89" s="177"/>
      <c r="P89" s="22"/>
      <c r="Q89" s="23"/>
      <c r="R89" s="107"/>
      <c r="S89" s="107"/>
      <c r="T89" s="107"/>
      <c r="U89" s="107"/>
      <c r="V89" s="177"/>
      <c r="W89" s="177"/>
      <c r="X89" s="177"/>
      <c r="Y89" s="177"/>
      <c r="Z89" s="177"/>
      <c r="AA89" s="177"/>
      <c r="AB89" s="177"/>
      <c r="AC89" s="177"/>
      <c r="AD89" s="177"/>
    </row>
    <row r="90" spans="1:30" s="55" customFormat="1" ht="19.149999999999999" customHeight="1" x14ac:dyDescent="0.2">
      <c r="A90" s="177"/>
      <c r="B90" s="75"/>
      <c r="C90" s="177"/>
      <c r="D90" s="177"/>
      <c r="E90" s="56"/>
      <c r="F90" s="63"/>
      <c r="G90" s="25"/>
      <c r="H90" s="58"/>
      <c r="I90" s="59"/>
      <c r="J90" s="60"/>
      <c r="K90" s="56"/>
      <c r="L90" s="19"/>
      <c r="M90" s="61"/>
      <c r="N90" s="62"/>
      <c r="O90" s="177"/>
      <c r="P90" s="22"/>
      <c r="Q90" s="23"/>
      <c r="R90" s="107"/>
      <c r="S90" s="107"/>
      <c r="T90" s="107"/>
      <c r="U90" s="107"/>
      <c r="V90" s="177"/>
      <c r="W90" s="177"/>
      <c r="X90" s="177"/>
      <c r="Y90" s="177"/>
      <c r="Z90" s="177"/>
      <c r="AA90" s="177"/>
      <c r="AB90" s="177"/>
      <c r="AC90" s="177"/>
      <c r="AD90" s="177"/>
    </row>
    <row r="91" spans="1:30" s="55" customFormat="1" ht="19.149999999999999" customHeight="1" x14ac:dyDescent="0.2">
      <c r="A91" s="177"/>
      <c r="B91" s="177"/>
      <c r="C91" s="177"/>
      <c r="D91" s="177"/>
      <c r="E91" s="56"/>
      <c r="F91" s="63"/>
      <c r="G91" s="25"/>
      <c r="H91" s="58"/>
      <c r="I91" s="59"/>
      <c r="J91" s="60"/>
      <c r="K91" s="56"/>
      <c r="L91" s="19"/>
      <c r="M91" s="61"/>
      <c r="N91" s="62"/>
      <c r="O91" s="177"/>
      <c r="P91" s="22"/>
      <c r="Q91" s="23"/>
      <c r="R91" s="107"/>
      <c r="S91" s="107"/>
      <c r="T91" s="107"/>
      <c r="U91" s="107"/>
      <c r="V91" s="177"/>
      <c r="W91" s="177"/>
      <c r="X91" s="177"/>
      <c r="Y91" s="177"/>
      <c r="Z91" s="177"/>
      <c r="AA91" s="177"/>
      <c r="AB91" s="177"/>
      <c r="AC91" s="177"/>
      <c r="AD91" s="177"/>
    </row>
    <row r="92" spans="1:30" s="55" customFormat="1" ht="19.149999999999999" customHeight="1" x14ac:dyDescent="0.2">
      <c r="A92" s="177"/>
      <c r="B92" s="177"/>
      <c r="C92" s="177"/>
      <c r="D92" s="177"/>
      <c r="E92" s="56"/>
      <c r="F92" s="63"/>
      <c r="G92" s="25"/>
      <c r="H92" s="58"/>
      <c r="I92" s="59"/>
      <c r="J92" s="60"/>
      <c r="K92" s="56"/>
      <c r="L92" s="19"/>
      <c r="M92" s="61"/>
      <c r="N92" s="62"/>
      <c r="O92" s="177"/>
      <c r="P92" s="22"/>
      <c r="Q92" s="23"/>
      <c r="R92" s="107"/>
      <c r="S92" s="107"/>
      <c r="T92" s="107"/>
      <c r="U92" s="107"/>
      <c r="V92" s="177"/>
      <c r="W92" s="177"/>
      <c r="X92" s="177"/>
      <c r="Y92" s="177"/>
      <c r="Z92" s="177"/>
      <c r="AA92" s="177"/>
      <c r="AB92" s="177"/>
      <c r="AC92" s="177"/>
      <c r="AD92" s="177"/>
    </row>
    <row r="93" spans="1:30" s="55" customFormat="1" ht="19.149999999999999" customHeight="1" x14ac:dyDescent="0.2">
      <c r="A93" s="177"/>
      <c r="B93" s="177"/>
      <c r="C93" s="177"/>
      <c r="D93" s="177"/>
      <c r="E93" s="56"/>
      <c r="F93" s="63"/>
      <c r="G93" s="25"/>
      <c r="H93" s="58"/>
      <c r="I93" s="59"/>
      <c r="J93" s="60"/>
      <c r="K93" s="56"/>
      <c r="L93" s="19"/>
      <c r="M93" s="61"/>
      <c r="N93" s="62"/>
      <c r="O93" s="177"/>
      <c r="P93" s="22"/>
      <c r="Q93" s="23"/>
      <c r="R93" s="107"/>
      <c r="S93" s="107"/>
      <c r="T93" s="107"/>
      <c r="U93" s="107"/>
      <c r="V93" s="177"/>
      <c r="W93" s="177"/>
      <c r="X93" s="177"/>
      <c r="Y93" s="177"/>
      <c r="Z93" s="177"/>
      <c r="AA93" s="177"/>
      <c r="AB93" s="177"/>
      <c r="AC93" s="177"/>
      <c r="AD93" s="177"/>
    </row>
    <row r="94" spans="1:30" s="55" customFormat="1" ht="19.149999999999999" customHeight="1" x14ac:dyDescent="0.2">
      <c r="A94" s="177"/>
      <c r="B94" s="177"/>
      <c r="C94" s="177"/>
      <c r="D94" s="177"/>
      <c r="E94" s="56"/>
      <c r="F94" s="63"/>
      <c r="G94" s="25"/>
      <c r="H94" s="58"/>
      <c r="I94" s="59"/>
      <c r="J94" s="60"/>
      <c r="K94" s="56"/>
      <c r="L94" s="19"/>
      <c r="M94" s="61"/>
      <c r="N94" s="62"/>
      <c r="O94" s="177"/>
      <c r="P94" s="22"/>
      <c r="Q94" s="23"/>
      <c r="R94" s="107"/>
      <c r="S94" s="107"/>
      <c r="T94" s="107"/>
      <c r="U94" s="107"/>
      <c r="V94" s="177"/>
      <c r="W94" s="177"/>
      <c r="X94" s="177"/>
      <c r="Y94" s="177"/>
      <c r="Z94" s="177"/>
      <c r="AA94" s="177"/>
      <c r="AB94" s="177"/>
      <c r="AC94" s="177"/>
      <c r="AD94" s="177"/>
    </row>
    <row r="95" spans="1:30" s="55" customFormat="1" ht="19.149999999999999" customHeight="1" x14ac:dyDescent="0.2">
      <c r="A95" s="177"/>
      <c r="B95" s="177"/>
      <c r="C95" s="177"/>
      <c r="D95" s="177"/>
      <c r="E95" s="56"/>
      <c r="F95" s="63"/>
      <c r="G95" s="25"/>
      <c r="H95" s="58"/>
      <c r="I95" s="59"/>
      <c r="J95" s="60"/>
      <c r="K95" s="56"/>
      <c r="L95" s="19"/>
      <c r="M95" s="61"/>
      <c r="N95" s="62"/>
      <c r="O95" s="177"/>
      <c r="P95" s="22"/>
      <c r="Q95" s="23"/>
      <c r="R95" s="107"/>
      <c r="S95" s="107"/>
      <c r="T95" s="107"/>
      <c r="U95" s="107"/>
      <c r="V95" s="177"/>
      <c r="W95" s="177"/>
      <c r="X95" s="177"/>
      <c r="Y95" s="177"/>
      <c r="Z95" s="177"/>
      <c r="AA95" s="177"/>
      <c r="AB95" s="177"/>
      <c r="AC95" s="177"/>
      <c r="AD95" s="177"/>
    </row>
    <row r="96" spans="1:30" s="55" customFormat="1" ht="19.149999999999999" customHeight="1" x14ac:dyDescent="0.2">
      <c r="A96" s="177"/>
      <c r="B96" s="177"/>
      <c r="C96" s="177"/>
      <c r="D96" s="177"/>
      <c r="E96" s="56"/>
      <c r="F96" s="63"/>
      <c r="G96" s="25"/>
      <c r="H96" s="58"/>
      <c r="I96" s="59"/>
      <c r="J96" s="60"/>
      <c r="K96" s="56"/>
      <c r="L96" s="19"/>
      <c r="M96" s="61"/>
      <c r="N96" s="62"/>
      <c r="O96" s="177"/>
      <c r="P96" s="22"/>
      <c r="Q96" s="23"/>
      <c r="R96" s="107"/>
      <c r="S96" s="107"/>
      <c r="T96" s="107"/>
      <c r="U96" s="107"/>
      <c r="V96" s="177"/>
      <c r="W96" s="177"/>
      <c r="X96" s="177"/>
      <c r="Y96" s="177"/>
      <c r="Z96" s="177"/>
      <c r="AA96" s="177"/>
      <c r="AB96" s="177"/>
      <c r="AC96" s="177"/>
      <c r="AD96" s="177"/>
    </row>
    <row r="97" spans="1:30" s="55" customFormat="1" ht="19.149999999999999" customHeight="1" x14ac:dyDescent="0.2">
      <c r="A97" s="177"/>
      <c r="B97" s="177"/>
      <c r="C97" s="177"/>
      <c r="D97" s="177"/>
      <c r="E97" s="56"/>
      <c r="F97" s="63"/>
      <c r="G97" s="25"/>
      <c r="H97" s="58"/>
      <c r="I97" s="59"/>
      <c r="J97" s="60"/>
      <c r="K97" s="56"/>
      <c r="L97" s="19"/>
      <c r="M97" s="61"/>
      <c r="N97" s="62"/>
      <c r="O97" s="177"/>
      <c r="P97" s="22"/>
      <c r="Q97" s="23"/>
      <c r="R97" s="107"/>
      <c r="S97" s="107"/>
      <c r="T97" s="107"/>
      <c r="U97" s="107"/>
      <c r="V97" s="177"/>
      <c r="W97" s="177"/>
      <c r="X97" s="177"/>
      <c r="Y97" s="177"/>
      <c r="Z97" s="177"/>
      <c r="AA97" s="177"/>
      <c r="AB97" s="177"/>
      <c r="AC97" s="177"/>
      <c r="AD97" s="177"/>
    </row>
    <row r="98" spans="1:30" s="55" customFormat="1" ht="19.149999999999999" customHeight="1" x14ac:dyDescent="0.2">
      <c r="A98" s="177"/>
      <c r="B98" s="177"/>
      <c r="C98" s="177"/>
      <c r="D98" s="177"/>
      <c r="E98" s="56"/>
      <c r="F98" s="63"/>
      <c r="G98" s="25"/>
      <c r="H98" s="58"/>
      <c r="I98" s="59"/>
      <c r="J98" s="60"/>
      <c r="K98" s="56"/>
      <c r="L98" s="19"/>
      <c r="M98" s="61"/>
      <c r="N98" s="62"/>
      <c r="O98" s="177"/>
      <c r="P98" s="22"/>
      <c r="Q98" s="23"/>
      <c r="R98" s="107"/>
      <c r="S98" s="107"/>
      <c r="T98" s="107"/>
      <c r="U98" s="107"/>
      <c r="V98" s="177"/>
      <c r="W98" s="177"/>
      <c r="X98" s="177"/>
      <c r="Y98" s="177"/>
      <c r="Z98" s="177"/>
      <c r="AA98" s="177"/>
      <c r="AB98" s="177"/>
      <c r="AC98" s="177"/>
      <c r="AD98" s="177"/>
    </row>
    <row r="99" spans="1:30" s="55" customFormat="1" ht="19.149999999999999" customHeight="1" x14ac:dyDescent="0.2">
      <c r="A99" s="177"/>
      <c r="B99" s="177"/>
      <c r="C99" s="177"/>
      <c r="D99" s="177"/>
      <c r="E99" s="76"/>
      <c r="F99" s="63"/>
      <c r="G99" s="77"/>
      <c r="H99" s="58">
        <f>SUM(H2:H98)</f>
        <v>327000</v>
      </c>
      <c r="I99" s="59">
        <f>SUM(I2:I98)+A19</f>
        <v>56882.939999999995</v>
      </c>
      <c r="J99" s="60">
        <f>SUM(H99:I99)</f>
        <v>383882.94</v>
      </c>
      <c r="K99" s="78"/>
      <c r="L99" s="19"/>
      <c r="M99" s="61"/>
      <c r="N99" s="79"/>
      <c r="O99" s="177"/>
      <c r="P99" s="22"/>
      <c r="Q99" s="23"/>
      <c r="R99" s="107"/>
      <c r="S99" s="107"/>
      <c r="T99" s="107"/>
      <c r="U99" s="107"/>
      <c r="V99" s="177"/>
      <c r="W99" s="177"/>
      <c r="X99" s="177"/>
      <c r="Y99" s="177"/>
      <c r="Z99" s="177"/>
      <c r="AA99" s="177"/>
      <c r="AB99" s="177"/>
      <c r="AC99" s="177"/>
      <c r="AD99" s="177"/>
    </row>
    <row r="100" spans="1:30" s="55" customFormat="1" ht="19.149999999999999" customHeight="1" x14ac:dyDescent="0.2">
      <c r="A100" s="177"/>
      <c r="B100" s="177"/>
      <c r="C100" s="177"/>
      <c r="D100" s="177"/>
      <c r="E100" s="53"/>
      <c r="F100" s="50"/>
      <c r="G100" s="50"/>
      <c r="H100" s="52"/>
      <c r="I100" s="53" t="s">
        <v>184</v>
      </c>
      <c r="J100" s="53" t="s">
        <v>185</v>
      </c>
      <c r="K100" s="53"/>
      <c r="L100" s="54"/>
      <c r="M100" s="54"/>
      <c r="N100" s="53"/>
      <c r="O100" s="177"/>
      <c r="P100" s="22"/>
      <c r="Q100" s="23"/>
      <c r="R100" s="107"/>
      <c r="S100" s="107"/>
      <c r="T100" s="107"/>
      <c r="U100" s="107"/>
      <c r="V100" s="177"/>
      <c r="W100" s="177"/>
      <c r="X100" s="177"/>
      <c r="Y100" s="177"/>
      <c r="Z100" s="177"/>
      <c r="AA100" s="177"/>
      <c r="AB100" s="177"/>
      <c r="AC100" s="177"/>
      <c r="AD100" s="177"/>
    </row>
    <row r="101" spans="1:30" s="55" customFormat="1" ht="19.149999999999999" customHeight="1" x14ac:dyDescent="0.2">
      <c r="A101" s="177"/>
      <c r="B101" s="177"/>
      <c r="C101" s="177"/>
      <c r="D101" s="177"/>
      <c r="E101" s="49" t="s">
        <v>19</v>
      </c>
      <c r="F101" s="50" t="s">
        <v>86</v>
      </c>
      <c r="G101" s="51" t="s">
        <v>20</v>
      </c>
      <c r="H101" s="52" t="s">
        <v>22</v>
      </c>
      <c r="I101" s="53" t="s">
        <v>23</v>
      </c>
      <c r="J101" s="53" t="s">
        <v>24</v>
      </c>
      <c r="K101" s="53" t="s">
        <v>25</v>
      </c>
      <c r="L101" s="54" t="s">
        <v>26</v>
      </c>
      <c r="M101" s="54" t="s">
        <v>110</v>
      </c>
      <c r="N101" s="53" t="s">
        <v>111</v>
      </c>
      <c r="O101" s="177"/>
      <c r="P101" s="22"/>
      <c r="Q101" s="23"/>
      <c r="R101" s="107"/>
      <c r="S101" s="107"/>
      <c r="T101" s="107"/>
      <c r="U101" s="107"/>
      <c r="V101" s="177"/>
      <c r="W101" s="177"/>
      <c r="X101" s="177"/>
      <c r="Y101" s="177"/>
      <c r="Z101" s="177"/>
      <c r="AA101" s="177"/>
      <c r="AB101" s="177"/>
      <c r="AC101" s="177"/>
      <c r="AD101" s="177"/>
    </row>
    <row r="102" spans="1:30" s="55" customFormat="1" ht="19.149999999999999" customHeight="1" x14ac:dyDescent="0.2">
      <c r="A102" s="177"/>
      <c r="B102" s="177"/>
      <c r="C102" s="177"/>
      <c r="D102" s="177"/>
      <c r="E102" s="56">
        <v>43</v>
      </c>
      <c r="F102" s="63">
        <v>46573</v>
      </c>
      <c r="G102" s="25"/>
      <c r="H102" s="58">
        <v>20000</v>
      </c>
      <c r="I102" s="59">
        <v>9720.19</v>
      </c>
      <c r="J102" s="60">
        <f t="shared" ref="J102:J124" si="9">SUM(H102:I102)</f>
        <v>29720.190000000002</v>
      </c>
      <c r="K102" s="56" t="str">
        <f t="shared" ref="K102:K105" ca="1" si="10">IF(F102&lt;=TODAY(),"Check!","Waiting")</f>
        <v>Waiting</v>
      </c>
      <c r="L102" s="19"/>
      <c r="M102" s="61" t="s">
        <v>186</v>
      </c>
      <c r="N102" s="62">
        <v>14.7</v>
      </c>
      <c r="O102" s="177"/>
      <c r="P102" s="22"/>
      <c r="Q102" s="23"/>
      <c r="R102" s="107"/>
      <c r="S102" s="107"/>
      <c r="T102" s="107"/>
      <c r="U102" s="107"/>
      <c r="V102" s="177"/>
      <c r="W102" s="177"/>
      <c r="X102" s="177"/>
      <c r="Y102" s="177"/>
      <c r="Z102" s="177"/>
      <c r="AA102" s="177"/>
      <c r="AB102" s="177"/>
      <c r="AC102" s="177"/>
      <c r="AD102" s="177"/>
    </row>
    <row r="103" spans="1:30" s="55" customFormat="1" ht="19.149999999999999" customHeight="1" x14ac:dyDescent="0.2">
      <c r="A103" s="177"/>
      <c r="B103" s="177"/>
      <c r="C103" s="177"/>
      <c r="D103" s="177"/>
      <c r="E103" s="56">
        <v>21</v>
      </c>
      <c r="F103" s="63"/>
      <c r="G103" s="25">
        <v>45900</v>
      </c>
      <c r="H103" s="58">
        <v>5000</v>
      </c>
      <c r="I103" s="59">
        <v>1153.08</v>
      </c>
      <c r="J103" s="60">
        <f t="shared" si="9"/>
        <v>6153.08</v>
      </c>
      <c r="K103" s="56" t="s">
        <v>31</v>
      </c>
      <c r="L103" s="165" t="s">
        <v>41</v>
      </c>
      <c r="M103" s="61" t="s">
        <v>187</v>
      </c>
      <c r="N103" s="62">
        <v>14.3</v>
      </c>
      <c r="O103" s="177"/>
      <c r="P103" s="22"/>
      <c r="Q103" s="23"/>
      <c r="R103" s="107"/>
      <c r="S103" s="107"/>
      <c r="T103" s="107"/>
      <c r="U103" s="107"/>
      <c r="V103" s="177"/>
      <c r="W103" s="177"/>
      <c r="X103" s="177"/>
      <c r="Y103" s="177"/>
      <c r="Z103" s="177"/>
      <c r="AA103" s="177"/>
      <c r="AB103" s="177"/>
      <c r="AC103" s="177"/>
      <c r="AD103" s="177"/>
    </row>
    <row r="104" spans="1:30" s="55" customFormat="1" ht="19.149999999999999" customHeight="1" x14ac:dyDescent="0.2">
      <c r="A104" s="177"/>
      <c r="B104" s="177"/>
      <c r="C104" s="177"/>
      <c r="D104" s="177"/>
      <c r="E104" s="56">
        <v>24</v>
      </c>
      <c r="F104" s="63">
        <v>45998</v>
      </c>
      <c r="G104" s="25"/>
      <c r="H104" s="58">
        <v>5000</v>
      </c>
      <c r="I104" s="59">
        <v>1333.27</v>
      </c>
      <c r="J104" s="60">
        <f t="shared" si="9"/>
        <v>6333.27</v>
      </c>
      <c r="K104" s="56" t="str">
        <f t="shared" ca="1" si="10"/>
        <v>Waiting</v>
      </c>
      <c r="L104" s="165"/>
      <c r="M104" s="61" t="s">
        <v>188</v>
      </c>
      <c r="N104" s="62">
        <v>14.5</v>
      </c>
      <c r="O104" s="177"/>
      <c r="P104" s="22"/>
      <c r="Q104" s="23"/>
      <c r="R104" s="107"/>
      <c r="S104" s="107"/>
      <c r="T104" s="107"/>
      <c r="U104" s="107"/>
      <c r="V104" s="177"/>
      <c r="W104" s="177"/>
      <c r="X104" s="177"/>
      <c r="Y104" s="177"/>
      <c r="Z104" s="177"/>
      <c r="AA104" s="177"/>
      <c r="AB104" s="177"/>
      <c r="AC104" s="177"/>
      <c r="AD104" s="177"/>
    </row>
    <row r="105" spans="1:30" s="55" customFormat="1" ht="19.149999999999999" customHeight="1" x14ac:dyDescent="0.2">
      <c r="A105" s="177"/>
      <c r="B105" s="177"/>
      <c r="C105" s="177"/>
      <c r="D105" s="177"/>
      <c r="E105" s="56">
        <v>27</v>
      </c>
      <c r="F105" s="63">
        <v>46089</v>
      </c>
      <c r="G105" s="25"/>
      <c r="H105" s="58">
        <v>5000</v>
      </c>
      <c r="I105" s="59">
        <v>1618.95</v>
      </c>
      <c r="J105" s="60">
        <f t="shared" si="9"/>
        <v>6618.95</v>
      </c>
      <c r="K105" s="56" t="str">
        <f t="shared" ca="1" si="10"/>
        <v>Waiting</v>
      </c>
      <c r="L105" s="165"/>
      <c r="M105" s="61" t="s">
        <v>189</v>
      </c>
      <c r="N105" s="62">
        <v>15.6</v>
      </c>
      <c r="O105" s="177"/>
      <c r="P105" s="22"/>
      <c r="Q105" s="23"/>
      <c r="R105" s="107"/>
      <c r="S105" s="107"/>
      <c r="T105" s="107"/>
      <c r="U105" s="107"/>
      <c r="V105" s="177"/>
      <c r="W105" s="177"/>
      <c r="X105" s="177"/>
      <c r="Y105" s="177"/>
      <c r="Z105" s="177"/>
      <c r="AA105" s="177"/>
      <c r="AB105" s="177"/>
      <c r="AC105" s="177"/>
      <c r="AD105" s="177"/>
    </row>
    <row r="106" spans="1:30" s="55" customFormat="1" ht="19.149999999999999" customHeight="1" x14ac:dyDescent="0.2">
      <c r="A106" s="177"/>
      <c r="B106" s="177"/>
      <c r="C106" s="177"/>
      <c r="D106" s="177"/>
      <c r="E106" s="56">
        <v>18</v>
      </c>
      <c r="F106" s="63"/>
      <c r="G106" s="25">
        <v>45796</v>
      </c>
      <c r="H106" s="58">
        <v>5000</v>
      </c>
      <c r="I106" s="59">
        <v>1007.84</v>
      </c>
      <c r="J106" s="60">
        <f t="shared" si="9"/>
        <v>6007.84</v>
      </c>
      <c r="K106" s="56" t="s">
        <v>31</v>
      </c>
      <c r="L106" s="165" t="s">
        <v>43</v>
      </c>
      <c r="M106" s="61" t="s">
        <v>190</v>
      </c>
      <c r="N106" s="62">
        <v>14.9</v>
      </c>
      <c r="O106" s="177"/>
      <c r="P106" s="22"/>
      <c r="Q106" s="23"/>
      <c r="R106" s="107"/>
      <c r="S106" s="107"/>
      <c r="T106" s="107"/>
      <c r="U106" s="107"/>
      <c r="V106" s="177"/>
      <c r="W106" s="177"/>
      <c r="X106" s="177"/>
      <c r="Y106" s="177"/>
      <c r="Z106" s="177"/>
      <c r="AA106" s="177"/>
      <c r="AB106" s="177"/>
      <c r="AC106" s="177"/>
      <c r="AD106" s="177"/>
    </row>
    <row r="107" spans="1:30" s="55" customFormat="1" ht="19.149999999999999" customHeight="1" x14ac:dyDescent="0.2">
      <c r="A107" s="177"/>
      <c r="B107" s="177"/>
      <c r="C107" s="177"/>
      <c r="D107" s="177"/>
      <c r="E107" s="56">
        <v>24</v>
      </c>
      <c r="F107" s="63"/>
      <c r="G107" s="25">
        <v>45916</v>
      </c>
      <c r="H107" s="58">
        <v>5000</v>
      </c>
      <c r="I107" s="59">
        <v>915.69</v>
      </c>
      <c r="J107" s="60">
        <f t="shared" si="9"/>
        <v>5915.6900000000005</v>
      </c>
      <c r="K107" s="56" t="s">
        <v>31</v>
      </c>
      <c r="L107" s="165" t="s">
        <v>44</v>
      </c>
      <c r="M107" s="61" t="s">
        <v>191</v>
      </c>
      <c r="N107" s="62">
        <v>12</v>
      </c>
      <c r="O107" s="177"/>
      <c r="P107" s="22"/>
      <c r="Q107" s="23"/>
      <c r="R107" s="107"/>
      <c r="S107" s="107"/>
      <c r="T107" s="107"/>
      <c r="U107" s="107"/>
      <c r="V107" s="177"/>
      <c r="W107" s="177"/>
      <c r="X107" s="177"/>
      <c r="Y107" s="177"/>
      <c r="Z107" s="177"/>
      <c r="AA107" s="177"/>
      <c r="AB107" s="177"/>
      <c r="AC107" s="177"/>
      <c r="AD107" s="177"/>
    </row>
    <row r="108" spans="1:30" s="55" customFormat="1" ht="19.149999999999999" customHeight="1" x14ac:dyDescent="0.2">
      <c r="A108" s="177"/>
      <c r="B108" s="177"/>
      <c r="C108" s="177"/>
      <c r="D108" s="177"/>
      <c r="E108" s="56">
        <v>15</v>
      </c>
      <c r="F108" s="63"/>
      <c r="G108" s="25">
        <v>45761</v>
      </c>
      <c r="H108" s="58">
        <v>10000</v>
      </c>
      <c r="I108" s="59">
        <v>1624.85</v>
      </c>
      <c r="J108" s="60">
        <f t="shared" si="9"/>
        <v>11624.85</v>
      </c>
      <c r="K108" s="56" t="s">
        <v>31</v>
      </c>
      <c r="L108" s="165"/>
      <c r="M108" s="61" t="s">
        <v>192</v>
      </c>
      <c r="N108" s="62">
        <v>14.2</v>
      </c>
      <c r="O108" s="177"/>
      <c r="P108" s="22"/>
      <c r="Q108" s="23"/>
      <c r="R108" s="107"/>
      <c r="S108" s="107"/>
      <c r="T108" s="107"/>
      <c r="U108" s="107"/>
      <c r="V108" s="177"/>
      <c r="W108" s="177"/>
      <c r="X108" s="177"/>
      <c r="Y108" s="177"/>
      <c r="Z108" s="177"/>
      <c r="AA108" s="177"/>
      <c r="AB108" s="177"/>
      <c r="AC108" s="177"/>
      <c r="AD108" s="177"/>
    </row>
    <row r="109" spans="1:30" s="55" customFormat="1" ht="19.149999999999999" customHeight="1" x14ac:dyDescent="0.2">
      <c r="A109" s="177"/>
      <c r="B109" s="177"/>
      <c r="C109" s="177"/>
      <c r="D109" s="177"/>
      <c r="E109" s="56">
        <v>27</v>
      </c>
      <c r="F109" s="63"/>
      <c r="G109" s="25">
        <v>45911</v>
      </c>
      <c r="H109" s="58">
        <v>5000</v>
      </c>
      <c r="I109" s="59">
        <v>929.21</v>
      </c>
      <c r="J109" s="60">
        <f t="shared" si="9"/>
        <v>5929.21</v>
      </c>
      <c r="K109" s="56" t="s">
        <v>31</v>
      </c>
      <c r="L109" s="165" t="s">
        <v>46</v>
      </c>
      <c r="M109" s="61" t="s">
        <v>193</v>
      </c>
      <c r="N109" s="62">
        <v>14.7</v>
      </c>
      <c r="O109" s="177"/>
      <c r="P109" s="22"/>
      <c r="Q109" s="23"/>
      <c r="R109" s="107"/>
      <c r="S109" s="107"/>
      <c r="T109" s="107"/>
      <c r="U109" s="107"/>
      <c r="V109" s="177"/>
      <c r="W109" s="177"/>
      <c r="X109" s="177"/>
      <c r="Y109" s="177"/>
      <c r="Z109" s="177"/>
      <c r="AA109" s="177"/>
      <c r="AB109" s="177"/>
      <c r="AC109" s="177"/>
      <c r="AD109" s="177"/>
    </row>
    <row r="110" spans="1:30" s="55" customFormat="1" ht="19.149999999999999" customHeight="1" x14ac:dyDescent="0.2">
      <c r="A110" s="177"/>
      <c r="B110" s="177"/>
      <c r="C110" s="177"/>
      <c r="D110" s="177"/>
      <c r="E110" s="56">
        <v>27</v>
      </c>
      <c r="F110" s="63">
        <v>46238</v>
      </c>
      <c r="G110" s="25"/>
      <c r="H110" s="58">
        <v>5000</v>
      </c>
      <c r="I110" s="59">
        <v>1526.69</v>
      </c>
      <c r="J110" s="60">
        <f t="shared" si="9"/>
        <v>6526.6900000000005</v>
      </c>
      <c r="K110" s="56" t="str">
        <f ca="1">IF(F110&lt;=TODAY(),"Check!","Waiting")</f>
        <v>Waiting</v>
      </c>
      <c r="L110" s="165"/>
      <c r="M110" s="61" t="s">
        <v>194</v>
      </c>
      <c r="N110" s="62">
        <v>14.7</v>
      </c>
      <c r="O110" s="177"/>
      <c r="P110" s="22"/>
      <c r="Q110" s="23"/>
      <c r="R110" s="107"/>
      <c r="S110" s="107"/>
      <c r="T110" s="107"/>
      <c r="U110" s="107"/>
      <c r="V110" s="177"/>
      <c r="W110" s="177"/>
      <c r="X110" s="177"/>
      <c r="Y110" s="177"/>
      <c r="Z110" s="177"/>
      <c r="AA110" s="177"/>
      <c r="AB110" s="177"/>
      <c r="AC110" s="177"/>
      <c r="AD110" s="177"/>
    </row>
    <row r="111" spans="1:30" s="55" customFormat="1" ht="19.149999999999999" customHeight="1" x14ac:dyDescent="0.2">
      <c r="A111" s="177"/>
      <c r="B111" s="177"/>
      <c r="C111" s="177"/>
      <c r="D111" s="177"/>
      <c r="E111" s="56">
        <v>12</v>
      </c>
      <c r="F111" s="63"/>
      <c r="G111" s="25">
        <v>45774</v>
      </c>
      <c r="H111" s="58">
        <v>5000</v>
      </c>
      <c r="I111" s="59">
        <v>554.86</v>
      </c>
      <c r="J111" s="60">
        <f t="shared" si="9"/>
        <v>5554.86</v>
      </c>
      <c r="K111" s="56" t="s">
        <v>31</v>
      </c>
      <c r="L111" s="165"/>
      <c r="M111" s="61" t="s">
        <v>195</v>
      </c>
      <c r="N111" s="62">
        <v>12.3</v>
      </c>
      <c r="O111" s="177"/>
      <c r="P111" s="22"/>
      <c r="Q111" s="23"/>
      <c r="R111" s="107"/>
      <c r="S111" s="107"/>
      <c r="T111" s="107"/>
      <c r="U111" s="107"/>
      <c r="V111" s="177"/>
      <c r="W111" s="177"/>
      <c r="X111" s="177"/>
      <c r="Y111" s="177"/>
      <c r="Z111" s="177"/>
      <c r="AA111" s="177"/>
      <c r="AB111" s="177"/>
      <c r="AC111" s="177"/>
      <c r="AD111" s="177"/>
    </row>
    <row r="112" spans="1:30" s="55" customFormat="1" ht="19.149999999999999" customHeight="1" x14ac:dyDescent="0.2">
      <c r="A112" s="177"/>
      <c r="B112" s="75"/>
      <c r="C112" s="177"/>
      <c r="D112" s="177"/>
      <c r="E112" s="56">
        <v>27</v>
      </c>
      <c r="F112" s="63">
        <v>46243</v>
      </c>
      <c r="G112" s="25"/>
      <c r="H112" s="58">
        <v>10000</v>
      </c>
      <c r="I112" s="59">
        <v>3161.22</v>
      </c>
      <c r="J112" s="60">
        <f t="shared" si="9"/>
        <v>13161.22</v>
      </c>
      <c r="K112" s="56" t="str">
        <f ca="1">IF(F112&lt;=TODAY(),"Check!","Waiting")</f>
        <v>Waiting</v>
      </c>
      <c r="L112" s="19"/>
      <c r="M112" s="61" t="s">
        <v>196</v>
      </c>
      <c r="N112" s="62">
        <v>15.2</v>
      </c>
      <c r="O112" s="177"/>
      <c r="P112" s="22"/>
      <c r="Q112" s="23"/>
      <c r="R112" s="107"/>
      <c r="S112" s="107"/>
      <c r="T112" s="107"/>
      <c r="U112" s="107"/>
      <c r="V112" s="177"/>
      <c r="W112" s="177"/>
      <c r="X112" s="177"/>
      <c r="Y112" s="177"/>
      <c r="Z112" s="177"/>
      <c r="AA112" s="177"/>
      <c r="AB112" s="177"/>
      <c r="AC112" s="177"/>
      <c r="AD112" s="177"/>
    </row>
    <row r="113" spans="1:30" s="55" customFormat="1" ht="19.149999999999999" customHeight="1" x14ac:dyDescent="0.2">
      <c r="A113" s="177"/>
      <c r="B113" s="177"/>
      <c r="C113" s="177"/>
      <c r="D113" s="177"/>
      <c r="E113" s="56">
        <v>48</v>
      </c>
      <c r="F113" s="63">
        <v>46880</v>
      </c>
      <c r="G113" s="25"/>
      <c r="H113" s="58">
        <v>5000</v>
      </c>
      <c r="I113" s="59">
        <v>2441.19</v>
      </c>
      <c r="J113" s="60">
        <f t="shared" si="9"/>
        <v>7441.1900000000005</v>
      </c>
      <c r="K113" s="56" t="str">
        <f ca="1">IF(F113&lt;=TODAY(),"Check!","Waiting")</f>
        <v>Waiting</v>
      </c>
      <c r="L113" s="19"/>
      <c r="M113" s="61" t="s">
        <v>197</v>
      </c>
      <c r="N113" s="62">
        <v>13.4</v>
      </c>
      <c r="O113" s="177"/>
      <c r="P113" s="22"/>
      <c r="Q113" s="23"/>
      <c r="R113" s="107"/>
      <c r="S113" s="107"/>
      <c r="T113" s="107"/>
      <c r="U113" s="107"/>
      <c r="V113" s="177"/>
      <c r="W113" s="177"/>
      <c r="X113" s="177"/>
      <c r="Y113" s="177"/>
      <c r="Z113" s="177"/>
      <c r="AA113" s="177"/>
      <c r="AB113" s="177"/>
      <c r="AC113" s="177"/>
      <c r="AD113" s="177"/>
    </row>
    <row r="114" spans="1:30" s="55" customFormat="1" ht="19.149999999999999" customHeight="1" x14ac:dyDescent="0.2">
      <c r="A114" s="177"/>
      <c r="B114" s="177"/>
      <c r="C114" s="177"/>
      <c r="D114" s="177"/>
      <c r="E114" s="56">
        <v>40</v>
      </c>
      <c r="F114" s="63">
        <v>46642</v>
      </c>
      <c r="G114" s="25"/>
      <c r="H114" s="58">
        <v>10000</v>
      </c>
      <c r="I114" s="59">
        <v>3216.12</v>
      </c>
      <c r="J114" s="60">
        <f t="shared" si="9"/>
        <v>13216.119999999999</v>
      </c>
      <c r="K114" s="56" t="str">
        <f ca="1">IF(F114&lt;=TODAY(),"Check!","Waiting")</f>
        <v>Waiting</v>
      </c>
      <c r="L114" s="19"/>
      <c r="M114" s="61" t="s">
        <v>198</v>
      </c>
      <c r="N114" s="62">
        <v>14.4</v>
      </c>
      <c r="O114" s="177"/>
      <c r="P114" s="22"/>
      <c r="Q114" s="23"/>
      <c r="R114" s="107"/>
      <c r="S114" s="107"/>
      <c r="T114" s="107"/>
      <c r="U114" s="107"/>
      <c r="V114" s="177"/>
      <c r="W114" s="177"/>
      <c r="X114" s="177"/>
      <c r="Y114" s="177"/>
      <c r="Z114" s="177"/>
      <c r="AA114" s="177"/>
      <c r="AB114" s="177"/>
      <c r="AC114" s="177"/>
      <c r="AD114" s="177"/>
    </row>
    <row r="115" spans="1:30" s="55" customFormat="1" ht="19.149999999999999" customHeight="1" x14ac:dyDescent="0.2">
      <c r="A115" s="177"/>
      <c r="B115" s="177"/>
      <c r="C115" s="177"/>
      <c r="D115" s="177"/>
      <c r="E115" s="56">
        <v>26</v>
      </c>
      <c r="F115" s="63">
        <v>46216</v>
      </c>
      <c r="G115" s="25"/>
      <c r="H115" s="58">
        <v>5000</v>
      </c>
      <c r="I115" s="59">
        <v>1485.95</v>
      </c>
      <c r="J115" s="60">
        <f t="shared" si="9"/>
        <v>6485.95</v>
      </c>
      <c r="K115" s="56" t="str">
        <f ca="1">IF(F115&lt;=TODAY(),"Check!","Waiting")</f>
        <v>Waiting</v>
      </c>
      <c r="L115" s="19"/>
      <c r="M115" s="61" t="s">
        <v>199</v>
      </c>
      <c r="N115" s="62">
        <v>14.9</v>
      </c>
      <c r="O115" s="177"/>
      <c r="P115" s="22"/>
      <c r="Q115" s="23"/>
      <c r="R115" s="107"/>
      <c r="S115" s="107"/>
      <c r="T115" s="107"/>
      <c r="U115" s="107"/>
      <c r="V115" s="177"/>
      <c r="W115" s="177"/>
      <c r="X115" s="177"/>
      <c r="Y115" s="177"/>
      <c r="Z115" s="177"/>
      <c r="AA115" s="177"/>
      <c r="AB115" s="177"/>
      <c r="AC115" s="177"/>
      <c r="AD115" s="177"/>
    </row>
    <row r="116" spans="1:30" s="55" customFormat="1" ht="19.149999999999999" customHeight="1" x14ac:dyDescent="0.2">
      <c r="A116" s="177"/>
      <c r="B116" s="177"/>
      <c r="C116" s="177"/>
      <c r="D116" s="177"/>
      <c r="E116" s="56">
        <v>23</v>
      </c>
      <c r="F116" s="63">
        <v>46125</v>
      </c>
      <c r="G116" s="25"/>
      <c r="H116" s="58">
        <v>20000</v>
      </c>
      <c r="I116" s="59">
        <v>3213.15</v>
      </c>
      <c r="J116" s="60">
        <f t="shared" si="9"/>
        <v>23213.15</v>
      </c>
      <c r="K116" s="56" t="str">
        <f ca="1">IF(F116&lt;=TODAY(),"Check!","Waiting")</f>
        <v>Waiting</v>
      </c>
      <c r="L116" s="19"/>
      <c r="M116" s="61" t="s">
        <v>200</v>
      </c>
      <c r="N116" s="62">
        <v>13.1</v>
      </c>
      <c r="O116" s="177"/>
      <c r="P116" s="22"/>
      <c r="Q116" s="23"/>
      <c r="R116" s="107"/>
      <c r="S116" s="107"/>
      <c r="T116" s="107"/>
      <c r="U116" s="107"/>
      <c r="V116" s="177"/>
      <c r="W116" s="177"/>
      <c r="X116" s="177"/>
      <c r="Y116" s="177"/>
      <c r="Z116" s="177"/>
      <c r="AA116" s="177"/>
      <c r="AB116" s="177"/>
      <c r="AC116" s="177"/>
      <c r="AD116" s="177"/>
    </row>
    <row r="117" spans="1:30" s="55" customFormat="1" ht="19.149999999999999" customHeight="1" x14ac:dyDescent="0.2">
      <c r="A117" s="177"/>
      <c r="B117" s="177"/>
      <c r="C117" s="80"/>
      <c r="D117" s="177"/>
      <c r="E117" s="56">
        <v>8</v>
      </c>
      <c r="F117" s="63"/>
      <c r="G117" s="25">
        <v>45648</v>
      </c>
      <c r="H117" s="58">
        <v>5000</v>
      </c>
      <c r="I117" s="59">
        <v>402.57</v>
      </c>
      <c r="J117" s="60">
        <f t="shared" si="9"/>
        <v>5402.57</v>
      </c>
      <c r="K117" s="56" t="s">
        <v>31</v>
      </c>
      <c r="L117" s="19"/>
      <c r="M117" s="61" t="s">
        <v>201</v>
      </c>
      <c r="N117" s="62">
        <v>14.1</v>
      </c>
      <c r="O117" s="177"/>
      <c r="P117" s="22"/>
      <c r="Q117" s="23"/>
      <c r="R117" s="107"/>
      <c r="S117" s="107"/>
      <c r="T117" s="107"/>
      <c r="U117" s="107"/>
      <c r="V117" s="177"/>
      <c r="W117" s="177"/>
      <c r="X117" s="177"/>
      <c r="Y117" s="177"/>
      <c r="Z117" s="177"/>
      <c r="AA117" s="177"/>
      <c r="AB117" s="177"/>
      <c r="AC117" s="177"/>
      <c r="AD117" s="177"/>
    </row>
    <row r="118" spans="1:30" s="55" customFormat="1" ht="19.149999999999999" customHeight="1" x14ac:dyDescent="0.2">
      <c r="A118" s="177"/>
      <c r="B118" s="177"/>
      <c r="C118" s="177"/>
      <c r="D118" s="177"/>
      <c r="E118" s="56">
        <v>32</v>
      </c>
      <c r="F118" s="63">
        <v>46404</v>
      </c>
      <c r="G118" s="25"/>
      <c r="H118" s="58">
        <v>5000</v>
      </c>
      <c r="I118" s="59">
        <v>1547.1</v>
      </c>
      <c r="J118" s="60">
        <f t="shared" si="9"/>
        <v>6547.1</v>
      </c>
      <c r="K118" s="56" t="str">
        <f ca="1">IF(F118&lt;=TODAY(),"Check!","Waiting")</f>
        <v>Waiting</v>
      </c>
      <c r="L118" s="19"/>
      <c r="M118" s="61" t="s">
        <v>202</v>
      </c>
      <c r="N118" s="62">
        <v>12.8</v>
      </c>
      <c r="O118" s="177"/>
      <c r="P118" s="22"/>
      <c r="Q118" s="23"/>
      <c r="R118" s="107"/>
      <c r="S118" s="107"/>
      <c r="T118" s="107"/>
      <c r="U118" s="107"/>
      <c r="V118" s="177"/>
      <c r="W118" s="177"/>
      <c r="X118" s="177"/>
      <c r="Y118" s="177"/>
      <c r="Z118" s="177"/>
      <c r="AA118" s="177"/>
      <c r="AB118" s="177"/>
      <c r="AC118" s="177"/>
      <c r="AD118" s="177"/>
    </row>
    <row r="119" spans="1:30" s="55" customFormat="1" ht="19.149999999999999" customHeight="1" x14ac:dyDescent="0.2">
      <c r="A119" s="177"/>
      <c r="B119" s="177"/>
      <c r="C119" s="177"/>
      <c r="D119" s="177"/>
      <c r="E119" s="56">
        <v>10</v>
      </c>
      <c r="F119" s="63"/>
      <c r="G119" s="25">
        <v>45725</v>
      </c>
      <c r="H119" s="58">
        <v>5000</v>
      </c>
      <c r="I119" s="59">
        <v>569.16999999999996</v>
      </c>
      <c r="J119" s="60">
        <f t="shared" si="9"/>
        <v>5569.17</v>
      </c>
      <c r="K119" s="56" t="s">
        <v>31</v>
      </c>
      <c r="L119" s="19"/>
      <c r="M119" s="61" t="s">
        <v>203</v>
      </c>
      <c r="N119" s="62">
        <v>15.3</v>
      </c>
      <c r="O119" s="177"/>
      <c r="P119" s="22"/>
      <c r="Q119" s="23"/>
      <c r="R119" s="107"/>
      <c r="S119" s="107"/>
      <c r="T119" s="107"/>
      <c r="U119" s="107"/>
      <c r="V119" s="177"/>
      <c r="W119" s="177"/>
      <c r="X119" s="177"/>
      <c r="Y119" s="177"/>
      <c r="Z119" s="177"/>
      <c r="AA119" s="177"/>
      <c r="AB119" s="177"/>
      <c r="AC119" s="177"/>
      <c r="AD119" s="177"/>
    </row>
    <row r="120" spans="1:30" s="55" customFormat="1" ht="19.149999999999999" customHeight="1" x14ac:dyDescent="0.2">
      <c r="A120" s="177"/>
      <c r="B120" s="177"/>
      <c r="C120" s="177"/>
      <c r="D120" s="177"/>
      <c r="E120" s="56">
        <v>12</v>
      </c>
      <c r="F120" s="63"/>
      <c r="G120" s="25">
        <v>45652</v>
      </c>
      <c r="H120" s="58">
        <v>5000</v>
      </c>
      <c r="I120" s="59">
        <v>330.21</v>
      </c>
      <c r="J120" s="60">
        <f t="shared" si="9"/>
        <v>5330.21</v>
      </c>
      <c r="K120" s="56" t="s">
        <v>31</v>
      </c>
      <c r="L120" s="19"/>
      <c r="M120" s="61" t="s">
        <v>204</v>
      </c>
      <c r="N120" s="62">
        <v>12.6</v>
      </c>
      <c r="O120" s="177"/>
      <c r="P120" s="22"/>
      <c r="Q120" s="23"/>
      <c r="R120" s="107"/>
      <c r="S120" s="107"/>
      <c r="T120" s="107"/>
      <c r="U120" s="107"/>
      <c r="V120" s="177"/>
      <c r="W120" s="177"/>
      <c r="X120" s="177"/>
      <c r="Y120" s="177"/>
      <c r="Z120" s="177"/>
      <c r="AA120" s="177"/>
      <c r="AB120" s="177"/>
      <c r="AC120" s="177"/>
      <c r="AD120" s="177"/>
    </row>
    <row r="121" spans="1:30" s="55" customFormat="1" ht="19.149999999999999" customHeight="1" x14ac:dyDescent="0.2">
      <c r="A121" s="177"/>
      <c r="B121" s="177"/>
      <c r="C121" s="177"/>
      <c r="D121" s="177"/>
      <c r="E121" s="56">
        <v>26</v>
      </c>
      <c r="F121" s="63">
        <v>46453</v>
      </c>
      <c r="G121" s="25"/>
      <c r="H121" s="58">
        <v>5000</v>
      </c>
      <c r="I121" s="59">
        <v>1493.99</v>
      </c>
      <c r="J121" s="60">
        <f t="shared" si="9"/>
        <v>6493.99</v>
      </c>
      <c r="K121" s="56" t="str">
        <f t="shared" ref="K121:K124" ca="1" si="11">IF(F121&lt;=TODAY(),"Check!","Waiting")</f>
        <v>Waiting</v>
      </c>
      <c r="L121" s="19"/>
      <c r="M121" s="61" t="s">
        <v>205</v>
      </c>
      <c r="N121" s="62">
        <v>14.9</v>
      </c>
      <c r="O121" s="177"/>
      <c r="P121" s="22"/>
      <c r="Q121" s="23"/>
      <c r="R121" s="107"/>
      <c r="S121" s="107"/>
      <c r="T121" s="107"/>
      <c r="U121" s="107"/>
      <c r="V121" s="177"/>
      <c r="W121" s="177"/>
      <c r="X121" s="177"/>
      <c r="Y121" s="177"/>
      <c r="Z121" s="177"/>
      <c r="AA121" s="177"/>
      <c r="AB121" s="177"/>
      <c r="AC121" s="177"/>
      <c r="AD121" s="177"/>
    </row>
    <row r="122" spans="1:30" s="55" customFormat="1" ht="19.149999999999999" customHeight="1" x14ac:dyDescent="0.2">
      <c r="A122" s="177"/>
      <c r="B122" s="177"/>
      <c r="C122" s="177"/>
      <c r="D122" s="177"/>
      <c r="E122" s="56">
        <v>28</v>
      </c>
      <c r="F122" s="63">
        <v>46519</v>
      </c>
      <c r="G122" s="25"/>
      <c r="H122" s="58">
        <v>5000</v>
      </c>
      <c r="I122" s="59">
        <v>1429.23</v>
      </c>
      <c r="J122" s="60">
        <f t="shared" si="9"/>
        <v>6429.23</v>
      </c>
      <c r="K122" s="56" t="str">
        <f t="shared" ca="1" si="11"/>
        <v>Waiting</v>
      </c>
      <c r="L122" s="19"/>
      <c r="M122" s="61" t="s">
        <v>206</v>
      </c>
      <c r="N122" s="62">
        <v>13.4</v>
      </c>
      <c r="O122" s="177"/>
      <c r="P122" s="22"/>
      <c r="Q122" s="23"/>
      <c r="R122" s="107"/>
      <c r="S122" s="107"/>
      <c r="T122" s="107"/>
      <c r="U122" s="107"/>
      <c r="V122" s="177"/>
      <c r="W122" s="177"/>
      <c r="X122" s="177"/>
      <c r="Y122" s="177"/>
      <c r="Z122" s="177"/>
      <c r="AA122" s="177"/>
      <c r="AB122" s="177"/>
      <c r="AC122" s="177"/>
      <c r="AD122" s="177"/>
    </row>
    <row r="123" spans="1:30" s="55" customFormat="1" ht="19.149999999999999" customHeight="1" x14ac:dyDescent="0.2">
      <c r="A123" s="177"/>
      <c r="B123" s="177"/>
      <c r="C123" s="177"/>
      <c r="D123" s="177"/>
      <c r="E123" s="56">
        <v>34</v>
      </c>
      <c r="F123" s="63">
        <v>46803</v>
      </c>
      <c r="G123" s="25"/>
      <c r="H123" s="58">
        <v>10000</v>
      </c>
      <c r="I123" s="59">
        <v>3760.06</v>
      </c>
      <c r="J123" s="60">
        <f t="shared" si="9"/>
        <v>13760.06</v>
      </c>
      <c r="K123" s="56" t="str">
        <f t="shared" ca="1" si="11"/>
        <v>Waiting</v>
      </c>
      <c r="L123" s="100"/>
      <c r="M123" s="61" t="s">
        <v>207</v>
      </c>
      <c r="N123" s="62">
        <v>14.4</v>
      </c>
      <c r="O123" s="177"/>
      <c r="P123" s="22"/>
      <c r="Q123" s="23"/>
      <c r="R123" s="107"/>
      <c r="S123" s="107"/>
      <c r="T123" s="107"/>
      <c r="U123" s="107"/>
      <c r="V123" s="177"/>
      <c r="W123" s="177"/>
      <c r="X123" s="177"/>
      <c r="Y123" s="177"/>
      <c r="Z123" s="177"/>
      <c r="AA123" s="177"/>
      <c r="AB123" s="177"/>
      <c r="AC123" s="177"/>
      <c r="AD123" s="177"/>
    </row>
    <row r="124" spans="1:30" s="55" customFormat="1" ht="19.149999999999999" customHeight="1" x14ac:dyDescent="0.2">
      <c r="A124" s="177"/>
      <c r="B124" s="177"/>
      <c r="C124" s="177"/>
      <c r="D124" s="177"/>
      <c r="E124" s="56">
        <v>34</v>
      </c>
      <c r="F124" s="63">
        <v>46824</v>
      </c>
      <c r="G124" s="25"/>
      <c r="H124" s="58">
        <v>20000</v>
      </c>
      <c r="I124" s="59">
        <v>8035.65</v>
      </c>
      <c r="J124" s="60">
        <f t="shared" si="9"/>
        <v>28035.65</v>
      </c>
      <c r="K124" s="56" t="str">
        <f t="shared" ca="1" si="11"/>
        <v>Waiting</v>
      </c>
      <c r="L124" s="100"/>
      <c r="M124" s="61" t="s">
        <v>208</v>
      </c>
      <c r="N124" s="62">
        <v>15.3</v>
      </c>
      <c r="O124" s="177"/>
      <c r="P124" s="22"/>
      <c r="Q124" s="23"/>
      <c r="R124" s="107"/>
      <c r="S124" s="107"/>
      <c r="T124" s="107"/>
      <c r="U124" s="107"/>
      <c r="V124" s="177"/>
      <c r="W124" s="177"/>
      <c r="X124" s="177"/>
      <c r="Y124" s="177"/>
      <c r="Z124" s="177"/>
      <c r="AA124" s="177"/>
      <c r="AB124" s="177"/>
      <c r="AC124" s="177"/>
      <c r="AD124" s="177"/>
    </row>
    <row r="125" spans="1:30" s="55" customFormat="1" ht="19.149999999999999" customHeight="1" x14ac:dyDescent="0.2">
      <c r="A125" s="177"/>
      <c r="B125" s="177"/>
      <c r="C125" s="177"/>
      <c r="D125" s="177"/>
      <c r="E125" s="56">
        <v>30</v>
      </c>
      <c r="F125" s="63">
        <v>46712</v>
      </c>
      <c r="G125" s="25"/>
      <c r="H125" s="58">
        <v>10000</v>
      </c>
      <c r="I125" s="59">
        <v>3249.88</v>
      </c>
      <c r="J125" s="60">
        <f t="shared" ref="J125" si="12">SUM(H125:I125)</f>
        <v>13249.880000000001</v>
      </c>
      <c r="K125" s="56" t="str">
        <f t="shared" ref="K125" ca="1" si="13">IF(F125&lt;=TODAY(),"Check!","Waiting")</f>
        <v>Waiting</v>
      </c>
      <c r="L125" s="100"/>
      <c r="M125" s="61" t="s">
        <v>209</v>
      </c>
      <c r="N125" s="62">
        <v>14.2</v>
      </c>
      <c r="O125" s="177"/>
      <c r="P125" s="22"/>
      <c r="Q125" s="23"/>
      <c r="R125" s="107"/>
      <c r="S125" s="107"/>
      <c r="T125" s="107"/>
      <c r="U125" s="107"/>
      <c r="V125" s="177"/>
      <c r="W125" s="177"/>
      <c r="X125" s="177"/>
      <c r="Y125" s="177"/>
      <c r="Z125" s="177"/>
      <c r="AA125" s="177"/>
      <c r="AB125" s="177"/>
      <c r="AC125" s="177"/>
      <c r="AD125" s="177"/>
    </row>
    <row r="126" spans="1:30" s="55" customFormat="1" ht="19.149999999999999" customHeight="1" x14ac:dyDescent="0.2">
      <c r="A126" s="177"/>
      <c r="B126" s="177"/>
      <c r="C126" s="177"/>
      <c r="D126" s="177"/>
      <c r="E126" s="56">
        <v>28</v>
      </c>
      <c r="F126" s="63">
        <v>46813</v>
      </c>
      <c r="G126" s="25"/>
      <c r="H126" s="58">
        <v>5000</v>
      </c>
      <c r="I126" s="59">
        <v>1690.58</v>
      </c>
      <c r="J126" s="60">
        <f t="shared" ref="J126" si="14">SUM(H126:I126)</f>
        <v>6690.58</v>
      </c>
      <c r="K126" s="56" t="str">
        <f t="shared" ref="K126" ca="1" si="15">IF(F126&lt;=TODAY(),"Check!","Waiting")</f>
        <v>Waiting</v>
      </c>
      <c r="L126" s="100"/>
      <c r="M126" s="61" t="s">
        <v>210</v>
      </c>
      <c r="N126" s="62">
        <v>15.64</v>
      </c>
      <c r="O126" s="177"/>
      <c r="P126" s="22"/>
      <c r="Q126" s="23"/>
      <c r="R126" s="107"/>
      <c r="S126" s="107"/>
      <c r="T126" s="107"/>
      <c r="U126" s="107"/>
      <c r="V126" s="177"/>
      <c r="W126" s="177"/>
      <c r="X126" s="177"/>
      <c r="Y126" s="177"/>
      <c r="Z126" s="177"/>
      <c r="AA126" s="177"/>
      <c r="AB126" s="177"/>
      <c r="AC126" s="177"/>
      <c r="AD126" s="177"/>
    </row>
    <row r="127" spans="1:30" s="55" customFormat="1" ht="19.149999999999999" customHeight="1" x14ac:dyDescent="0.2">
      <c r="A127" s="177"/>
      <c r="B127" s="177"/>
      <c r="C127" s="177"/>
      <c r="D127" s="177"/>
      <c r="E127" s="56"/>
      <c r="F127" s="63"/>
      <c r="G127" s="25"/>
      <c r="H127" s="58"/>
      <c r="I127" s="59"/>
      <c r="J127" s="60"/>
      <c r="K127" s="56"/>
      <c r="L127" s="100"/>
      <c r="M127" s="61"/>
      <c r="N127" s="62"/>
      <c r="O127" s="177"/>
      <c r="P127" s="22"/>
      <c r="Q127" s="23"/>
      <c r="R127" s="107"/>
      <c r="S127" s="107"/>
      <c r="T127" s="107"/>
      <c r="U127" s="107"/>
      <c r="V127" s="177"/>
      <c r="W127" s="177"/>
      <c r="X127" s="177"/>
      <c r="Y127" s="177"/>
      <c r="Z127" s="177"/>
      <c r="AA127" s="177"/>
      <c r="AB127" s="177"/>
      <c r="AC127" s="177"/>
      <c r="AD127" s="177"/>
    </row>
    <row r="128" spans="1:30" s="55" customFormat="1" ht="19.149999999999999" customHeight="1" x14ac:dyDescent="0.2">
      <c r="A128" s="177"/>
      <c r="B128" s="177"/>
      <c r="C128" s="177"/>
      <c r="D128" s="177"/>
      <c r="E128" s="56"/>
      <c r="F128" s="63"/>
      <c r="G128" s="25"/>
      <c r="H128" s="58"/>
      <c r="I128" s="59"/>
      <c r="J128" s="60"/>
      <c r="K128" s="56"/>
      <c r="L128" s="100"/>
      <c r="M128" s="61"/>
      <c r="N128" s="62"/>
      <c r="O128" s="177"/>
      <c r="P128" s="22"/>
      <c r="Q128" s="23"/>
      <c r="R128" s="107"/>
      <c r="S128" s="107"/>
      <c r="T128" s="107"/>
      <c r="U128" s="107"/>
      <c r="V128" s="177"/>
      <c r="W128" s="177"/>
      <c r="X128" s="177"/>
      <c r="Y128" s="177"/>
      <c r="Z128" s="177"/>
      <c r="AA128" s="177"/>
      <c r="AB128" s="177"/>
      <c r="AC128" s="177"/>
      <c r="AD128" s="177"/>
    </row>
    <row r="129" spans="1:30" s="55" customFormat="1" ht="19.149999999999999" customHeight="1" x14ac:dyDescent="0.2">
      <c r="A129" s="177"/>
      <c r="B129" s="177"/>
      <c r="C129" s="177"/>
      <c r="D129" s="177"/>
      <c r="E129" s="56"/>
      <c r="F129" s="63"/>
      <c r="G129" s="25"/>
      <c r="H129" s="58"/>
      <c r="I129" s="59"/>
      <c r="J129" s="60"/>
      <c r="K129" s="56"/>
      <c r="L129" s="100"/>
      <c r="M129" s="61"/>
      <c r="N129" s="62"/>
      <c r="O129" s="177"/>
      <c r="P129" s="22"/>
      <c r="Q129" s="23"/>
      <c r="R129" s="107"/>
      <c r="S129" s="107"/>
      <c r="T129" s="107"/>
      <c r="U129" s="107"/>
      <c r="V129" s="177"/>
      <c r="W129" s="177"/>
      <c r="X129" s="177"/>
      <c r="Y129" s="177"/>
      <c r="Z129" s="177"/>
      <c r="AA129" s="177"/>
      <c r="AB129" s="177"/>
      <c r="AC129" s="177"/>
      <c r="AD129" s="177"/>
    </row>
    <row r="130" spans="1:30" s="55" customFormat="1" ht="19.149999999999999" customHeight="1" x14ac:dyDescent="0.2">
      <c r="A130" s="177"/>
      <c r="B130" s="177"/>
      <c r="C130" s="177"/>
      <c r="D130" s="177"/>
      <c r="E130" s="56"/>
      <c r="F130" s="63"/>
      <c r="G130" s="25"/>
      <c r="H130" s="58"/>
      <c r="I130" s="59"/>
      <c r="J130" s="60"/>
      <c r="K130" s="56"/>
      <c r="L130" s="100"/>
      <c r="M130" s="61"/>
      <c r="N130" s="62"/>
      <c r="O130" s="177"/>
      <c r="P130" s="22"/>
      <c r="Q130" s="23"/>
      <c r="R130" s="107"/>
      <c r="S130" s="107"/>
      <c r="T130" s="107"/>
      <c r="U130" s="107"/>
      <c r="V130" s="177"/>
      <c r="W130" s="177"/>
      <c r="X130" s="177"/>
      <c r="Y130" s="177"/>
      <c r="Z130" s="177"/>
      <c r="AA130" s="177"/>
      <c r="AB130" s="177"/>
      <c r="AC130" s="177"/>
      <c r="AD130" s="177"/>
    </row>
    <row r="131" spans="1:30" s="55" customFormat="1" ht="19.149999999999999" customHeight="1" x14ac:dyDescent="0.2">
      <c r="A131" s="177"/>
      <c r="B131" s="177"/>
      <c r="C131" s="177"/>
      <c r="D131" s="177"/>
      <c r="E131" s="56"/>
      <c r="F131" s="63"/>
      <c r="G131" s="25"/>
      <c r="H131" s="58"/>
      <c r="I131" s="59"/>
      <c r="J131" s="60"/>
      <c r="K131" s="56"/>
      <c r="L131" s="100"/>
      <c r="M131" s="61"/>
      <c r="N131" s="62"/>
      <c r="O131" s="177"/>
      <c r="P131" s="22"/>
      <c r="Q131" s="23"/>
      <c r="R131" s="107"/>
      <c r="S131" s="107"/>
      <c r="T131" s="107"/>
      <c r="U131" s="107"/>
      <c r="V131" s="177"/>
      <c r="W131" s="177"/>
      <c r="X131" s="177"/>
      <c r="Y131" s="177"/>
      <c r="Z131" s="177"/>
      <c r="AA131" s="177"/>
      <c r="AB131" s="177"/>
      <c r="AC131" s="177"/>
      <c r="AD131" s="177"/>
    </row>
    <row r="132" spans="1:30" s="55" customFormat="1" ht="19.149999999999999" customHeight="1" x14ac:dyDescent="0.2">
      <c r="A132" s="177"/>
      <c r="B132" s="177"/>
      <c r="C132" s="177"/>
      <c r="D132" s="177"/>
      <c r="E132" s="56"/>
      <c r="F132" s="63"/>
      <c r="G132" s="25"/>
      <c r="H132" s="58"/>
      <c r="I132" s="59"/>
      <c r="J132" s="60"/>
      <c r="K132" s="56"/>
      <c r="L132" s="100"/>
      <c r="M132" s="61"/>
      <c r="N132" s="62"/>
      <c r="O132" s="177"/>
      <c r="P132" s="22"/>
      <c r="Q132" s="23"/>
      <c r="R132" s="107"/>
      <c r="S132" s="107"/>
      <c r="T132" s="107"/>
      <c r="U132" s="107"/>
      <c r="V132" s="177"/>
      <c r="W132" s="177"/>
      <c r="X132" s="177"/>
      <c r="Y132" s="177"/>
      <c r="Z132" s="177"/>
      <c r="AA132" s="177"/>
      <c r="AB132" s="177"/>
      <c r="AC132" s="177"/>
      <c r="AD132" s="177"/>
    </row>
    <row r="133" spans="1:30" s="55" customFormat="1" ht="19.149999999999999" customHeight="1" x14ac:dyDescent="0.2">
      <c r="A133" s="177"/>
      <c r="B133" s="177"/>
      <c r="C133" s="177"/>
      <c r="D133" s="177"/>
      <c r="E133" s="56"/>
      <c r="F133" s="63"/>
      <c r="G133" s="25"/>
      <c r="H133" s="58"/>
      <c r="I133" s="59"/>
      <c r="J133" s="60"/>
      <c r="K133" s="56"/>
      <c r="L133" s="100"/>
      <c r="M133" s="61"/>
      <c r="N133" s="62"/>
      <c r="O133" s="177"/>
      <c r="P133" s="22"/>
      <c r="Q133" s="23"/>
      <c r="R133" s="107"/>
      <c r="S133" s="107"/>
      <c r="T133" s="107"/>
      <c r="U133" s="107"/>
      <c r="V133" s="177"/>
      <c r="W133" s="177"/>
      <c r="X133" s="177"/>
      <c r="Y133" s="177"/>
      <c r="Z133" s="177"/>
      <c r="AA133" s="177"/>
      <c r="AB133" s="177"/>
      <c r="AC133" s="177"/>
      <c r="AD133" s="177"/>
    </row>
    <row r="134" spans="1:30" s="55" customFormat="1" ht="19.149999999999999" customHeight="1" x14ac:dyDescent="0.2">
      <c r="A134" s="177"/>
      <c r="B134" s="75"/>
      <c r="C134" s="177"/>
      <c r="D134" s="177"/>
      <c r="E134" s="56"/>
      <c r="F134" s="63"/>
      <c r="G134" s="25"/>
      <c r="H134" s="58"/>
      <c r="I134" s="59"/>
      <c r="J134" s="60"/>
      <c r="K134" s="56"/>
      <c r="L134" s="100"/>
      <c r="M134" s="61"/>
      <c r="N134" s="62"/>
      <c r="O134" s="177"/>
      <c r="P134" s="22"/>
      <c r="Q134" s="23"/>
      <c r="R134" s="107"/>
      <c r="S134" s="107"/>
      <c r="T134" s="107"/>
      <c r="U134" s="107"/>
      <c r="V134" s="177"/>
      <c r="W134" s="177"/>
      <c r="X134" s="177"/>
      <c r="Y134" s="177"/>
      <c r="Z134" s="177"/>
      <c r="AA134" s="177"/>
      <c r="AB134" s="177"/>
      <c r="AC134" s="177"/>
      <c r="AD134" s="177"/>
    </row>
    <row r="135" spans="1:30" s="55" customFormat="1" ht="19.149999999999999" customHeight="1" x14ac:dyDescent="0.2">
      <c r="A135" s="177"/>
      <c r="B135" s="177"/>
      <c r="C135" s="177"/>
      <c r="D135" s="177"/>
      <c r="E135" s="56"/>
      <c r="F135" s="63"/>
      <c r="G135" s="25"/>
      <c r="H135" s="58"/>
      <c r="I135" s="59"/>
      <c r="J135" s="60"/>
      <c r="K135" s="56"/>
      <c r="L135" s="100"/>
      <c r="M135" s="61"/>
      <c r="N135" s="62"/>
      <c r="O135" s="177"/>
      <c r="P135" s="22"/>
      <c r="Q135" s="23"/>
      <c r="R135" s="107"/>
      <c r="S135" s="107"/>
      <c r="T135" s="107"/>
      <c r="U135" s="107"/>
      <c r="V135" s="177"/>
      <c r="W135" s="177"/>
      <c r="X135" s="177"/>
      <c r="Y135" s="177"/>
      <c r="Z135" s="177"/>
      <c r="AA135" s="177"/>
      <c r="AB135" s="177"/>
      <c r="AC135" s="177"/>
      <c r="AD135" s="177"/>
    </row>
    <row r="136" spans="1:30" s="55" customFormat="1" ht="19.149999999999999" customHeight="1" x14ac:dyDescent="0.2">
      <c r="A136" s="177"/>
      <c r="B136" s="177"/>
      <c r="C136" s="177"/>
      <c r="D136" s="177"/>
      <c r="E136" s="56"/>
      <c r="F136" s="63"/>
      <c r="G136" s="25"/>
      <c r="H136" s="58"/>
      <c r="I136" s="59"/>
      <c r="J136" s="60"/>
      <c r="K136" s="56"/>
      <c r="L136" s="100"/>
      <c r="M136" s="61"/>
      <c r="N136" s="62"/>
      <c r="O136" s="177"/>
      <c r="P136" s="22"/>
      <c r="Q136" s="23"/>
      <c r="R136" s="107"/>
      <c r="S136" s="107"/>
      <c r="T136" s="107"/>
      <c r="U136" s="107"/>
      <c r="V136" s="177"/>
      <c r="W136" s="177"/>
      <c r="X136" s="177"/>
      <c r="Y136" s="177"/>
      <c r="Z136" s="177"/>
      <c r="AA136" s="177"/>
      <c r="AB136" s="177"/>
      <c r="AC136" s="177"/>
      <c r="AD136" s="177"/>
    </row>
    <row r="137" spans="1:30" s="55" customFormat="1" ht="19.149999999999999" customHeight="1" x14ac:dyDescent="0.2">
      <c r="A137" s="177"/>
      <c r="B137" s="177"/>
      <c r="C137" s="177"/>
      <c r="D137" s="177"/>
      <c r="E137" s="56"/>
      <c r="F137" s="63"/>
      <c r="G137" s="25"/>
      <c r="H137" s="58"/>
      <c r="I137" s="59"/>
      <c r="J137" s="60"/>
      <c r="K137" s="56"/>
      <c r="L137" s="100"/>
      <c r="M137" s="61"/>
      <c r="N137" s="62"/>
      <c r="O137" s="177"/>
      <c r="P137" s="22"/>
      <c r="Q137" s="23"/>
      <c r="R137" s="107"/>
      <c r="S137" s="107"/>
      <c r="T137" s="107"/>
      <c r="U137" s="107"/>
      <c r="V137" s="177"/>
      <c r="W137" s="177"/>
      <c r="X137" s="177"/>
      <c r="Y137" s="177"/>
      <c r="Z137" s="177"/>
      <c r="AA137" s="177"/>
      <c r="AB137" s="177"/>
      <c r="AC137" s="177"/>
      <c r="AD137" s="177"/>
    </row>
    <row r="138" spans="1:30" s="55" customFormat="1" ht="19.149999999999999" customHeight="1" x14ac:dyDescent="0.2">
      <c r="A138" s="177"/>
      <c r="B138" s="177"/>
      <c r="C138" s="177"/>
      <c r="D138" s="177"/>
      <c r="E138" s="56"/>
      <c r="F138" s="63"/>
      <c r="G138" s="25"/>
      <c r="H138" s="58"/>
      <c r="I138" s="59"/>
      <c r="J138" s="60"/>
      <c r="K138" s="56"/>
      <c r="L138" s="100"/>
      <c r="M138" s="61"/>
      <c r="N138" s="62"/>
      <c r="O138" s="177"/>
      <c r="P138" s="22"/>
      <c r="Q138" s="23"/>
      <c r="R138" s="107"/>
      <c r="S138" s="107"/>
      <c r="T138" s="107"/>
      <c r="U138" s="107"/>
      <c r="V138" s="177"/>
      <c r="W138" s="177"/>
      <c r="X138" s="177"/>
      <c r="Y138" s="177"/>
      <c r="Z138" s="177"/>
      <c r="AA138" s="177"/>
      <c r="AB138" s="177"/>
      <c r="AC138" s="177"/>
      <c r="AD138" s="177"/>
    </row>
    <row r="139" spans="1:30" s="55" customFormat="1" ht="19.149999999999999" customHeight="1" x14ac:dyDescent="0.2">
      <c r="A139" s="177"/>
      <c r="B139" s="177"/>
      <c r="C139" s="177"/>
      <c r="D139" s="177"/>
      <c r="E139" s="56"/>
      <c r="F139" s="63"/>
      <c r="G139" s="25"/>
      <c r="H139" s="58"/>
      <c r="I139" s="59"/>
      <c r="J139" s="60"/>
      <c r="K139" s="56"/>
      <c r="L139" s="100"/>
      <c r="M139" s="61"/>
      <c r="N139" s="62"/>
      <c r="O139" s="177"/>
      <c r="P139" s="22"/>
      <c r="Q139" s="23"/>
      <c r="R139" s="107"/>
      <c r="S139" s="107"/>
      <c r="T139" s="107"/>
      <c r="U139" s="107"/>
      <c r="V139" s="177"/>
      <c r="W139" s="177"/>
      <c r="X139" s="177"/>
      <c r="Y139" s="177"/>
      <c r="Z139" s="177"/>
      <c r="AA139" s="177"/>
      <c r="AB139" s="177"/>
      <c r="AC139" s="177"/>
      <c r="AD139" s="177"/>
    </row>
    <row r="140" spans="1:30" s="55" customFormat="1" ht="19.149999999999999" customHeight="1" x14ac:dyDescent="0.2">
      <c r="A140" s="177"/>
      <c r="B140" s="177"/>
      <c r="C140" s="177"/>
      <c r="D140" s="177"/>
      <c r="E140" s="56"/>
      <c r="F140" s="63"/>
      <c r="G140" s="25"/>
      <c r="H140" s="58"/>
      <c r="I140" s="59"/>
      <c r="J140" s="60"/>
      <c r="K140" s="56"/>
      <c r="L140" s="100"/>
      <c r="M140" s="61"/>
      <c r="N140" s="62"/>
      <c r="O140" s="177"/>
      <c r="P140" s="22"/>
      <c r="Q140" s="23"/>
      <c r="R140" s="107"/>
      <c r="S140" s="107"/>
      <c r="T140" s="107"/>
      <c r="U140" s="107"/>
      <c r="V140" s="177"/>
      <c r="W140" s="177"/>
      <c r="X140" s="177"/>
      <c r="Y140" s="177"/>
      <c r="Z140" s="177"/>
      <c r="AA140" s="177"/>
      <c r="AB140" s="177"/>
      <c r="AC140" s="177"/>
      <c r="AD140" s="177"/>
    </row>
    <row r="141" spans="1:30" s="55" customFormat="1" ht="19.149999999999999" customHeight="1" x14ac:dyDescent="0.2">
      <c r="A141" s="177"/>
      <c r="B141" s="177"/>
      <c r="C141" s="177"/>
      <c r="D141" s="177"/>
      <c r="E141" s="56"/>
      <c r="F141" s="63"/>
      <c r="G141" s="25"/>
      <c r="H141" s="58"/>
      <c r="I141" s="59"/>
      <c r="J141" s="60"/>
      <c r="K141" s="56"/>
      <c r="L141" s="100"/>
      <c r="M141" s="61"/>
      <c r="N141" s="62"/>
      <c r="O141" s="177"/>
      <c r="P141" s="22"/>
      <c r="Q141" s="23"/>
      <c r="R141" s="107"/>
      <c r="S141" s="107"/>
      <c r="T141" s="107"/>
      <c r="U141" s="107"/>
      <c r="V141" s="177"/>
      <c r="W141" s="177"/>
      <c r="X141" s="177"/>
      <c r="Y141" s="177"/>
      <c r="Z141" s="177"/>
      <c r="AA141" s="177"/>
      <c r="AB141" s="177"/>
      <c r="AC141" s="177"/>
      <c r="AD141" s="177"/>
    </row>
    <row r="142" spans="1:30" s="55" customFormat="1" ht="19.149999999999999" customHeight="1" x14ac:dyDescent="0.2">
      <c r="A142" s="177"/>
      <c r="B142" s="177"/>
      <c r="C142" s="177"/>
      <c r="D142" s="177"/>
      <c r="E142" s="56"/>
      <c r="F142" s="63"/>
      <c r="G142" s="25"/>
      <c r="H142" s="58"/>
      <c r="I142" s="59"/>
      <c r="J142" s="60"/>
      <c r="K142" s="56"/>
      <c r="L142" s="100"/>
      <c r="M142" s="61"/>
      <c r="N142" s="62"/>
      <c r="O142" s="177"/>
      <c r="P142" s="22"/>
      <c r="Q142" s="23"/>
      <c r="R142" s="107"/>
      <c r="S142" s="107"/>
      <c r="T142" s="107"/>
      <c r="U142" s="107"/>
      <c r="V142" s="177"/>
      <c r="W142" s="177"/>
      <c r="X142" s="177"/>
      <c r="Y142" s="177"/>
      <c r="Z142" s="177"/>
      <c r="AA142" s="177"/>
      <c r="AB142" s="177"/>
      <c r="AC142" s="177"/>
      <c r="AD142" s="177"/>
    </row>
    <row r="143" spans="1:30" s="55" customFormat="1" ht="19.149999999999999" customHeight="1" x14ac:dyDescent="0.2">
      <c r="A143" s="177"/>
      <c r="B143" s="177"/>
      <c r="C143" s="177"/>
      <c r="D143" s="177"/>
      <c r="E143" s="56"/>
      <c r="F143" s="63"/>
      <c r="G143" s="25"/>
      <c r="H143" s="58"/>
      <c r="I143" s="59"/>
      <c r="J143" s="60"/>
      <c r="K143" s="56"/>
      <c r="L143" s="100"/>
      <c r="M143" s="61"/>
      <c r="N143" s="62"/>
      <c r="O143" s="177"/>
      <c r="P143" s="22"/>
      <c r="Q143" s="23"/>
      <c r="R143" s="107"/>
      <c r="S143" s="107"/>
      <c r="T143" s="107"/>
      <c r="U143" s="107"/>
      <c r="V143" s="177"/>
      <c r="W143" s="177"/>
      <c r="X143" s="177"/>
      <c r="Y143" s="177"/>
      <c r="Z143" s="177"/>
      <c r="AA143" s="177"/>
      <c r="AB143" s="177"/>
      <c r="AC143" s="177"/>
      <c r="AD143" s="177"/>
    </row>
    <row r="144" spans="1:30" s="55" customFormat="1" ht="19.149999999999999" customHeight="1" x14ac:dyDescent="0.2">
      <c r="A144" s="177"/>
      <c r="B144" s="177"/>
      <c r="C144" s="177"/>
      <c r="D144" s="177"/>
      <c r="E144" s="56"/>
      <c r="F144" s="63"/>
      <c r="G144" s="25"/>
      <c r="H144" s="58"/>
      <c r="I144" s="59"/>
      <c r="J144" s="60"/>
      <c r="K144" s="56"/>
      <c r="L144" s="100"/>
      <c r="M144" s="61"/>
      <c r="N144" s="62"/>
      <c r="O144" s="177"/>
      <c r="P144" s="22"/>
      <c r="Q144" s="23"/>
      <c r="R144" s="107"/>
      <c r="S144" s="107"/>
      <c r="T144" s="107"/>
      <c r="U144" s="107"/>
      <c r="V144" s="177"/>
      <c r="W144" s="177"/>
      <c r="X144" s="177"/>
      <c r="Y144" s="177"/>
      <c r="Z144" s="177"/>
      <c r="AA144" s="177"/>
      <c r="AB144" s="177"/>
      <c r="AC144" s="177"/>
      <c r="AD144" s="177"/>
    </row>
    <row r="145" spans="1:30" s="55" customFormat="1" ht="19.149999999999999" customHeight="1" x14ac:dyDescent="0.2">
      <c r="A145" s="177"/>
      <c r="B145" s="177"/>
      <c r="C145" s="177"/>
      <c r="D145" s="177"/>
      <c r="E145" s="56"/>
      <c r="F145" s="63"/>
      <c r="G145" s="25"/>
      <c r="H145" s="58"/>
      <c r="I145" s="59"/>
      <c r="J145" s="60"/>
      <c r="K145" s="56"/>
      <c r="L145" s="100"/>
      <c r="M145" s="61"/>
      <c r="N145" s="62"/>
      <c r="O145" s="177"/>
      <c r="P145" s="22"/>
      <c r="Q145" s="23"/>
      <c r="R145" s="107"/>
      <c r="S145" s="107"/>
      <c r="T145" s="107"/>
      <c r="U145" s="107"/>
      <c r="V145" s="177"/>
      <c r="W145" s="177"/>
      <c r="X145" s="177"/>
      <c r="Y145" s="177"/>
      <c r="Z145" s="177"/>
      <c r="AA145" s="177"/>
      <c r="AB145" s="177"/>
      <c r="AC145" s="177"/>
      <c r="AD145" s="177"/>
    </row>
    <row r="146" spans="1:30" s="55" customFormat="1" ht="19.149999999999999" customHeight="1" x14ac:dyDescent="0.2">
      <c r="A146" s="177"/>
      <c r="B146" s="177"/>
      <c r="C146" s="177"/>
      <c r="D146" s="177"/>
      <c r="E146" s="76"/>
      <c r="F146" s="63"/>
      <c r="G146" s="77"/>
      <c r="H146" s="58">
        <f>SUM(H102:H145)</f>
        <v>195000</v>
      </c>
      <c r="I146" s="59">
        <f>SUM(I102:I145)+B19</f>
        <v>56411.11</v>
      </c>
      <c r="J146" s="60">
        <f>SUM(H146:I146)</f>
        <v>251411.11</v>
      </c>
      <c r="K146" s="76"/>
      <c r="L146" s="100"/>
      <c r="M146" s="102"/>
      <c r="N146" s="76"/>
      <c r="O146" s="177"/>
      <c r="P146" s="22"/>
      <c r="Q146" s="23"/>
      <c r="R146" s="107"/>
      <c r="S146" s="107"/>
      <c r="T146" s="107"/>
      <c r="U146" s="107"/>
      <c r="V146" s="177"/>
      <c r="W146" s="177"/>
      <c r="X146" s="177"/>
      <c r="Y146" s="177"/>
      <c r="Z146" s="177"/>
      <c r="AA146" s="177"/>
      <c r="AB146" s="177"/>
      <c r="AC146" s="177"/>
      <c r="AD146" s="177"/>
    </row>
    <row r="147" spans="1:30" s="55" customFormat="1" ht="19.149999999999999" customHeight="1" x14ac:dyDescent="0.2">
      <c r="A147" s="177"/>
      <c r="B147" s="177"/>
      <c r="C147" s="177"/>
      <c r="D147" s="177"/>
      <c r="E147" s="14"/>
      <c r="F147" s="24"/>
      <c r="G147" s="25"/>
      <c r="H147" s="17"/>
      <c r="I147" s="18"/>
      <c r="J147" s="19"/>
      <c r="K147" s="56"/>
      <c r="L147" s="100"/>
      <c r="M147" s="20"/>
      <c r="N147" s="62"/>
      <c r="O147" s="177"/>
      <c r="P147" s="22"/>
      <c r="Q147" s="23"/>
      <c r="R147" s="107"/>
      <c r="S147" s="107"/>
      <c r="T147" s="107"/>
      <c r="U147" s="107"/>
      <c r="V147" s="177"/>
      <c r="W147" s="177"/>
      <c r="X147" s="177"/>
      <c r="Y147" s="177"/>
      <c r="Z147" s="177"/>
      <c r="AA147" s="177"/>
      <c r="AB147" s="177"/>
      <c r="AC147" s="177"/>
      <c r="AD147" s="177"/>
    </row>
    <row r="148" spans="1:30" s="55" customFormat="1" ht="19.149999999999999" customHeight="1" x14ac:dyDescent="0.2">
      <c r="A148" s="177"/>
      <c r="B148" s="177"/>
      <c r="C148" s="177"/>
      <c r="D148" s="177"/>
      <c r="E148" s="14"/>
      <c r="F148" s="24"/>
      <c r="G148" s="25"/>
      <c r="H148" s="17"/>
      <c r="I148" s="18"/>
      <c r="J148" s="19"/>
      <c r="K148" s="56"/>
      <c r="L148" s="100"/>
      <c r="M148" s="20"/>
      <c r="N148" s="62"/>
      <c r="O148" s="177"/>
      <c r="P148" s="22"/>
      <c r="Q148" s="23"/>
      <c r="R148" s="107"/>
      <c r="S148" s="107"/>
      <c r="T148" s="107"/>
      <c r="U148" s="107"/>
      <c r="V148" s="177"/>
      <c r="W148" s="177"/>
      <c r="X148" s="177"/>
      <c r="Y148" s="177"/>
      <c r="Z148" s="177"/>
      <c r="AA148" s="177"/>
      <c r="AB148" s="177"/>
      <c r="AC148" s="177"/>
      <c r="AD148" s="177"/>
    </row>
    <row r="149" spans="1:30" s="55" customFormat="1" ht="19.149999999999999" customHeight="1" x14ac:dyDescent="0.2">
      <c r="A149" s="177"/>
      <c r="B149" s="177"/>
      <c r="C149" s="177"/>
      <c r="D149" s="177"/>
      <c r="E149" s="14"/>
      <c r="F149" s="24"/>
      <c r="G149" s="25"/>
      <c r="H149" s="17"/>
      <c r="I149" s="18"/>
      <c r="J149" s="19"/>
      <c r="K149" s="56"/>
      <c r="L149" s="100"/>
      <c r="M149" s="20"/>
      <c r="N149" s="62"/>
      <c r="O149" s="177"/>
      <c r="P149" s="22"/>
      <c r="Q149" s="23"/>
      <c r="R149" s="107"/>
      <c r="S149" s="107"/>
      <c r="T149" s="107"/>
      <c r="U149" s="107"/>
      <c r="V149" s="177"/>
      <c r="W149" s="177"/>
      <c r="X149" s="177"/>
      <c r="Y149" s="177"/>
      <c r="Z149" s="177"/>
      <c r="AA149" s="177"/>
      <c r="AB149" s="177"/>
      <c r="AC149" s="177"/>
      <c r="AD149" s="177"/>
    </row>
    <row r="150" spans="1:30" s="55" customFormat="1" ht="19.149999999999999" customHeight="1" x14ac:dyDescent="0.2">
      <c r="A150" s="177"/>
      <c r="B150" s="177"/>
      <c r="C150" s="177"/>
      <c r="D150" s="177"/>
      <c r="E150" s="14"/>
      <c r="F150" s="24"/>
      <c r="G150" s="25"/>
      <c r="H150" s="17"/>
      <c r="I150" s="18"/>
      <c r="J150" s="19"/>
      <c r="K150" s="56"/>
      <c r="L150" s="100"/>
      <c r="M150" s="20"/>
      <c r="N150" s="62"/>
      <c r="O150" s="177"/>
      <c r="P150" s="22"/>
      <c r="Q150" s="23"/>
      <c r="R150" s="107"/>
      <c r="S150" s="107"/>
      <c r="T150" s="107"/>
      <c r="U150" s="107"/>
      <c r="V150" s="177"/>
      <c r="W150" s="177"/>
      <c r="X150" s="177"/>
      <c r="Y150" s="177"/>
      <c r="Z150" s="177"/>
      <c r="AA150" s="177"/>
      <c r="AB150" s="177"/>
      <c r="AC150" s="177"/>
      <c r="AD150" s="177"/>
    </row>
    <row r="151" spans="1:30" s="55" customFormat="1" ht="19.149999999999999" customHeight="1" x14ac:dyDescent="0.2">
      <c r="A151" s="177"/>
      <c r="B151" s="177"/>
      <c r="C151" s="177"/>
      <c r="D151" s="177"/>
      <c r="E151" s="14"/>
      <c r="F151" s="24"/>
      <c r="G151" s="25"/>
      <c r="H151" s="17"/>
      <c r="I151" s="18"/>
      <c r="J151" s="19"/>
      <c r="K151" s="56"/>
      <c r="L151" s="100"/>
      <c r="M151" s="20"/>
      <c r="N151" s="62"/>
      <c r="O151" s="177"/>
      <c r="P151" s="22"/>
      <c r="Q151" s="23"/>
      <c r="R151" s="107"/>
      <c r="S151" s="107"/>
      <c r="T151" s="107"/>
      <c r="U151" s="107"/>
      <c r="V151" s="177"/>
      <c r="W151" s="177"/>
      <c r="X151" s="177"/>
      <c r="Y151" s="177"/>
      <c r="Z151" s="177"/>
      <c r="AA151" s="177"/>
      <c r="AB151" s="177"/>
      <c r="AC151" s="177"/>
      <c r="AD151" s="177"/>
    </row>
    <row r="152" spans="1:30" s="55" customFormat="1" ht="19.149999999999999" customHeight="1" x14ac:dyDescent="0.2">
      <c r="A152" s="177"/>
      <c r="B152" s="177"/>
      <c r="C152" s="177"/>
      <c r="D152" s="177"/>
      <c r="E152" s="14"/>
      <c r="F152" s="24"/>
      <c r="G152" s="25"/>
      <c r="H152" s="17"/>
      <c r="I152" s="18"/>
      <c r="J152" s="19"/>
      <c r="K152" s="56"/>
      <c r="L152" s="100"/>
      <c r="M152" s="20"/>
      <c r="N152" s="62"/>
      <c r="O152" s="177"/>
      <c r="P152" s="22"/>
      <c r="Q152" s="23"/>
      <c r="R152" s="107"/>
      <c r="S152" s="107"/>
      <c r="T152" s="107"/>
      <c r="U152" s="107"/>
      <c r="V152" s="177"/>
      <c r="W152" s="177"/>
      <c r="X152" s="177"/>
      <c r="Y152" s="177"/>
      <c r="Z152" s="177"/>
      <c r="AA152" s="177"/>
      <c r="AB152" s="177"/>
      <c r="AC152" s="177"/>
      <c r="AD152" s="177"/>
    </row>
    <row r="153" spans="1:30" s="55" customFormat="1" ht="19.149999999999999" customHeight="1" x14ac:dyDescent="0.2">
      <c r="A153" s="177"/>
      <c r="B153" s="177"/>
      <c r="C153" s="177"/>
      <c r="D153" s="177"/>
      <c r="E153" s="14"/>
      <c r="F153" s="24"/>
      <c r="G153" s="25"/>
      <c r="H153" s="17"/>
      <c r="I153" s="18"/>
      <c r="J153" s="19"/>
      <c r="K153" s="56"/>
      <c r="L153" s="100"/>
      <c r="M153" s="20"/>
      <c r="N153" s="62"/>
      <c r="O153" s="177"/>
      <c r="P153" s="22"/>
      <c r="Q153" s="23"/>
      <c r="R153" s="107"/>
      <c r="S153" s="107"/>
      <c r="T153" s="107"/>
      <c r="U153" s="107"/>
      <c r="V153" s="177"/>
      <c r="W153" s="177"/>
      <c r="X153" s="177"/>
      <c r="Y153" s="177"/>
      <c r="Z153" s="177"/>
      <c r="AA153" s="177"/>
      <c r="AB153" s="177"/>
      <c r="AC153" s="177"/>
      <c r="AD153" s="177"/>
    </row>
    <row r="154" spans="1:30" s="55" customFormat="1" ht="19.149999999999999" customHeight="1" x14ac:dyDescent="0.2">
      <c r="A154" s="177"/>
      <c r="B154" s="177"/>
      <c r="C154" s="177"/>
      <c r="D154" s="177"/>
      <c r="E154" s="14"/>
      <c r="F154" s="24"/>
      <c r="G154" s="25"/>
      <c r="H154" s="17"/>
      <c r="I154" s="18"/>
      <c r="J154" s="19"/>
      <c r="K154" s="56"/>
      <c r="L154" s="100"/>
      <c r="M154" s="20"/>
      <c r="N154" s="62"/>
      <c r="O154" s="177"/>
      <c r="P154" s="22"/>
      <c r="Q154" s="23"/>
      <c r="R154" s="107"/>
      <c r="S154" s="107"/>
      <c r="T154" s="107"/>
      <c r="U154" s="107"/>
      <c r="V154" s="177"/>
      <c r="W154" s="177"/>
      <c r="X154" s="177"/>
      <c r="Y154" s="177"/>
      <c r="Z154" s="177"/>
      <c r="AA154" s="177"/>
      <c r="AB154" s="177"/>
      <c r="AC154" s="177"/>
      <c r="AD154" s="177"/>
    </row>
    <row r="155" spans="1:30" s="55" customFormat="1" ht="19.149999999999999" customHeight="1" x14ac:dyDescent="0.2">
      <c r="A155" s="177"/>
      <c r="B155" s="177"/>
      <c r="C155" s="177"/>
      <c r="D155" s="177"/>
      <c r="E155" s="14"/>
      <c r="F155" s="24"/>
      <c r="G155" s="25"/>
      <c r="H155" s="17"/>
      <c r="I155" s="18"/>
      <c r="J155" s="19"/>
      <c r="K155" s="56"/>
      <c r="L155" s="100"/>
      <c r="M155" s="20"/>
      <c r="N155" s="62"/>
      <c r="O155" s="177"/>
      <c r="P155" s="22"/>
      <c r="Q155" s="23"/>
      <c r="R155" s="107"/>
      <c r="S155" s="107"/>
      <c r="T155" s="107"/>
      <c r="U155" s="107"/>
      <c r="V155" s="177"/>
      <c r="W155" s="177"/>
      <c r="X155" s="177"/>
      <c r="Y155" s="177"/>
      <c r="Z155" s="177"/>
      <c r="AA155" s="177"/>
      <c r="AB155" s="177"/>
      <c r="AC155" s="177"/>
      <c r="AD155" s="177"/>
    </row>
    <row r="156" spans="1:30" s="55" customFormat="1" ht="19.149999999999999" customHeight="1" x14ac:dyDescent="0.2">
      <c r="A156" s="177"/>
      <c r="B156" s="75"/>
      <c r="C156" s="177"/>
      <c r="D156" s="177"/>
      <c r="E156" s="14"/>
      <c r="F156" s="24"/>
      <c r="G156" s="25"/>
      <c r="H156" s="17"/>
      <c r="I156" s="18"/>
      <c r="J156" s="19"/>
      <c r="K156" s="56"/>
      <c r="L156" s="100"/>
      <c r="M156" s="20"/>
      <c r="N156" s="62"/>
      <c r="O156" s="177"/>
      <c r="P156" s="22"/>
      <c r="Q156" s="23"/>
      <c r="R156" s="107"/>
      <c r="S156" s="107"/>
      <c r="T156" s="107"/>
      <c r="U156" s="107"/>
      <c r="V156" s="177"/>
      <c r="W156" s="177"/>
      <c r="X156" s="177"/>
      <c r="Y156" s="177"/>
      <c r="Z156" s="177"/>
      <c r="AA156" s="177"/>
      <c r="AB156" s="177"/>
      <c r="AC156" s="177"/>
      <c r="AD156" s="177"/>
    </row>
    <row r="157" spans="1:30" s="55" customFormat="1" ht="19.149999999999999" customHeight="1" x14ac:dyDescent="0.2">
      <c r="A157" s="177"/>
      <c r="B157" s="177"/>
      <c r="C157" s="177"/>
      <c r="D157" s="177"/>
      <c r="E157" s="14"/>
      <c r="F157" s="24"/>
      <c r="G157" s="25"/>
      <c r="H157" s="17"/>
      <c r="I157" s="18"/>
      <c r="J157" s="19"/>
      <c r="K157" s="56"/>
      <c r="L157" s="100"/>
      <c r="M157" s="20"/>
      <c r="N157" s="62"/>
      <c r="O157" s="177"/>
      <c r="P157" s="22"/>
      <c r="Q157" s="23"/>
      <c r="R157" s="107"/>
      <c r="S157" s="107"/>
      <c r="T157" s="107"/>
      <c r="U157" s="107"/>
      <c r="V157" s="177"/>
      <c r="W157" s="177"/>
      <c r="X157" s="177"/>
      <c r="Y157" s="177"/>
      <c r="Z157" s="177"/>
      <c r="AA157" s="177"/>
      <c r="AB157" s="177"/>
      <c r="AC157" s="177"/>
      <c r="AD157" s="177"/>
    </row>
    <row r="158" spans="1:30" s="55" customFormat="1" ht="19.149999999999999" customHeight="1" x14ac:dyDescent="0.2">
      <c r="A158" s="177"/>
      <c r="B158" s="177"/>
      <c r="C158" s="177"/>
      <c r="D158" s="177"/>
      <c r="E158" s="14"/>
      <c r="F158" s="24"/>
      <c r="G158" s="25"/>
      <c r="H158" s="17"/>
      <c r="I158" s="18"/>
      <c r="J158" s="19"/>
      <c r="K158" s="56"/>
      <c r="L158" s="100"/>
      <c r="M158" s="20"/>
      <c r="N158" s="62"/>
      <c r="O158" s="177"/>
      <c r="P158" s="22"/>
      <c r="Q158" s="23"/>
      <c r="R158" s="107"/>
      <c r="S158" s="107"/>
      <c r="T158" s="107"/>
      <c r="U158" s="107"/>
      <c r="V158" s="177"/>
      <c r="W158" s="177"/>
      <c r="X158" s="177"/>
      <c r="Y158" s="177"/>
      <c r="Z158" s="177"/>
      <c r="AA158" s="177"/>
      <c r="AB158" s="177"/>
      <c r="AC158" s="177"/>
      <c r="AD158" s="177"/>
    </row>
    <row r="159" spans="1:30" s="55" customFormat="1" ht="19.149999999999999" customHeight="1" x14ac:dyDescent="0.2">
      <c r="A159" s="177"/>
      <c r="B159" s="177"/>
      <c r="C159" s="177"/>
      <c r="D159" s="177"/>
      <c r="E159" s="14"/>
      <c r="F159" s="24"/>
      <c r="G159" s="25"/>
      <c r="H159" s="17"/>
      <c r="I159" s="18"/>
      <c r="J159" s="19"/>
      <c r="K159" s="56"/>
      <c r="L159" s="100"/>
      <c r="M159" s="20"/>
      <c r="N159" s="62"/>
      <c r="O159" s="177"/>
      <c r="P159" s="22"/>
      <c r="Q159" s="23"/>
      <c r="R159" s="107"/>
      <c r="S159" s="107"/>
      <c r="T159" s="107"/>
      <c r="U159" s="107"/>
      <c r="V159" s="177"/>
      <c r="W159" s="177"/>
      <c r="X159" s="177"/>
      <c r="Y159" s="177"/>
      <c r="Z159" s="177"/>
      <c r="AA159" s="177"/>
      <c r="AB159" s="177"/>
      <c r="AC159" s="177"/>
      <c r="AD159" s="177"/>
    </row>
    <row r="160" spans="1:30" s="55" customFormat="1" ht="19.149999999999999" customHeight="1" x14ac:dyDescent="0.2">
      <c r="A160" s="177"/>
      <c r="B160" s="177"/>
      <c r="C160" s="177"/>
      <c r="D160" s="177"/>
      <c r="E160" s="14"/>
      <c r="F160" s="24"/>
      <c r="G160" s="25"/>
      <c r="H160" s="17"/>
      <c r="I160" s="18"/>
      <c r="J160" s="19"/>
      <c r="K160" s="56"/>
      <c r="L160" s="100"/>
      <c r="M160" s="20"/>
      <c r="N160" s="62"/>
      <c r="O160" s="177"/>
      <c r="P160" s="22"/>
      <c r="Q160" s="23"/>
      <c r="R160" s="107"/>
      <c r="S160" s="107"/>
      <c r="T160" s="107"/>
      <c r="U160" s="107"/>
      <c r="V160" s="177"/>
      <c r="W160" s="177"/>
      <c r="X160" s="177"/>
      <c r="Y160" s="177"/>
      <c r="Z160" s="177"/>
      <c r="AA160" s="177"/>
      <c r="AB160" s="177"/>
      <c r="AC160" s="177"/>
      <c r="AD160" s="177"/>
    </row>
    <row r="161" spans="1:30" s="55" customFormat="1" ht="19.149999999999999" customHeight="1" x14ac:dyDescent="0.2">
      <c r="A161" s="177"/>
      <c r="B161" s="177"/>
      <c r="C161" s="177"/>
      <c r="D161" s="177"/>
      <c r="E161" s="14"/>
      <c r="F161" s="24"/>
      <c r="G161" s="25"/>
      <c r="H161" s="17"/>
      <c r="I161" s="18"/>
      <c r="J161" s="19"/>
      <c r="K161" s="56"/>
      <c r="L161" s="100"/>
      <c r="M161" s="20"/>
      <c r="N161" s="62"/>
      <c r="O161" s="177"/>
      <c r="P161" s="22"/>
      <c r="Q161" s="23"/>
      <c r="R161" s="107"/>
      <c r="S161" s="107"/>
      <c r="T161" s="107"/>
      <c r="U161" s="107"/>
      <c r="V161" s="177"/>
      <c r="W161" s="177"/>
      <c r="X161" s="177"/>
      <c r="Y161" s="177"/>
      <c r="Z161" s="177"/>
      <c r="AA161" s="177"/>
      <c r="AB161" s="177"/>
      <c r="AC161" s="177"/>
      <c r="AD161" s="177"/>
    </row>
    <row r="162" spans="1:30" s="55" customFormat="1" ht="19.149999999999999" customHeight="1" x14ac:dyDescent="0.2">
      <c r="A162" s="177"/>
      <c r="B162" s="177"/>
      <c r="C162" s="177"/>
      <c r="D162" s="177"/>
      <c r="E162" s="14"/>
      <c r="F162" s="24"/>
      <c r="G162" s="25"/>
      <c r="H162" s="17"/>
      <c r="I162" s="18"/>
      <c r="J162" s="19"/>
      <c r="K162" s="56"/>
      <c r="L162" s="100"/>
      <c r="M162" s="20"/>
      <c r="N162" s="62"/>
      <c r="O162" s="177"/>
      <c r="P162" s="22"/>
      <c r="Q162" s="23"/>
      <c r="R162" s="107"/>
      <c r="S162" s="107"/>
      <c r="T162" s="107"/>
      <c r="U162" s="107"/>
      <c r="V162" s="177"/>
      <c r="W162" s="177"/>
      <c r="X162" s="177"/>
      <c r="Y162" s="177"/>
      <c r="Z162" s="177"/>
      <c r="AA162" s="177"/>
      <c r="AB162" s="177"/>
      <c r="AC162" s="177"/>
      <c r="AD162" s="177"/>
    </row>
    <row r="163" spans="1:30" s="55" customFormat="1" ht="19.149999999999999" customHeight="1" x14ac:dyDescent="0.2">
      <c r="A163" s="177"/>
      <c r="B163" s="177"/>
      <c r="C163" s="177"/>
      <c r="D163" s="177"/>
      <c r="E163" s="14"/>
      <c r="F163" s="24"/>
      <c r="G163" s="25"/>
      <c r="H163" s="17"/>
      <c r="I163" s="18"/>
      <c r="J163" s="19"/>
      <c r="K163" s="56"/>
      <c r="L163" s="100"/>
      <c r="M163" s="20"/>
      <c r="N163" s="62"/>
      <c r="O163" s="177"/>
      <c r="P163" s="22"/>
      <c r="Q163" s="23"/>
      <c r="R163" s="107"/>
      <c r="S163" s="107"/>
      <c r="T163" s="107"/>
      <c r="U163" s="107"/>
      <c r="V163" s="177"/>
      <c r="W163" s="177"/>
      <c r="X163" s="177"/>
      <c r="Y163" s="177"/>
      <c r="Z163" s="177"/>
      <c r="AA163" s="177"/>
      <c r="AB163" s="177"/>
      <c r="AC163" s="177"/>
      <c r="AD163" s="177"/>
    </row>
    <row r="164" spans="1:30" s="55" customFormat="1" ht="19.149999999999999" customHeight="1" x14ac:dyDescent="0.2">
      <c r="A164" s="177"/>
      <c r="B164" s="177"/>
      <c r="C164" s="177"/>
      <c r="D164" s="177"/>
      <c r="E164" s="14"/>
      <c r="F164" s="24"/>
      <c r="G164" s="25"/>
      <c r="H164" s="17"/>
      <c r="I164" s="18"/>
      <c r="J164" s="19"/>
      <c r="K164" s="56"/>
      <c r="L164" s="100"/>
      <c r="M164" s="20"/>
      <c r="N164" s="62"/>
      <c r="O164" s="177"/>
      <c r="P164" s="22"/>
      <c r="Q164" s="23"/>
      <c r="R164" s="107"/>
      <c r="S164" s="107"/>
      <c r="T164" s="107"/>
      <c r="U164" s="107"/>
      <c r="V164" s="177"/>
      <c r="W164" s="177"/>
      <c r="X164" s="177"/>
      <c r="Y164" s="177"/>
      <c r="Z164" s="177"/>
      <c r="AA164" s="177"/>
      <c r="AB164" s="177"/>
      <c r="AC164" s="177"/>
      <c r="AD164" s="177"/>
    </row>
    <row r="165" spans="1:30" s="55" customFormat="1" ht="19.149999999999999" customHeight="1" x14ac:dyDescent="0.2">
      <c r="A165" s="177"/>
      <c r="B165" s="177"/>
      <c r="C165" s="177"/>
      <c r="D165" s="177"/>
      <c r="E165" s="14"/>
      <c r="F165" s="24"/>
      <c r="G165" s="25"/>
      <c r="H165" s="17"/>
      <c r="I165" s="18"/>
      <c r="J165" s="19"/>
      <c r="K165" s="56"/>
      <c r="L165" s="100"/>
      <c r="M165" s="20"/>
      <c r="N165" s="62"/>
      <c r="O165" s="177"/>
      <c r="P165" s="22"/>
      <c r="Q165" s="23"/>
      <c r="R165" s="107"/>
      <c r="S165" s="107"/>
      <c r="T165" s="107"/>
      <c r="U165" s="107"/>
      <c r="V165" s="177"/>
      <c r="W165" s="177"/>
      <c r="X165" s="177"/>
      <c r="Y165" s="177"/>
      <c r="Z165" s="177"/>
      <c r="AA165" s="177"/>
      <c r="AB165" s="177"/>
      <c r="AC165" s="177"/>
      <c r="AD165" s="177"/>
    </row>
    <row r="166" spans="1:30" s="55" customFormat="1" ht="19.149999999999999" customHeight="1" x14ac:dyDescent="0.2">
      <c r="A166" s="177"/>
      <c r="B166" s="177"/>
      <c r="C166" s="177"/>
      <c r="D166" s="177"/>
      <c r="E166" s="14"/>
      <c r="F166" s="24"/>
      <c r="G166" s="25"/>
      <c r="H166" s="17"/>
      <c r="I166" s="18"/>
      <c r="J166" s="19"/>
      <c r="K166" s="56"/>
      <c r="L166" s="100"/>
      <c r="M166" s="20"/>
      <c r="N166" s="62"/>
      <c r="O166" s="177"/>
      <c r="P166" s="22"/>
      <c r="Q166" s="23"/>
      <c r="R166" s="107"/>
      <c r="S166" s="107"/>
      <c r="T166" s="107"/>
      <c r="U166" s="107"/>
      <c r="V166" s="177"/>
      <c r="W166" s="177"/>
      <c r="X166" s="177"/>
      <c r="Y166" s="177"/>
      <c r="Z166" s="177"/>
      <c r="AA166" s="177"/>
      <c r="AB166" s="177"/>
      <c r="AC166" s="177"/>
      <c r="AD166" s="177"/>
    </row>
    <row r="167" spans="1:30" s="55" customFormat="1" ht="19.149999999999999" customHeight="1" x14ac:dyDescent="0.2">
      <c r="A167" s="177"/>
      <c r="B167" s="177"/>
      <c r="C167" s="177"/>
      <c r="D167" s="177"/>
      <c r="E167" s="14"/>
      <c r="F167" s="24"/>
      <c r="G167" s="25"/>
      <c r="H167" s="17"/>
      <c r="I167" s="18"/>
      <c r="J167" s="19"/>
      <c r="K167" s="56"/>
      <c r="L167" s="100"/>
      <c r="M167" s="20"/>
      <c r="N167" s="62"/>
      <c r="O167" s="177"/>
      <c r="P167" s="22"/>
      <c r="Q167" s="23"/>
      <c r="R167" s="107"/>
      <c r="S167" s="107"/>
      <c r="T167" s="107"/>
      <c r="U167" s="107"/>
      <c r="V167" s="177"/>
      <c r="W167" s="177"/>
      <c r="X167" s="177"/>
      <c r="Y167" s="177"/>
      <c r="Z167" s="177"/>
      <c r="AA167" s="177"/>
      <c r="AB167" s="177"/>
      <c r="AC167" s="177"/>
      <c r="AD167" s="177"/>
    </row>
    <row r="168" spans="1:30" x14ac:dyDescent="0.2">
      <c r="E168" s="55"/>
      <c r="Q168" s="23"/>
    </row>
    <row r="169" spans="1:30" x14ac:dyDescent="0.2">
      <c r="E169" s="55"/>
      <c r="Q169" s="23"/>
    </row>
    <row r="170" spans="1:30" x14ac:dyDescent="0.2">
      <c r="E170" s="55"/>
      <c r="Q170" s="23"/>
    </row>
    <row r="171" spans="1:30" x14ac:dyDescent="0.2">
      <c r="E171" s="55"/>
      <c r="Q171" s="23"/>
    </row>
    <row r="172" spans="1:30" x14ac:dyDescent="0.2">
      <c r="E172" s="55"/>
      <c r="Q172" s="23"/>
    </row>
    <row r="173" spans="1:30" x14ac:dyDescent="0.2">
      <c r="E173" s="55"/>
      <c r="Q173" s="23"/>
    </row>
    <row r="174" spans="1:30" x14ac:dyDescent="0.2">
      <c r="E174" s="55"/>
      <c r="Q174" s="23"/>
    </row>
    <row r="175" spans="1:30" x14ac:dyDescent="0.2">
      <c r="E175" s="55"/>
      <c r="Q175" s="23"/>
    </row>
    <row r="176" spans="1:30" x14ac:dyDescent="0.2">
      <c r="E176" s="55"/>
      <c r="Q176" s="23"/>
    </row>
    <row r="177" spans="5:17" x14ac:dyDescent="0.2">
      <c r="E177" s="55"/>
      <c r="Q177" s="23"/>
    </row>
    <row r="178" spans="5:17" x14ac:dyDescent="0.2">
      <c r="E178" s="55"/>
      <c r="Q178" s="23"/>
    </row>
    <row r="179" spans="5:17" x14ac:dyDescent="0.2">
      <c r="E179" s="55"/>
      <c r="Q179" s="23"/>
    </row>
    <row r="180" spans="5:17" x14ac:dyDescent="0.2">
      <c r="E180" s="55"/>
    </row>
    <row r="181" spans="5:17" x14ac:dyDescent="0.2">
      <c r="E181" s="55"/>
    </row>
    <row r="182" spans="5:17" x14ac:dyDescent="0.2">
      <c r="E182" s="55"/>
    </row>
    <row r="183" spans="5:17" x14ac:dyDescent="0.2">
      <c r="E183" s="55"/>
    </row>
    <row r="184" spans="5:17" x14ac:dyDescent="0.2">
      <c r="E184" s="55"/>
    </row>
    <row r="185" spans="5:17" x14ac:dyDescent="0.2">
      <c r="E185" s="55"/>
    </row>
    <row r="186" spans="5:17" x14ac:dyDescent="0.2">
      <c r="E186" s="55"/>
    </row>
    <row r="187" spans="5:17" x14ac:dyDescent="0.2">
      <c r="E187" s="55"/>
    </row>
    <row r="188" spans="5:17" x14ac:dyDescent="0.2">
      <c r="E188" s="55"/>
    </row>
  </sheetData>
  <mergeCells count="55">
    <mergeCell ref="A1:B1"/>
    <mergeCell ref="A2:B2"/>
    <mergeCell ref="A51:C51"/>
    <mergeCell ref="A52:C52"/>
    <mergeCell ref="A3:C3"/>
    <mergeCell ref="A21:C21"/>
    <mergeCell ref="A48:C48"/>
    <mergeCell ref="A45:C45"/>
    <mergeCell ref="A46:C46"/>
    <mergeCell ref="A47:C47"/>
    <mergeCell ref="A49:C49"/>
    <mergeCell ref="A50:C50"/>
    <mergeCell ref="A38:C38"/>
    <mergeCell ref="A41:C41"/>
    <mergeCell ref="A4:C4"/>
    <mergeCell ref="A32:C32"/>
    <mergeCell ref="R1:T1"/>
    <mergeCell ref="R2:T2"/>
    <mergeCell ref="R3:T3"/>
    <mergeCell ref="R4:T4"/>
    <mergeCell ref="R5:T5"/>
    <mergeCell ref="R6:T6"/>
    <mergeCell ref="R7:T7"/>
    <mergeCell ref="R8:T8"/>
    <mergeCell ref="R9:T9"/>
    <mergeCell ref="R10:T10"/>
    <mergeCell ref="R16:T16"/>
    <mergeCell ref="R17:T17"/>
    <mergeCell ref="R11:T11"/>
    <mergeCell ref="R12:T12"/>
    <mergeCell ref="R13:T13"/>
    <mergeCell ref="R14:T14"/>
    <mergeCell ref="R15:T15"/>
    <mergeCell ref="A18:C18"/>
    <mergeCell ref="A39:C39"/>
    <mergeCell ref="A40:C40"/>
    <mergeCell ref="A42:C42"/>
    <mergeCell ref="A33:C33"/>
    <mergeCell ref="A34:C34"/>
    <mergeCell ref="A35:C35"/>
    <mergeCell ref="A36:C36"/>
    <mergeCell ref="A37:C37"/>
    <mergeCell ref="A17:C17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</mergeCells>
  <conditionalFormatting sqref="L2:L99 L107:L1048576">
    <cfRule type="cellIs" dxfId="78" priority="7" operator="equal">
      <formula>"EARLY"</formula>
    </cfRule>
    <cfRule type="cellIs" dxfId="77" priority="8" operator="equal">
      <formula>"DEF"</formula>
    </cfRule>
    <cfRule type="cellIs" dxfId="76" priority="9" operator="equal">
      <formula>"LATE"</formula>
    </cfRule>
    <cfRule type="expression" dxfId="75" priority="10">
      <formula>K2="Paid"</formula>
    </cfRule>
    <cfRule type="expression" dxfId="74" priority="11">
      <formula>K2="Check!"</formula>
    </cfRule>
    <cfRule type="expression" dxfId="73" priority="12">
      <formula>K2="Waiting"</formula>
    </cfRule>
  </conditionalFormatting>
  <conditionalFormatting sqref="L102:L106">
    <cfRule type="cellIs" dxfId="72" priority="1" operator="equal">
      <formula>"EARLY"</formula>
    </cfRule>
    <cfRule type="cellIs" dxfId="71" priority="2" operator="equal">
      <formula>"DEF"</formula>
    </cfRule>
    <cfRule type="cellIs" dxfId="70" priority="3" operator="equal">
      <formula>"LATE"</formula>
    </cfRule>
    <cfRule type="expression" dxfId="69" priority="4">
      <formula>K102="Paid"</formula>
    </cfRule>
    <cfRule type="expression" dxfId="68" priority="5">
      <formula>K102="Check!"</formula>
    </cfRule>
    <cfRule type="expression" dxfId="67" priority="6">
      <formula>K102="Waiting"</formula>
    </cfRule>
  </conditionalFormatting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V500"/>
  <sheetViews>
    <sheetView topLeftCell="D1" zoomScaleNormal="100" workbookViewId="0">
      <selection activeCell="L123" sqref="L123"/>
    </sheetView>
  </sheetViews>
  <sheetFormatPr defaultColWidth="8.7421875" defaultRowHeight="15" x14ac:dyDescent="0.2"/>
  <cols>
    <col min="1" max="3" width="15.6015625" style="41" customWidth="1"/>
    <col min="4" max="4" width="2.6875" style="42" customWidth="1"/>
    <col min="5" max="5" width="5.6484375" style="7" customWidth="1"/>
    <col min="6" max="6" width="12.64453125" style="43" customWidth="1"/>
    <col min="7" max="7" width="12.64453125" style="44" customWidth="1"/>
    <col min="8" max="8" width="15.6015625" style="45" customWidth="1"/>
    <col min="9" max="10" width="15.6015625" style="46" customWidth="1"/>
    <col min="11" max="11" width="7.6640625" style="7" customWidth="1"/>
    <col min="12" max="12" width="5.6484375" style="42" customWidth="1"/>
    <col min="13" max="13" width="15.6015625" style="47" customWidth="1"/>
    <col min="14" max="14" width="10.35546875" style="41" customWidth="1"/>
    <col min="15" max="15" width="2.6875" style="42" customWidth="1"/>
    <col min="16" max="16" width="10.35546875" style="48" customWidth="1"/>
    <col min="17" max="17" width="10.35546875" style="12" customWidth="1"/>
    <col min="18" max="20" width="11.8359375" style="81" customWidth="1"/>
    <col min="21" max="21" width="8.47265625" style="81" customWidth="1"/>
    <col min="22" max="22" width="8.47265625" style="42" customWidth="1"/>
    <col min="23" max="24" width="8.47265625" style="41" customWidth="1"/>
    <col min="25" max="16384" width="8.7421875" style="41"/>
  </cols>
  <sheetData>
    <row r="1" spans="1:22" s="12" customFormat="1" ht="23.1" customHeight="1" x14ac:dyDescent="0.2">
      <c r="A1" s="233" t="s">
        <v>17</v>
      </c>
      <c r="B1" s="233"/>
      <c r="C1" s="178" t="s">
        <v>18</v>
      </c>
      <c r="D1" s="99"/>
      <c r="E1" s="178" t="s">
        <v>19</v>
      </c>
      <c r="F1" s="175" t="s">
        <v>20</v>
      </c>
      <c r="G1" s="145" t="s">
        <v>21</v>
      </c>
      <c r="H1" s="146" t="s">
        <v>22</v>
      </c>
      <c r="I1" s="136" t="s">
        <v>23</v>
      </c>
      <c r="J1" s="136" t="s">
        <v>24</v>
      </c>
      <c r="K1" s="136" t="s">
        <v>25</v>
      </c>
      <c r="L1" s="136" t="s">
        <v>26</v>
      </c>
      <c r="M1" s="147" t="s">
        <v>110</v>
      </c>
      <c r="N1" s="136" t="s">
        <v>111</v>
      </c>
      <c r="O1" s="89"/>
      <c r="P1" s="148" t="s">
        <v>28</v>
      </c>
      <c r="Q1" s="138" t="s">
        <v>29</v>
      </c>
      <c r="R1" s="226" t="s">
        <v>112</v>
      </c>
      <c r="S1" s="226"/>
      <c r="T1" s="226"/>
      <c r="U1" s="101"/>
      <c r="V1" s="107"/>
    </row>
    <row r="2" spans="1:22" s="12" customFormat="1" ht="19.149999999999999" customHeight="1" x14ac:dyDescent="0.2">
      <c r="A2" s="232">
        <f>SUMIFS(J2:J300,F2:F300,"&lt;&gt;")+B19+A19+C2</f>
        <v>99426.240000000005</v>
      </c>
      <c r="B2" s="232"/>
      <c r="C2" s="176">
        <v>0</v>
      </c>
      <c r="D2" s="107"/>
      <c r="E2" s="14">
        <v>4</v>
      </c>
      <c r="F2" s="15"/>
      <c r="G2" s="25">
        <v>45456</v>
      </c>
      <c r="H2" s="17">
        <v>1000</v>
      </c>
      <c r="I2" s="18">
        <v>12.56</v>
      </c>
      <c r="J2" s="19">
        <f t="shared" ref="J2:J33" si="0">SUM(H2:I2)</f>
        <v>1012.56</v>
      </c>
      <c r="K2" s="14" t="s">
        <v>31</v>
      </c>
      <c r="L2" s="100" t="s">
        <v>59</v>
      </c>
      <c r="M2" s="20" t="s">
        <v>211</v>
      </c>
      <c r="N2" s="21">
        <v>14.1</v>
      </c>
      <c r="O2" s="107"/>
      <c r="P2" s="22">
        <v>45778</v>
      </c>
      <c r="Q2" s="105">
        <f>SUMIFS(J$2:J$1000, F$2:F$1000, "&gt;=" &amp; DATE(YEAR(P2), MONTH(P2), 1), F$2:F$1000, "&lt;=" &amp; EOMONTH(P2, 0))</f>
        <v>0</v>
      </c>
      <c r="R2" s="222"/>
      <c r="S2" s="222"/>
      <c r="T2" s="222"/>
      <c r="U2" s="107"/>
      <c r="V2" s="107"/>
    </row>
    <row r="3" spans="1:22" s="12" customFormat="1" ht="19.149999999999999" customHeight="1" thickBot="1" x14ac:dyDescent="0.25">
      <c r="A3" s="234"/>
      <c r="B3" s="234"/>
      <c r="C3" s="234"/>
      <c r="D3" s="107"/>
      <c r="E3" s="14">
        <v>5</v>
      </c>
      <c r="F3" s="24"/>
      <c r="G3" s="25">
        <v>45484</v>
      </c>
      <c r="H3" s="17">
        <v>1000</v>
      </c>
      <c r="I3" s="18">
        <v>21.91</v>
      </c>
      <c r="J3" s="19">
        <f t="shared" si="0"/>
        <v>1021.91</v>
      </c>
      <c r="K3" s="14" t="s">
        <v>31</v>
      </c>
      <c r="L3" s="100" t="s">
        <v>59</v>
      </c>
      <c r="M3" s="20" t="s">
        <v>212</v>
      </c>
      <c r="N3" s="21">
        <v>14.3</v>
      </c>
      <c r="O3" s="107"/>
      <c r="P3" s="22">
        <v>45809</v>
      </c>
      <c r="Q3" s="105">
        <f t="shared" ref="Q3:Q66" si="1">SUMIFS(J$2:J$1000, F$2:F$1000, "&gt;=" &amp; DATE(YEAR(P3), MONTH(P3), 1), F$2:F$1000, "&lt;=" &amp; EOMONTH(P3, 0))</f>
        <v>0</v>
      </c>
      <c r="R3" s="225" t="s">
        <v>115</v>
      </c>
      <c r="S3" s="225"/>
      <c r="T3" s="225"/>
      <c r="U3" s="107"/>
      <c r="V3" s="107"/>
    </row>
    <row r="4" spans="1:22" s="12" customFormat="1" ht="19.149999999999999" customHeight="1" x14ac:dyDescent="0.2">
      <c r="A4" s="205" t="s">
        <v>116</v>
      </c>
      <c r="B4" s="206"/>
      <c r="C4" s="207"/>
      <c r="D4" s="107"/>
      <c r="E4" s="14">
        <v>4</v>
      </c>
      <c r="F4" s="24"/>
      <c r="G4" s="25">
        <v>45489</v>
      </c>
      <c r="H4" s="17">
        <v>1000</v>
      </c>
      <c r="I4" s="18">
        <v>10.35</v>
      </c>
      <c r="J4" s="19">
        <f t="shared" si="0"/>
        <v>1010.35</v>
      </c>
      <c r="K4" s="14" t="s">
        <v>31</v>
      </c>
      <c r="L4" s="100" t="s">
        <v>59</v>
      </c>
      <c r="M4" s="20" t="s">
        <v>212</v>
      </c>
      <c r="N4" s="21">
        <v>13.65</v>
      </c>
      <c r="O4" s="107"/>
      <c r="P4" s="22">
        <v>45839</v>
      </c>
      <c r="Q4" s="105">
        <f t="shared" si="1"/>
        <v>0</v>
      </c>
      <c r="R4" s="222" t="s">
        <v>118</v>
      </c>
      <c r="S4" s="222"/>
      <c r="T4" s="222"/>
      <c r="U4" s="107"/>
      <c r="V4" s="107"/>
    </row>
    <row r="5" spans="1:22" s="12" customFormat="1" ht="19.149999999999999" customHeight="1" x14ac:dyDescent="0.2">
      <c r="A5" s="216"/>
      <c r="B5" s="217"/>
      <c r="C5" s="217"/>
      <c r="D5" s="107"/>
      <c r="E5" s="14">
        <v>4</v>
      </c>
      <c r="F5" s="24"/>
      <c r="G5" s="25">
        <v>45495</v>
      </c>
      <c r="H5" s="17">
        <v>1000</v>
      </c>
      <c r="I5" s="18">
        <v>23.74</v>
      </c>
      <c r="J5" s="19">
        <f t="shared" si="0"/>
        <v>1023.74</v>
      </c>
      <c r="K5" s="14" t="s">
        <v>31</v>
      </c>
      <c r="L5" s="100" t="s">
        <v>59</v>
      </c>
      <c r="M5" s="20" t="s">
        <v>212</v>
      </c>
      <c r="N5" s="21">
        <v>14.04</v>
      </c>
      <c r="O5" s="107"/>
      <c r="P5" s="22">
        <v>45870</v>
      </c>
      <c r="Q5" s="105">
        <f t="shared" si="1"/>
        <v>0</v>
      </c>
      <c r="R5" s="222" t="s">
        <v>120</v>
      </c>
      <c r="S5" s="222"/>
      <c r="T5" s="222"/>
      <c r="U5" s="107"/>
      <c r="V5" s="107"/>
    </row>
    <row r="6" spans="1:22" s="12" customFormat="1" ht="19.149999999999999" customHeight="1" x14ac:dyDescent="0.2">
      <c r="A6" s="214"/>
      <c r="B6" s="215"/>
      <c r="C6" s="215"/>
      <c r="D6" s="107"/>
      <c r="E6" s="14">
        <v>4</v>
      </c>
      <c r="F6" s="24"/>
      <c r="G6" s="25">
        <v>45522</v>
      </c>
      <c r="H6" s="17">
        <v>1000</v>
      </c>
      <c r="I6" s="18">
        <v>35.5</v>
      </c>
      <c r="J6" s="19">
        <f t="shared" si="0"/>
        <v>1035.5</v>
      </c>
      <c r="K6" s="14" t="s">
        <v>31</v>
      </c>
      <c r="L6" s="100" t="s">
        <v>59</v>
      </c>
      <c r="M6" s="20" t="s">
        <v>212</v>
      </c>
      <c r="N6" s="21">
        <v>14.67</v>
      </c>
      <c r="O6" s="107"/>
      <c r="P6" s="22">
        <v>45901</v>
      </c>
      <c r="Q6" s="105">
        <f t="shared" si="1"/>
        <v>0</v>
      </c>
      <c r="R6" s="222" t="s">
        <v>123</v>
      </c>
      <c r="S6" s="222"/>
      <c r="T6" s="222"/>
      <c r="U6" s="107"/>
      <c r="V6" s="107"/>
    </row>
    <row r="7" spans="1:22" s="12" customFormat="1" ht="19.149999999999999" customHeight="1" x14ac:dyDescent="0.2">
      <c r="A7" s="214"/>
      <c r="B7" s="215"/>
      <c r="C7" s="215"/>
      <c r="D7" s="107"/>
      <c r="E7" s="14">
        <v>4</v>
      </c>
      <c r="F7" s="24"/>
      <c r="G7" s="25">
        <v>45532</v>
      </c>
      <c r="H7" s="17">
        <v>1000</v>
      </c>
      <c r="I7" s="18">
        <v>35.89</v>
      </c>
      <c r="J7" s="19">
        <f t="shared" si="0"/>
        <v>1035.8900000000001</v>
      </c>
      <c r="K7" s="14" t="s">
        <v>31</v>
      </c>
      <c r="L7" s="100" t="s">
        <v>59</v>
      </c>
      <c r="M7" s="20" t="s">
        <v>212</v>
      </c>
      <c r="N7" s="21">
        <v>14.49</v>
      </c>
      <c r="O7" s="107"/>
      <c r="P7" s="22">
        <v>45931</v>
      </c>
      <c r="Q7" s="105">
        <f t="shared" si="1"/>
        <v>0</v>
      </c>
      <c r="R7" s="222" t="s">
        <v>125</v>
      </c>
      <c r="S7" s="222"/>
      <c r="T7" s="222"/>
      <c r="U7" s="107"/>
      <c r="V7" s="107"/>
    </row>
    <row r="8" spans="1:22" s="12" customFormat="1" ht="19.149999999999999" customHeight="1" x14ac:dyDescent="0.2">
      <c r="A8" s="216"/>
      <c r="B8" s="217"/>
      <c r="C8" s="217"/>
      <c r="D8" s="107"/>
      <c r="E8" s="14">
        <v>3</v>
      </c>
      <c r="F8" s="24"/>
      <c r="G8" s="25">
        <v>45536</v>
      </c>
      <c r="H8" s="17">
        <v>1000</v>
      </c>
      <c r="I8" s="18">
        <v>28.19</v>
      </c>
      <c r="J8" s="19">
        <f t="shared" si="0"/>
        <v>1028.19</v>
      </c>
      <c r="K8" s="14" t="s">
        <v>31</v>
      </c>
      <c r="L8" s="100"/>
      <c r="M8" s="20" t="s">
        <v>212</v>
      </c>
      <c r="N8" s="21">
        <v>14.64</v>
      </c>
      <c r="O8" s="107"/>
      <c r="P8" s="22">
        <v>45962</v>
      </c>
      <c r="Q8" s="105">
        <f t="shared" si="1"/>
        <v>10280.280000000001</v>
      </c>
      <c r="R8" s="223"/>
      <c r="S8" s="223"/>
      <c r="T8" s="223"/>
      <c r="U8" s="107"/>
      <c r="V8" s="107"/>
    </row>
    <row r="9" spans="1:22" s="12" customFormat="1" ht="19.149999999999999" customHeight="1" x14ac:dyDescent="0.2">
      <c r="A9" s="216"/>
      <c r="B9" s="217"/>
      <c r="C9" s="217"/>
      <c r="D9" s="107"/>
      <c r="E9" s="14">
        <v>6</v>
      </c>
      <c r="F9" s="24"/>
      <c r="G9" s="25">
        <v>45537</v>
      </c>
      <c r="H9" s="17">
        <v>1000</v>
      </c>
      <c r="I9" s="18">
        <v>37.4</v>
      </c>
      <c r="J9" s="19">
        <f t="shared" si="0"/>
        <v>1037.4000000000001</v>
      </c>
      <c r="K9" s="14" t="s">
        <v>31</v>
      </c>
      <c r="L9" s="100" t="s">
        <v>59</v>
      </c>
      <c r="M9" s="20" t="s">
        <v>212</v>
      </c>
      <c r="N9" s="21">
        <v>14.08</v>
      </c>
      <c r="O9" s="107"/>
      <c r="P9" s="22">
        <v>45992</v>
      </c>
      <c r="Q9" s="105">
        <f t="shared" si="1"/>
        <v>0</v>
      </c>
      <c r="R9" s="224"/>
      <c r="S9" s="224"/>
      <c r="T9" s="224"/>
      <c r="U9" s="107"/>
      <c r="V9" s="107"/>
    </row>
    <row r="10" spans="1:22" s="12" customFormat="1" ht="19.149999999999999" customHeight="1" x14ac:dyDescent="0.2">
      <c r="A10" s="216"/>
      <c r="B10" s="217"/>
      <c r="C10" s="217"/>
      <c r="D10" s="107"/>
      <c r="E10" s="14">
        <v>4</v>
      </c>
      <c r="F10" s="24"/>
      <c r="G10" s="25">
        <v>45537</v>
      </c>
      <c r="H10" s="17">
        <v>1000</v>
      </c>
      <c r="I10" s="18">
        <v>29.9</v>
      </c>
      <c r="J10" s="19">
        <f t="shared" si="0"/>
        <v>1029.9000000000001</v>
      </c>
      <c r="K10" s="14" t="s">
        <v>31</v>
      </c>
      <c r="L10" s="100" t="s">
        <v>59</v>
      </c>
      <c r="M10" s="20" t="s">
        <v>212</v>
      </c>
      <c r="N10" s="21">
        <v>14.67</v>
      </c>
      <c r="O10" s="107"/>
      <c r="P10" s="22">
        <v>46023</v>
      </c>
      <c r="Q10" s="105">
        <f t="shared" si="1"/>
        <v>10463.540000000001</v>
      </c>
      <c r="R10" s="225" t="s">
        <v>130</v>
      </c>
      <c r="S10" s="225"/>
      <c r="T10" s="225"/>
      <c r="U10" s="107"/>
      <c r="V10" s="107"/>
    </row>
    <row r="11" spans="1:22" s="12" customFormat="1" ht="19.149999999999999" customHeight="1" x14ac:dyDescent="0.2">
      <c r="A11" s="218" t="s">
        <v>128</v>
      </c>
      <c r="B11" s="219"/>
      <c r="C11" s="219"/>
      <c r="D11" s="107"/>
      <c r="E11" s="14">
        <v>3</v>
      </c>
      <c r="F11" s="24"/>
      <c r="G11" s="25">
        <v>45538</v>
      </c>
      <c r="H11" s="17">
        <v>1000</v>
      </c>
      <c r="I11" s="18">
        <v>27.42</v>
      </c>
      <c r="J11" s="19">
        <f t="shared" si="0"/>
        <v>1027.42</v>
      </c>
      <c r="K11" s="14" t="s">
        <v>31</v>
      </c>
      <c r="L11" s="100"/>
      <c r="M11" s="20" t="s">
        <v>212</v>
      </c>
      <c r="N11" s="21">
        <v>14.24</v>
      </c>
      <c r="O11" s="107"/>
      <c r="P11" s="22">
        <v>46054</v>
      </c>
      <c r="Q11" s="105">
        <f t="shared" si="1"/>
        <v>42216.06</v>
      </c>
      <c r="R11" s="222" t="s">
        <v>133</v>
      </c>
      <c r="S11" s="222"/>
      <c r="T11" s="222"/>
      <c r="U11" s="107"/>
      <c r="V11" s="107"/>
    </row>
    <row r="12" spans="1:22" s="12" customFormat="1" ht="19.149999999999999" customHeight="1" x14ac:dyDescent="0.2">
      <c r="A12" s="216" t="s">
        <v>213</v>
      </c>
      <c r="B12" s="217"/>
      <c r="C12" s="217"/>
      <c r="D12" s="107"/>
      <c r="E12" s="14">
        <v>4</v>
      </c>
      <c r="F12" s="24"/>
      <c r="G12" s="25">
        <v>45543</v>
      </c>
      <c r="H12" s="17">
        <v>1000</v>
      </c>
      <c r="I12" s="18">
        <v>37.520000000000003</v>
      </c>
      <c r="J12" s="19">
        <f t="shared" si="0"/>
        <v>1037.52</v>
      </c>
      <c r="K12" s="14" t="s">
        <v>31</v>
      </c>
      <c r="L12" s="100" t="s">
        <v>59</v>
      </c>
      <c r="M12" s="20" t="s">
        <v>212</v>
      </c>
      <c r="N12" s="21">
        <v>15.06</v>
      </c>
      <c r="O12" s="107"/>
      <c r="P12" s="22">
        <v>46082</v>
      </c>
      <c r="Q12" s="105">
        <f t="shared" si="1"/>
        <v>0</v>
      </c>
      <c r="R12" s="222" t="s">
        <v>136</v>
      </c>
      <c r="S12" s="222"/>
      <c r="T12" s="222"/>
      <c r="U12" s="107"/>
      <c r="V12" s="107"/>
    </row>
    <row r="13" spans="1:22" s="12" customFormat="1" ht="19.149999999999999" customHeight="1" x14ac:dyDescent="0.2">
      <c r="A13" s="218" t="s">
        <v>214</v>
      </c>
      <c r="B13" s="219"/>
      <c r="C13" s="219"/>
      <c r="D13" s="107"/>
      <c r="E13" s="14">
        <v>4</v>
      </c>
      <c r="F13" s="24"/>
      <c r="G13" s="25">
        <v>45552</v>
      </c>
      <c r="H13" s="17">
        <v>1000</v>
      </c>
      <c r="I13" s="18">
        <v>31.25</v>
      </c>
      <c r="J13" s="19">
        <f t="shared" si="0"/>
        <v>1031.25</v>
      </c>
      <c r="K13" s="14" t="s">
        <v>31</v>
      </c>
      <c r="L13" s="100" t="s">
        <v>59</v>
      </c>
      <c r="M13" s="20" t="s">
        <v>212</v>
      </c>
      <c r="N13" s="21">
        <v>12.9</v>
      </c>
      <c r="O13" s="107"/>
      <c r="P13" s="22">
        <v>46113</v>
      </c>
      <c r="Q13" s="105">
        <f t="shared" si="1"/>
        <v>0</v>
      </c>
      <c r="R13" s="222" t="s">
        <v>138</v>
      </c>
      <c r="S13" s="222"/>
      <c r="T13" s="222"/>
      <c r="U13" s="107"/>
      <c r="V13" s="107"/>
    </row>
    <row r="14" spans="1:22" s="12" customFormat="1" ht="19.149999999999999" customHeight="1" x14ac:dyDescent="0.2">
      <c r="A14" s="216"/>
      <c r="B14" s="217"/>
      <c r="C14" s="217"/>
      <c r="D14" s="107"/>
      <c r="E14" s="14">
        <v>5</v>
      </c>
      <c r="F14" s="24"/>
      <c r="G14" s="25">
        <v>45564</v>
      </c>
      <c r="H14" s="17">
        <v>1000</v>
      </c>
      <c r="I14" s="18">
        <v>43.7</v>
      </c>
      <c r="J14" s="19">
        <f t="shared" si="0"/>
        <v>1043.7</v>
      </c>
      <c r="K14" s="14" t="s">
        <v>31</v>
      </c>
      <c r="L14" s="100" t="s">
        <v>59</v>
      </c>
      <c r="M14" s="20" t="s">
        <v>212</v>
      </c>
      <c r="N14" s="21">
        <v>13.8</v>
      </c>
      <c r="O14" s="107"/>
      <c r="P14" s="22">
        <v>46143</v>
      </c>
      <c r="Q14" s="105">
        <f t="shared" si="1"/>
        <v>0</v>
      </c>
      <c r="R14" s="222" t="s">
        <v>140</v>
      </c>
      <c r="S14" s="222"/>
      <c r="T14" s="222"/>
      <c r="U14" s="107"/>
      <c r="V14" s="107"/>
    </row>
    <row r="15" spans="1:22" s="12" customFormat="1" ht="19.149999999999999" customHeight="1" x14ac:dyDescent="0.2">
      <c r="A15" s="216"/>
      <c r="B15" s="217"/>
      <c r="C15" s="217"/>
      <c r="D15" s="107"/>
      <c r="E15" s="14">
        <v>4</v>
      </c>
      <c r="F15" s="24"/>
      <c r="G15" s="25">
        <v>45565</v>
      </c>
      <c r="H15" s="17">
        <v>1000</v>
      </c>
      <c r="I15" s="18">
        <v>75.16</v>
      </c>
      <c r="J15" s="19">
        <f t="shared" si="0"/>
        <v>1075.1600000000001</v>
      </c>
      <c r="K15" s="14" t="s">
        <v>31</v>
      </c>
      <c r="L15" s="100" t="s">
        <v>59</v>
      </c>
      <c r="M15" s="20" t="s">
        <v>212</v>
      </c>
      <c r="N15" s="21">
        <v>14.64</v>
      </c>
      <c r="O15" s="107"/>
      <c r="P15" s="22">
        <v>46174</v>
      </c>
      <c r="Q15" s="105">
        <f t="shared" si="1"/>
        <v>0</v>
      </c>
      <c r="R15" s="222" t="s">
        <v>142</v>
      </c>
      <c r="S15" s="222"/>
      <c r="T15" s="222"/>
      <c r="U15" s="107"/>
      <c r="V15" s="107"/>
    </row>
    <row r="16" spans="1:22" s="12" customFormat="1" ht="19.149999999999999" customHeight="1" x14ac:dyDescent="0.2">
      <c r="A16" s="216"/>
      <c r="B16" s="217"/>
      <c r="C16" s="217"/>
      <c r="D16" s="107"/>
      <c r="E16" s="14">
        <v>5</v>
      </c>
      <c r="F16" s="24"/>
      <c r="G16" s="25">
        <v>45565</v>
      </c>
      <c r="H16" s="17">
        <v>2000</v>
      </c>
      <c r="I16" s="18">
        <v>46.6</v>
      </c>
      <c r="J16" s="19">
        <f t="shared" si="0"/>
        <v>2046.6</v>
      </c>
      <c r="K16" s="14" t="s">
        <v>31</v>
      </c>
      <c r="L16" s="100"/>
      <c r="M16" s="20" t="s">
        <v>212</v>
      </c>
      <c r="N16" s="21">
        <v>14.54</v>
      </c>
      <c r="O16" s="107"/>
      <c r="P16" s="22">
        <v>46204</v>
      </c>
      <c r="Q16" s="105">
        <f t="shared" si="1"/>
        <v>0</v>
      </c>
      <c r="R16" s="222" t="s">
        <v>144</v>
      </c>
      <c r="S16" s="222"/>
      <c r="T16" s="222"/>
      <c r="U16" s="107"/>
      <c r="V16" s="107"/>
    </row>
    <row r="17" spans="1:22" s="12" customFormat="1" ht="19.149999999999999" customHeight="1" x14ac:dyDescent="0.2">
      <c r="A17" s="214"/>
      <c r="B17" s="215"/>
      <c r="C17" s="215"/>
      <c r="D17" s="107"/>
      <c r="E17" s="14">
        <v>5</v>
      </c>
      <c r="F17" s="24"/>
      <c r="G17" s="25">
        <v>45566</v>
      </c>
      <c r="H17" s="17">
        <v>1000</v>
      </c>
      <c r="I17" s="18">
        <v>47.5</v>
      </c>
      <c r="J17" s="19">
        <f t="shared" si="0"/>
        <v>1047.5</v>
      </c>
      <c r="K17" s="14" t="s">
        <v>31</v>
      </c>
      <c r="L17" s="100"/>
      <c r="M17" s="20" t="s">
        <v>212</v>
      </c>
      <c r="N17" s="21">
        <v>14.66</v>
      </c>
      <c r="O17" s="107"/>
      <c r="P17" s="22">
        <v>46235</v>
      </c>
      <c r="Q17" s="105">
        <f t="shared" si="1"/>
        <v>0</v>
      </c>
      <c r="R17" s="223"/>
      <c r="S17" s="223"/>
      <c r="T17" s="223"/>
      <c r="U17" s="174"/>
      <c r="V17" s="107"/>
    </row>
    <row r="18" spans="1:22" s="12" customFormat="1" ht="19.149999999999999" customHeight="1" x14ac:dyDescent="0.2">
      <c r="A18" s="214"/>
      <c r="B18" s="215"/>
      <c r="C18" s="215"/>
      <c r="D18" s="107"/>
      <c r="E18" s="14">
        <v>5</v>
      </c>
      <c r="F18" s="24"/>
      <c r="G18" s="25">
        <v>45566</v>
      </c>
      <c r="H18" s="17">
        <v>1000</v>
      </c>
      <c r="I18" s="18">
        <v>37.1</v>
      </c>
      <c r="J18" s="19">
        <f t="shared" si="0"/>
        <v>1037.0999999999999</v>
      </c>
      <c r="K18" s="14" t="s">
        <v>31</v>
      </c>
      <c r="L18" s="100" t="s">
        <v>59</v>
      </c>
      <c r="M18" s="20" t="s">
        <v>212</v>
      </c>
      <c r="N18" s="21">
        <v>14.23</v>
      </c>
      <c r="O18" s="107"/>
      <c r="P18" s="22">
        <v>46266</v>
      </c>
      <c r="Q18" s="105">
        <f t="shared" si="1"/>
        <v>0</v>
      </c>
      <c r="R18" s="107"/>
      <c r="S18" s="107"/>
      <c r="T18" s="107"/>
      <c r="U18" s="107"/>
      <c r="V18" s="107"/>
    </row>
    <row r="19" spans="1:22" s="12" customFormat="1" ht="19.149999999999999" customHeight="1" x14ac:dyDescent="0.2">
      <c r="A19" s="118">
        <v>0</v>
      </c>
      <c r="B19" s="118">
        <v>-1.64</v>
      </c>
      <c r="C19" s="116" t="s">
        <v>148</v>
      </c>
      <c r="D19" s="107"/>
      <c r="E19" s="14">
        <v>6</v>
      </c>
      <c r="F19" s="24"/>
      <c r="G19" s="25">
        <v>45578</v>
      </c>
      <c r="H19" s="17">
        <v>1000</v>
      </c>
      <c r="I19" s="18">
        <v>43.69</v>
      </c>
      <c r="J19" s="19">
        <f t="shared" si="0"/>
        <v>1043.69</v>
      </c>
      <c r="K19" s="14" t="s">
        <v>31</v>
      </c>
      <c r="L19" s="100" t="s">
        <v>59</v>
      </c>
      <c r="M19" s="20" t="s">
        <v>212</v>
      </c>
      <c r="N19" s="21">
        <v>12.44</v>
      </c>
      <c r="O19" s="107"/>
      <c r="P19" s="22">
        <v>46296</v>
      </c>
      <c r="Q19" s="105">
        <f t="shared" si="1"/>
        <v>0</v>
      </c>
      <c r="R19" s="107"/>
      <c r="S19" s="107"/>
      <c r="T19" s="107"/>
      <c r="U19" s="107"/>
      <c r="V19" s="107"/>
    </row>
    <row r="20" spans="1:22" s="12" customFormat="1" ht="19.149999999999999" customHeight="1" x14ac:dyDescent="0.2">
      <c r="A20" s="177"/>
      <c r="B20" s="177"/>
      <c r="C20" s="177"/>
      <c r="D20" s="107"/>
      <c r="E20" s="14">
        <v>6</v>
      </c>
      <c r="F20" s="24"/>
      <c r="G20" s="25">
        <v>45585</v>
      </c>
      <c r="H20" s="17">
        <v>1000</v>
      </c>
      <c r="I20" s="18">
        <v>55.98</v>
      </c>
      <c r="J20" s="19">
        <f t="shared" si="0"/>
        <v>1055.98</v>
      </c>
      <c r="K20" s="14" t="s">
        <v>31</v>
      </c>
      <c r="L20" s="100" t="s">
        <v>59</v>
      </c>
      <c r="M20" s="20" t="s">
        <v>212</v>
      </c>
      <c r="N20" s="21">
        <v>14.7</v>
      </c>
      <c r="O20" s="107"/>
      <c r="P20" s="22">
        <v>46327</v>
      </c>
      <c r="Q20" s="105">
        <f t="shared" si="1"/>
        <v>0</v>
      </c>
      <c r="R20" s="107"/>
      <c r="S20" s="107"/>
      <c r="T20" s="107"/>
      <c r="U20" s="107"/>
      <c r="V20" s="107"/>
    </row>
    <row r="21" spans="1:22" s="12" customFormat="1" ht="19.149999999999999" customHeight="1" x14ac:dyDescent="0.2">
      <c r="A21" s="230" t="s">
        <v>47</v>
      </c>
      <c r="B21" s="230"/>
      <c r="C21" s="230"/>
      <c r="D21" s="107"/>
      <c r="E21" s="14">
        <v>4</v>
      </c>
      <c r="F21" s="24"/>
      <c r="G21" s="25">
        <v>45586</v>
      </c>
      <c r="H21" s="17">
        <v>1000</v>
      </c>
      <c r="I21" s="18">
        <v>34.19</v>
      </c>
      <c r="J21" s="19">
        <f t="shared" si="0"/>
        <v>1034.19</v>
      </c>
      <c r="K21" s="14" t="s">
        <v>31</v>
      </c>
      <c r="L21" s="100"/>
      <c r="M21" s="20" t="s">
        <v>212</v>
      </c>
      <c r="N21" s="21">
        <v>13.32</v>
      </c>
      <c r="O21" s="107"/>
      <c r="P21" s="22">
        <v>46357</v>
      </c>
      <c r="Q21" s="105">
        <f t="shared" si="1"/>
        <v>0</v>
      </c>
      <c r="R21" s="107"/>
      <c r="S21" s="107"/>
      <c r="T21" s="107"/>
      <c r="U21" s="107"/>
      <c r="V21" s="107"/>
    </row>
    <row r="22" spans="1:22" s="12" customFormat="1" ht="19.149999999999999" customHeight="1" x14ac:dyDescent="0.2">
      <c r="A22" s="116" t="s">
        <v>22</v>
      </c>
      <c r="B22" s="116" t="s">
        <v>48</v>
      </c>
      <c r="C22" s="116" t="s">
        <v>49</v>
      </c>
      <c r="D22" s="107"/>
      <c r="E22" s="14">
        <v>6</v>
      </c>
      <c r="F22" s="24"/>
      <c r="G22" s="25">
        <v>45592</v>
      </c>
      <c r="H22" s="17">
        <v>1000</v>
      </c>
      <c r="I22" s="18">
        <v>52.56</v>
      </c>
      <c r="J22" s="19">
        <f t="shared" si="0"/>
        <v>1052.56</v>
      </c>
      <c r="K22" s="14" t="s">
        <v>31</v>
      </c>
      <c r="L22" s="100" t="s">
        <v>59</v>
      </c>
      <c r="M22" s="20" t="s">
        <v>212</v>
      </c>
      <c r="N22" s="21">
        <v>13.8</v>
      </c>
      <c r="O22" s="107"/>
      <c r="P22" s="22">
        <v>46388</v>
      </c>
      <c r="Q22" s="105">
        <f t="shared" si="1"/>
        <v>0</v>
      </c>
      <c r="R22" s="107"/>
      <c r="S22" s="107"/>
      <c r="T22" s="107"/>
      <c r="U22" s="107"/>
      <c r="V22" s="107"/>
    </row>
    <row r="23" spans="1:22" s="12" customFormat="1" ht="19.149999999999999" customHeight="1" x14ac:dyDescent="0.2">
      <c r="A23" s="139">
        <f>SUMIFS(H2:H300,F2:F300,"&lt;&gt;")</f>
        <v>90000</v>
      </c>
      <c r="B23" s="139">
        <f>SUMIFS(I2:I300,F2:F300,"&lt;&gt;")</f>
        <v>9427.880000000001</v>
      </c>
      <c r="C23" s="140">
        <f>COUNT(N2:N300, "?*")</f>
        <v>107</v>
      </c>
      <c r="D23" s="107"/>
      <c r="E23" s="14">
        <v>5</v>
      </c>
      <c r="F23" s="24"/>
      <c r="G23" s="25">
        <v>45593</v>
      </c>
      <c r="H23" s="17">
        <v>5000</v>
      </c>
      <c r="I23" s="18">
        <v>200.2</v>
      </c>
      <c r="J23" s="19">
        <f t="shared" si="0"/>
        <v>5200.2</v>
      </c>
      <c r="K23" s="14" t="s">
        <v>31</v>
      </c>
      <c r="L23" s="100"/>
      <c r="M23" s="20" t="s">
        <v>212</v>
      </c>
      <c r="N23" s="21">
        <v>12.48</v>
      </c>
      <c r="O23" s="107"/>
      <c r="P23" s="22">
        <v>46419</v>
      </c>
      <c r="Q23" s="105">
        <f t="shared" si="1"/>
        <v>0</v>
      </c>
      <c r="R23" s="107"/>
      <c r="S23" s="107"/>
      <c r="T23" s="107"/>
      <c r="U23" s="107"/>
      <c r="V23" s="107"/>
    </row>
    <row r="24" spans="1:22" s="12" customFormat="1" ht="19.149999999999999" customHeight="1" x14ac:dyDescent="0.2">
      <c r="A24" s="116" t="s">
        <v>154</v>
      </c>
      <c r="B24" s="116" t="s">
        <v>51</v>
      </c>
      <c r="C24" s="116" t="s">
        <v>52</v>
      </c>
      <c r="D24" s="107"/>
      <c r="E24" s="14">
        <v>5</v>
      </c>
      <c r="F24" s="24"/>
      <c r="G24" s="25">
        <v>45593</v>
      </c>
      <c r="H24" s="17">
        <v>1000</v>
      </c>
      <c r="I24" s="18">
        <v>40.4</v>
      </c>
      <c r="J24" s="19">
        <f t="shared" si="0"/>
        <v>1040.4000000000001</v>
      </c>
      <c r="K24" s="14" t="s">
        <v>31</v>
      </c>
      <c r="L24" s="100"/>
      <c r="M24" s="20" t="s">
        <v>212</v>
      </c>
      <c r="N24" s="21">
        <v>12.48</v>
      </c>
      <c r="O24" s="107"/>
      <c r="P24" s="22">
        <v>46447</v>
      </c>
      <c r="Q24" s="105">
        <f t="shared" si="1"/>
        <v>0</v>
      </c>
      <c r="R24" s="107"/>
      <c r="S24" s="107"/>
      <c r="T24" s="107"/>
      <c r="U24" s="107"/>
      <c r="V24" s="107"/>
    </row>
    <row r="25" spans="1:22" s="12" customFormat="1" ht="19.149999999999999" customHeight="1" x14ac:dyDescent="0.2">
      <c r="A25" s="141">
        <f>AVERAGE(N2:N500)</f>
        <v>14.123364485981311</v>
      </c>
      <c r="B25" s="139" t="str">
        <f>TEXT(B23/A23, "0.00%")</f>
        <v>10.48%</v>
      </c>
      <c r="C25" s="142">
        <f>SUMPRODUCT(H2:H500, E2:E500) / SUM(H2:H500)</f>
        <v>5.7829313543599259</v>
      </c>
      <c r="D25" s="107"/>
      <c r="E25" s="14">
        <v>5</v>
      </c>
      <c r="F25" s="24"/>
      <c r="G25" s="25">
        <v>45595</v>
      </c>
      <c r="H25" s="17">
        <v>1000</v>
      </c>
      <c r="I25" s="18">
        <v>46.97</v>
      </c>
      <c r="J25" s="19">
        <f t="shared" si="0"/>
        <v>1046.97</v>
      </c>
      <c r="K25" s="14" t="s">
        <v>31</v>
      </c>
      <c r="L25" s="100"/>
      <c r="M25" s="20" t="s">
        <v>212</v>
      </c>
      <c r="N25" s="21">
        <v>14.64</v>
      </c>
      <c r="O25" s="107"/>
      <c r="P25" s="22">
        <v>46478</v>
      </c>
      <c r="Q25" s="105">
        <f t="shared" si="1"/>
        <v>0</v>
      </c>
      <c r="R25" s="107"/>
      <c r="S25" s="107"/>
      <c r="T25" s="107"/>
      <c r="U25" s="107"/>
      <c r="V25" s="107"/>
    </row>
    <row r="26" spans="1:22" s="12" customFormat="1" ht="19.149999999999999" customHeight="1" x14ac:dyDescent="0.2">
      <c r="A26" s="150" t="s">
        <v>53</v>
      </c>
      <c r="B26" s="151" t="s">
        <v>54</v>
      </c>
      <c r="C26" s="152" t="s">
        <v>55</v>
      </c>
      <c r="D26" s="107"/>
      <c r="E26" s="14">
        <v>3</v>
      </c>
      <c r="F26" s="24"/>
      <c r="G26" s="25">
        <v>45596</v>
      </c>
      <c r="H26" s="17">
        <v>1000</v>
      </c>
      <c r="I26" s="18">
        <v>48.77</v>
      </c>
      <c r="J26" s="19">
        <f t="shared" si="0"/>
        <v>1048.77</v>
      </c>
      <c r="K26" s="14" t="s">
        <v>31</v>
      </c>
      <c r="L26" s="100" t="s">
        <v>59</v>
      </c>
      <c r="M26" s="20" t="s">
        <v>212</v>
      </c>
      <c r="N26" s="21">
        <v>13.24</v>
      </c>
      <c r="O26" s="107"/>
      <c r="P26" s="22">
        <v>46508</v>
      </c>
      <c r="Q26" s="105">
        <f t="shared" si="1"/>
        <v>0</v>
      </c>
      <c r="R26" s="107"/>
      <c r="S26" s="107"/>
      <c r="T26" s="107"/>
      <c r="U26" s="107"/>
      <c r="V26" s="107"/>
    </row>
    <row r="27" spans="1:22" s="12" customFormat="1" ht="19.149999999999999" customHeight="1" x14ac:dyDescent="0.2">
      <c r="A27" s="153">
        <f ca="1">COUNTIF(K2:K300, "CHECK!")</f>
        <v>0</v>
      </c>
      <c r="B27" s="154">
        <f ca="1">COUNTIF(K2:K300, "WAITING")</f>
        <v>8</v>
      </c>
      <c r="C27" s="155">
        <f ca="1">COUNTIF(K2:K300, "PAID")</f>
        <v>99</v>
      </c>
      <c r="D27" s="107"/>
      <c r="E27" s="14">
        <v>7</v>
      </c>
      <c r="F27" s="24"/>
      <c r="G27" s="25">
        <v>45596</v>
      </c>
      <c r="H27" s="17">
        <v>1000</v>
      </c>
      <c r="I27" s="18">
        <v>47.3</v>
      </c>
      <c r="J27" s="19">
        <f t="shared" si="0"/>
        <v>1047.3</v>
      </c>
      <c r="K27" s="14" t="s">
        <v>31</v>
      </c>
      <c r="L27" s="100" t="s">
        <v>59</v>
      </c>
      <c r="M27" s="20" t="s">
        <v>212</v>
      </c>
      <c r="N27" s="21">
        <v>14.66</v>
      </c>
      <c r="O27" s="107"/>
      <c r="P27" s="22">
        <v>46539</v>
      </c>
      <c r="Q27" s="105">
        <f t="shared" si="1"/>
        <v>0</v>
      </c>
      <c r="R27" s="107"/>
      <c r="S27" s="107"/>
      <c r="T27" s="107"/>
      <c r="U27" s="107"/>
      <c r="V27" s="107"/>
    </row>
    <row r="28" spans="1:22" s="12" customFormat="1" ht="19.149999999999999" customHeight="1" x14ac:dyDescent="0.2">
      <c r="A28" s="177"/>
      <c r="B28" s="177"/>
      <c r="C28" s="177"/>
      <c r="D28" s="107"/>
      <c r="E28" s="14">
        <v>6</v>
      </c>
      <c r="F28" s="24"/>
      <c r="G28" s="25">
        <v>45596</v>
      </c>
      <c r="H28" s="17">
        <v>2000</v>
      </c>
      <c r="I28" s="18">
        <v>46.94</v>
      </c>
      <c r="J28" s="19">
        <f t="shared" si="0"/>
        <v>2046.94</v>
      </c>
      <c r="K28" s="14" t="s">
        <v>31</v>
      </c>
      <c r="L28" s="100" t="s">
        <v>59</v>
      </c>
      <c r="M28" s="20" t="s">
        <v>212</v>
      </c>
      <c r="N28" s="21">
        <v>14.66</v>
      </c>
      <c r="O28" s="107"/>
      <c r="P28" s="22">
        <v>46569</v>
      </c>
      <c r="Q28" s="105">
        <f t="shared" si="1"/>
        <v>0</v>
      </c>
      <c r="R28" s="107"/>
      <c r="S28" s="107"/>
      <c r="T28" s="107"/>
      <c r="U28" s="107"/>
      <c r="V28" s="107"/>
    </row>
    <row r="29" spans="1:22" s="12" customFormat="1" ht="19.149999999999999" customHeight="1" x14ac:dyDescent="0.2">
      <c r="A29" s="177"/>
      <c r="B29" s="177"/>
      <c r="C29" s="177"/>
      <c r="D29" s="107"/>
      <c r="E29" s="14">
        <v>4</v>
      </c>
      <c r="F29" s="24"/>
      <c r="G29" s="25">
        <v>45600</v>
      </c>
      <c r="H29" s="17">
        <v>5000</v>
      </c>
      <c r="I29" s="18">
        <v>151.96</v>
      </c>
      <c r="J29" s="19">
        <f t="shared" si="0"/>
        <v>5151.96</v>
      </c>
      <c r="K29" s="14" t="s">
        <v>31</v>
      </c>
      <c r="L29" s="100" t="s">
        <v>59</v>
      </c>
      <c r="M29" s="20" t="s">
        <v>212</v>
      </c>
      <c r="N29" s="21">
        <v>13.74</v>
      </c>
      <c r="O29" s="107"/>
      <c r="P29" s="22">
        <v>46600</v>
      </c>
      <c r="Q29" s="105">
        <f t="shared" si="1"/>
        <v>36468</v>
      </c>
      <c r="R29" s="107"/>
      <c r="S29" s="107"/>
      <c r="T29" s="107"/>
      <c r="U29" s="107"/>
      <c r="V29" s="107"/>
    </row>
    <row r="30" spans="1:22" s="12" customFormat="1" ht="19.149999999999999" customHeight="1" x14ac:dyDescent="0.2">
      <c r="A30" s="144" t="s">
        <v>161</v>
      </c>
      <c r="B30" s="144" t="s">
        <v>162</v>
      </c>
      <c r="C30" s="144" t="s">
        <v>163</v>
      </c>
      <c r="D30" s="107"/>
      <c r="E30" s="14">
        <v>5</v>
      </c>
      <c r="F30" s="24"/>
      <c r="G30" s="25">
        <v>45601</v>
      </c>
      <c r="H30" s="17">
        <v>1000</v>
      </c>
      <c r="I30" s="18">
        <v>45.75</v>
      </c>
      <c r="J30" s="19">
        <f t="shared" si="0"/>
        <v>1045.75</v>
      </c>
      <c r="K30" s="14" t="s">
        <v>31</v>
      </c>
      <c r="L30" s="100" t="s">
        <v>59</v>
      </c>
      <c r="M30" s="20" t="s">
        <v>212</v>
      </c>
      <c r="N30" s="21">
        <v>14.74</v>
      </c>
      <c r="O30" s="107"/>
      <c r="P30" s="22">
        <v>46631</v>
      </c>
      <c r="Q30" s="105">
        <f t="shared" si="1"/>
        <v>0</v>
      </c>
      <c r="R30" s="107"/>
      <c r="S30" s="107"/>
      <c r="T30" s="107"/>
      <c r="U30" s="107"/>
      <c r="V30" s="107"/>
    </row>
    <row r="31" spans="1:22" s="12" customFormat="1" ht="19.149999999999999" customHeight="1" x14ac:dyDescent="0.2">
      <c r="A31" s="143">
        <f>SUMIFS(H2:H167,G2:G167,"&lt;&gt;")</f>
        <v>449000</v>
      </c>
      <c r="B31" s="143">
        <f>SUMIFS(I2:I167,G2:G167,"&lt;&gt;")</f>
        <v>18578.66</v>
      </c>
      <c r="C31" s="143">
        <f>A31+B31</f>
        <v>467578.66</v>
      </c>
      <c r="D31" s="107"/>
      <c r="E31" s="14">
        <v>6</v>
      </c>
      <c r="F31" s="24"/>
      <c r="G31" s="25">
        <v>45602</v>
      </c>
      <c r="H31" s="17">
        <v>1000</v>
      </c>
      <c r="I31" s="18">
        <v>51.9</v>
      </c>
      <c r="J31" s="19">
        <f t="shared" si="0"/>
        <v>1051.9000000000001</v>
      </c>
      <c r="K31" s="14" t="s">
        <v>31</v>
      </c>
      <c r="L31" s="100"/>
      <c r="M31" s="20" t="s">
        <v>212</v>
      </c>
      <c r="N31" s="21">
        <v>13.48</v>
      </c>
      <c r="O31" s="107"/>
      <c r="P31" s="22">
        <v>46661</v>
      </c>
      <c r="Q31" s="105">
        <f t="shared" si="1"/>
        <v>0</v>
      </c>
      <c r="R31" s="107"/>
      <c r="S31" s="107"/>
      <c r="T31" s="107"/>
      <c r="U31" s="107"/>
      <c r="V31" s="107"/>
    </row>
    <row r="32" spans="1:22" s="12" customFormat="1" ht="19.149999999999999" customHeight="1" x14ac:dyDescent="0.2">
      <c r="A32" s="221" t="s">
        <v>163</v>
      </c>
      <c r="B32" s="221"/>
      <c r="C32" s="221"/>
      <c r="D32" s="107"/>
      <c r="E32" s="14">
        <v>5</v>
      </c>
      <c r="F32" s="24"/>
      <c r="G32" s="25">
        <v>45606</v>
      </c>
      <c r="H32" s="17">
        <v>1000</v>
      </c>
      <c r="I32" s="18">
        <v>82.56</v>
      </c>
      <c r="J32" s="19">
        <f t="shared" si="0"/>
        <v>1082.56</v>
      </c>
      <c r="K32" s="14" t="s">
        <v>31</v>
      </c>
      <c r="L32" s="100" t="s">
        <v>59</v>
      </c>
      <c r="M32" s="20" t="s">
        <v>212</v>
      </c>
      <c r="N32" s="21">
        <v>12.86</v>
      </c>
      <c r="O32" s="107"/>
      <c r="P32" s="22">
        <v>46692</v>
      </c>
      <c r="Q32" s="105">
        <f t="shared" si="1"/>
        <v>0</v>
      </c>
      <c r="R32" s="107"/>
      <c r="S32" s="107"/>
      <c r="T32" s="107"/>
      <c r="U32" s="107"/>
      <c r="V32" s="107"/>
    </row>
    <row r="33" spans="1:22" s="12" customFormat="1" ht="19.149999999999999" customHeight="1" x14ac:dyDescent="0.2">
      <c r="A33" s="220" t="s">
        <v>167</v>
      </c>
      <c r="B33" s="220"/>
      <c r="C33" s="220"/>
      <c r="D33" s="107"/>
      <c r="E33" s="14">
        <v>7</v>
      </c>
      <c r="F33" s="24"/>
      <c r="G33" s="25">
        <v>45627</v>
      </c>
      <c r="H33" s="17">
        <v>1000</v>
      </c>
      <c r="I33" s="18">
        <v>52.42</v>
      </c>
      <c r="J33" s="19">
        <f t="shared" si="0"/>
        <v>1052.42</v>
      </c>
      <c r="K33" s="14" t="s">
        <v>31</v>
      </c>
      <c r="L33" s="100" t="s">
        <v>59</v>
      </c>
      <c r="M33" s="20" t="s">
        <v>212</v>
      </c>
      <c r="N33" s="21">
        <v>12.93</v>
      </c>
      <c r="O33" s="107"/>
      <c r="P33" s="22">
        <v>46722</v>
      </c>
      <c r="Q33" s="105">
        <f t="shared" si="1"/>
        <v>0</v>
      </c>
      <c r="R33" s="107"/>
      <c r="S33" s="107"/>
      <c r="T33" s="107"/>
      <c r="U33" s="107"/>
      <c r="V33" s="107"/>
    </row>
    <row r="34" spans="1:22" s="12" customFormat="1" ht="19.149999999999999" customHeight="1" x14ac:dyDescent="0.2">
      <c r="A34" s="220" t="s">
        <v>169</v>
      </c>
      <c r="B34" s="220"/>
      <c r="C34" s="220"/>
      <c r="D34" s="107"/>
      <c r="E34" s="14">
        <v>5</v>
      </c>
      <c r="F34" s="24"/>
      <c r="G34" s="25">
        <v>45606</v>
      </c>
      <c r="H34" s="17">
        <v>2000</v>
      </c>
      <c r="I34" s="18">
        <v>82.56</v>
      </c>
      <c r="J34" s="19">
        <f t="shared" ref="J34" si="2">SUM(H34:I34)</f>
        <v>2082.56</v>
      </c>
      <c r="K34" s="14" t="s">
        <v>31</v>
      </c>
      <c r="L34" s="100"/>
      <c r="M34" s="20" t="s">
        <v>212</v>
      </c>
      <c r="N34" s="21">
        <v>12.86</v>
      </c>
      <c r="O34" s="107"/>
      <c r="P34" s="22">
        <v>46753</v>
      </c>
      <c r="Q34" s="105">
        <f t="shared" si="1"/>
        <v>0</v>
      </c>
      <c r="R34" s="107"/>
      <c r="S34" s="107"/>
      <c r="T34" s="107"/>
      <c r="U34" s="107"/>
      <c r="V34" s="107"/>
    </row>
    <row r="35" spans="1:22" s="12" customFormat="1" ht="19.149999999999999" customHeight="1" x14ac:dyDescent="0.2">
      <c r="A35" s="220" t="s">
        <v>171</v>
      </c>
      <c r="B35" s="220"/>
      <c r="C35" s="220"/>
      <c r="D35" s="107"/>
      <c r="E35" s="14">
        <v>4</v>
      </c>
      <c r="F35" s="24"/>
      <c r="G35" s="25">
        <v>45606</v>
      </c>
      <c r="H35" s="17">
        <v>4000</v>
      </c>
      <c r="I35" s="18">
        <v>128.19999999999999</v>
      </c>
      <c r="J35" s="19">
        <f t="shared" ref="J35:J69" si="3">SUM(H35:I35)</f>
        <v>4128.2</v>
      </c>
      <c r="K35" s="14" t="s">
        <v>31</v>
      </c>
      <c r="L35" s="100"/>
      <c r="M35" s="20" t="s">
        <v>212</v>
      </c>
      <c r="N35" s="21">
        <v>14.04</v>
      </c>
      <c r="O35" s="107"/>
      <c r="P35" s="22">
        <v>46784</v>
      </c>
      <c r="Q35" s="105">
        <f t="shared" si="1"/>
        <v>0</v>
      </c>
      <c r="R35" s="107"/>
      <c r="S35" s="107"/>
      <c r="T35" s="107"/>
      <c r="U35" s="107"/>
      <c r="V35" s="107"/>
    </row>
    <row r="36" spans="1:22" s="12" customFormat="1" ht="19.149999999999999" customHeight="1" x14ac:dyDescent="0.2">
      <c r="A36" s="220" t="s">
        <v>174</v>
      </c>
      <c r="B36" s="220"/>
      <c r="C36" s="220"/>
      <c r="D36" s="107"/>
      <c r="E36" s="14">
        <v>5</v>
      </c>
      <c r="F36" s="24"/>
      <c r="G36" s="25">
        <v>45609</v>
      </c>
      <c r="H36" s="17">
        <v>1000</v>
      </c>
      <c r="I36" s="18">
        <v>46.13</v>
      </c>
      <c r="J36" s="19">
        <f t="shared" si="3"/>
        <v>1046.1300000000001</v>
      </c>
      <c r="K36" s="14" t="s">
        <v>31</v>
      </c>
      <c r="L36" s="100"/>
      <c r="M36" s="20" t="s">
        <v>212</v>
      </c>
      <c r="N36" s="21">
        <v>14.38</v>
      </c>
      <c r="O36" s="107"/>
      <c r="P36" s="22">
        <v>46813</v>
      </c>
      <c r="Q36" s="105">
        <f t="shared" si="1"/>
        <v>0</v>
      </c>
      <c r="R36" s="107"/>
      <c r="S36" s="107"/>
      <c r="T36" s="107"/>
      <c r="U36" s="107"/>
      <c r="V36" s="107"/>
    </row>
    <row r="37" spans="1:22" s="12" customFormat="1" ht="19.149999999999999" customHeight="1" x14ac:dyDescent="0.2">
      <c r="A37" s="220" t="s">
        <v>176</v>
      </c>
      <c r="B37" s="220"/>
      <c r="C37" s="220"/>
      <c r="D37" s="107"/>
      <c r="E37" s="14">
        <v>4</v>
      </c>
      <c r="F37" s="24"/>
      <c r="G37" s="25">
        <v>45615</v>
      </c>
      <c r="H37" s="17">
        <v>10000</v>
      </c>
      <c r="I37" s="18">
        <v>318.2</v>
      </c>
      <c r="J37" s="19">
        <f t="shared" si="3"/>
        <v>10318.200000000001</v>
      </c>
      <c r="K37" s="14" t="s">
        <v>31</v>
      </c>
      <c r="L37" s="100"/>
      <c r="M37" s="20" t="s">
        <v>212</v>
      </c>
      <c r="N37" s="21">
        <v>12.39</v>
      </c>
      <c r="O37" s="107"/>
      <c r="P37" s="22">
        <v>46844</v>
      </c>
      <c r="Q37" s="105">
        <f t="shared" si="1"/>
        <v>0</v>
      </c>
      <c r="R37" s="107"/>
      <c r="S37" s="107"/>
      <c r="T37" s="107"/>
      <c r="U37" s="107"/>
      <c r="V37" s="107"/>
    </row>
    <row r="38" spans="1:22" s="12" customFormat="1" ht="19.149999999999999" customHeight="1" x14ac:dyDescent="0.2">
      <c r="A38" s="231"/>
      <c r="B38" s="231"/>
      <c r="C38" s="231"/>
      <c r="D38" s="107"/>
      <c r="E38" s="14">
        <v>3</v>
      </c>
      <c r="F38" s="24"/>
      <c r="G38" s="25">
        <v>45624</v>
      </c>
      <c r="H38" s="17">
        <v>5000</v>
      </c>
      <c r="I38" s="18">
        <v>119.24</v>
      </c>
      <c r="J38" s="19">
        <f t="shared" si="3"/>
        <v>5119.24</v>
      </c>
      <c r="K38" s="14" t="s">
        <v>31</v>
      </c>
      <c r="L38" s="100" t="s">
        <v>59</v>
      </c>
      <c r="M38" s="20" t="s">
        <v>212</v>
      </c>
      <c r="N38" s="21">
        <v>12.8</v>
      </c>
      <c r="O38" s="107"/>
      <c r="P38" s="22">
        <v>46874</v>
      </c>
      <c r="Q38" s="105">
        <f t="shared" si="1"/>
        <v>0</v>
      </c>
      <c r="R38" s="107"/>
      <c r="S38" s="107"/>
      <c r="T38" s="107"/>
      <c r="U38" s="107"/>
      <c r="V38" s="107"/>
    </row>
    <row r="39" spans="1:22" s="12" customFormat="1" ht="19.149999999999999" customHeight="1" x14ac:dyDescent="0.2">
      <c r="A39" s="220" t="s">
        <v>37</v>
      </c>
      <c r="B39" s="220"/>
      <c r="C39" s="220"/>
      <c r="D39" s="107"/>
      <c r="E39" s="14">
        <v>6</v>
      </c>
      <c r="F39" s="24"/>
      <c r="G39" s="25">
        <v>45627</v>
      </c>
      <c r="H39" s="17">
        <v>1000</v>
      </c>
      <c r="I39" s="18">
        <v>52.27</v>
      </c>
      <c r="J39" s="19">
        <f t="shared" si="3"/>
        <v>1052.27</v>
      </c>
      <c r="K39" s="14" t="s">
        <v>31</v>
      </c>
      <c r="L39" s="100" t="s">
        <v>59</v>
      </c>
      <c r="M39" s="20" t="s">
        <v>212</v>
      </c>
      <c r="N39" s="21">
        <v>13.8</v>
      </c>
      <c r="O39" s="107"/>
      <c r="P39" s="22">
        <v>46905</v>
      </c>
      <c r="Q39" s="105">
        <f t="shared" si="1"/>
        <v>0</v>
      </c>
      <c r="R39" s="107"/>
      <c r="S39" s="107"/>
      <c r="T39" s="107"/>
      <c r="U39" s="107"/>
      <c r="V39" s="107"/>
    </row>
    <row r="40" spans="1:22" s="12" customFormat="1" ht="19.149999999999999" customHeight="1" x14ac:dyDescent="0.2">
      <c r="A40" s="220" t="s">
        <v>38</v>
      </c>
      <c r="B40" s="220"/>
      <c r="C40" s="220"/>
      <c r="D40" s="107"/>
      <c r="E40" s="14">
        <v>5</v>
      </c>
      <c r="F40" s="24"/>
      <c r="G40" s="25">
        <v>45628</v>
      </c>
      <c r="H40" s="17">
        <v>5000</v>
      </c>
      <c r="I40" s="18">
        <v>212.8</v>
      </c>
      <c r="J40" s="19">
        <f t="shared" si="3"/>
        <v>5212.8</v>
      </c>
      <c r="K40" s="14" t="s">
        <v>31</v>
      </c>
      <c r="L40" s="100" t="s">
        <v>59</v>
      </c>
      <c r="M40" s="20" t="s">
        <v>212</v>
      </c>
      <c r="N40" s="21">
        <v>14.5</v>
      </c>
      <c r="O40" s="107"/>
      <c r="P40" s="22">
        <v>46935</v>
      </c>
      <c r="Q40" s="105">
        <f t="shared" si="1"/>
        <v>0</v>
      </c>
      <c r="R40" s="107"/>
      <c r="S40" s="107"/>
      <c r="T40" s="107"/>
      <c r="U40" s="107"/>
      <c r="V40" s="107"/>
    </row>
    <row r="41" spans="1:22" s="12" customFormat="1" ht="19.149999999999999" customHeight="1" x14ac:dyDescent="0.2">
      <c r="A41" s="221" t="s">
        <v>163</v>
      </c>
      <c r="B41" s="221"/>
      <c r="C41" s="221"/>
      <c r="D41" s="107"/>
      <c r="E41" s="14">
        <v>6</v>
      </c>
      <c r="F41" s="24"/>
      <c r="G41" s="25">
        <v>45628</v>
      </c>
      <c r="H41" s="17">
        <v>2000</v>
      </c>
      <c r="I41" s="18">
        <v>109.5</v>
      </c>
      <c r="J41" s="19">
        <f t="shared" si="3"/>
        <v>2109.5</v>
      </c>
      <c r="K41" s="14" t="s">
        <v>31</v>
      </c>
      <c r="L41" s="100"/>
      <c r="M41" s="20" t="s">
        <v>212</v>
      </c>
      <c r="N41" s="21">
        <v>14.22</v>
      </c>
      <c r="O41" s="107"/>
      <c r="P41" s="22">
        <v>46966</v>
      </c>
      <c r="Q41" s="105">
        <f t="shared" si="1"/>
        <v>0</v>
      </c>
      <c r="R41" s="107"/>
      <c r="S41" s="107"/>
      <c r="T41" s="107"/>
      <c r="U41" s="107"/>
      <c r="V41" s="107"/>
    </row>
    <row r="42" spans="1:22" s="12" customFormat="1" ht="19.149999999999999" customHeight="1" x14ac:dyDescent="0.2">
      <c r="A42" s="221" t="s">
        <v>163</v>
      </c>
      <c r="B42" s="221"/>
      <c r="C42" s="221"/>
      <c r="D42" s="107"/>
      <c r="E42" s="14">
        <v>4</v>
      </c>
      <c r="F42" s="24"/>
      <c r="G42" s="25">
        <v>45635</v>
      </c>
      <c r="H42" s="17">
        <v>1000</v>
      </c>
      <c r="I42" s="18">
        <v>34.4</v>
      </c>
      <c r="J42" s="19">
        <f t="shared" si="3"/>
        <v>1034.4000000000001</v>
      </c>
      <c r="K42" s="14" t="s">
        <v>31</v>
      </c>
      <c r="L42" s="100"/>
      <c r="M42" s="20" t="s">
        <v>212</v>
      </c>
      <c r="N42" s="21">
        <v>13.26</v>
      </c>
      <c r="O42" s="107"/>
      <c r="P42" s="22">
        <v>46997</v>
      </c>
      <c r="Q42" s="105">
        <f t="shared" si="1"/>
        <v>0</v>
      </c>
      <c r="R42" s="107"/>
      <c r="S42" s="107"/>
      <c r="T42" s="107"/>
      <c r="U42" s="107"/>
      <c r="V42" s="107"/>
    </row>
    <row r="43" spans="1:22" s="12" customFormat="1" ht="19.149999999999999" customHeight="1" x14ac:dyDescent="0.2">
      <c r="A43" s="107"/>
      <c r="B43" s="107"/>
      <c r="C43" s="177"/>
      <c r="D43" s="107"/>
      <c r="E43" s="14">
        <v>6</v>
      </c>
      <c r="F43" s="24"/>
      <c r="G43" s="25">
        <v>45637</v>
      </c>
      <c r="H43" s="17">
        <v>1000</v>
      </c>
      <c r="I43" s="18">
        <v>50.79</v>
      </c>
      <c r="J43" s="19">
        <f t="shared" si="3"/>
        <v>1050.79</v>
      </c>
      <c r="K43" s="14" t="s">
        <v>31</v>
      </c>
      <c r="L43" s="100" t="s">
        <v>59</v>
      </c>
      <c r="M43" s="20" t="s">
        <v>212</v>
      </c>
      <c r="N43" s="21">
        <v>13.26</v>
      </c>
      <c r="O43" s="107"/>
      <c r="P43" s="22">
        <v>47027</v>
      </c>
      <c r="Q43" s="105">
        <f t="shared" si="1"/>
        <v>0</v>
      </c>
      <c r="R43" s="107"/>
      <c r="S43" s="107"/>
      <c r="T43" s="107"/>
      <c r="U43" s="107"/>
      <c r="V43" s="107"/>
    </row>
    <row r="44" spans="1:22" s="12" customFormat="1" ht="19.149999999999999" customHeight="1" x14ac:dyDescent="0.2">
      <c r="A44" s="74"/>
      <c r="B44" s="74"/>
      <c r="C44" s="74"/>
      <c r="D44" s="107"/>
      <c r="E44" s="14">
        <v>8</v>
      </c>
      <c r="F44" s="24"/>
      <c r="G44" s="25">
        <v>45642</v>
      </c>
      <c r="H44" s="17">
        <v>1000</v>
      </c>
      <c r="I44" s="18">
        <v>65.180000000000007</v>
      </c>
      <c r="J44" s="19">
        <f t="shared" si="3"/>
        <v>1065.18</v>
      </c>
      <c r="K44" s="14" t="s">
        <v>31</v>
      </c>
      <c r="L44" s="100" t="s">
        <v>59</v>
      </c>
      <c r="M44" s="20" t="s">
        <v>212</v>
      </c>
      <c r="N44" s="21">
        <v>13.47</v>
      </c>
      <c r="O44" s="107"/>
      <c r="P44" s="22">
        <v>47058</v>
      </c>
      <c r="Q44" s="105">
        <f t="shared" si="1"/>
        <v>0</v>
      </c>
      <c r="R44" s="107"/>
      <c r="S44" s="107"/>
      <c r="T44" s="107"/>
      <c r="U44" s="107"/>
      <c r="V44" s="107"/>
    </row>
    <row r="45" spans="1:22" s="12" customFormat="1" ht="19.149999999999999" customHeight="1" x14ac:dyDescent="0.2">
      <c r="A45" s="220"/>
      <c r="B45" s="220"/>
      <c r="C45" s="220"/>
      <c r="D45" s="107"/>
      <c r="E45" s="14">
        <v>4</v>
      </c>
      <c r="F45" s="24"/>
      <c r="G45" s="25">
        <v>45656</v>
      </c>
      <c r="H45" s="17">
        <v>5000</v>
      </c>
      <c r="I45" s="18">
        <v>164.78</v>
      </c>
      <c r="J45" s="19">
        <f t="shared" si="3"/>
        <v>5164.78</v>
      </c>
      <c r="K45" s="14" t="s">
        <v>31</v>
      </c>
      <c r="L45" s="100"/>
      <c r="M45" s="20" t="s">
        <v>212</v>
      </c>
      <c r="N45" s="21">
        <v>12.84</v>
      </c>
      <c r="O45" s="107"/>
      <c r="P45" s="22">
        <v>47088</v>
      </c>
      <c r="Q45" s="105">
        <f t="shared" si="1"/>
        <v>0</v>
      </c>
      <c r="R45" s="107"/>
      <c r="S45" s="107"/>
      <c r="T45" s="107"/>
      <c r="U45" s="107"/>
      <c r="V45" s="107"/>
    </row>
    <row r="46" spans="1:22" s="12" customFormat="1" ht="19.149999999999999" customHeight="1" x14ac:dyDescent="0.2">
      <c r="A46" s="220"/>
      <c r="B46" s="220"/>
      <c r="C46" s="220"/>
      <c r="D46" s="107"/>
      <c r="E46" s="14">
        <v>4</v>
      </c>
      <c r="F46" s="24"/>
      <c r="G46" s="25">
        <v>45657</v>
      </c>
      <c r="H46" s="17">
        <v>5000</v>
      </c>
      <c r="I46" s="18">
        <v>189.4</v>
      </c>
      <c r="J46" s="19">
        <f t="shared" si="3"/>
        <v>5189.3999999999996</v>
      </c>
      <c r="K46" s="14" t="s">
        <v>31</v>
      </c>
      <c r="L46" s="100"/>
      <c r="M46" s="20" t="s">
        <v>212</v>
      </c>
      <c r="N46" s="21">
        <v>14.73</v>
      </c>
      <c r="O46" s="107"/>
      <c r="P46" s="22">
        <v>47119</v>
      </c>
      <c r="Q46" s="105">
        <f t="shared" si="1"/>
        <v>0</v>
      </c>
      <c r="R46" s="107"/>
      <c r="S46" s="107"/>
      <c r="T46" s="107"/>
      <c r="U46" s="107"/>
      <c r="V46" s="107"/>
    </row>
    <row r="47" spans="1:22" s="12" customFormat="1" ht="19.149999999999999" customHeight="1" x14ac:dyDescent="0.2">
      <c r="A47" s="220"/>
      <c r="B47" s="220"/>
      <c r="C47" s="220"/>
      <c r="D47" s="107"/>
      <c r="E47" s="14">
        <v>5</v>
      </c>
      <c r="F47" s="24"/>
      <c r="G47" s="25">
        <v>45662</v>
      </c>
      <c r="H47" s="17">
        <v>1000</v>
      </c>
      <c r="I47" s="18">
        <v>47.59</v>
      </c>
      <c r="J47" s="19">
        <f t="shared" si="3"/>
        <v>1047.5899999999999</v>
      </c>
      <c r="K47" s="14" t="s">
        <v>31</v>
      </c>
      <c r="L47" s="100"/>
      <c r="M47" s="20" t="s">
        <v>212</v>
      </c>
      <c r="N47" s="21">
        <v>14.83</v>
      </c>
      <c r="O47" s="107"/>
      <c r="P47" s="22">
        <v>47150</v>
      </c>
      <c r="Q47" s="105">
        <f t="shared" si="1"/>
        <v>0</v>
      </c>
      <c r="R47" s="107"/>
      <c r="S47" s="107"/>
      <c r="T47" s="107"/>
      <c r="U47" s="107"/>
      <c r="V47" s="107"/>
    </row>
    <row r="48" spans="1:22" s="12" customFormat="1" ht="19.149999999999999" customHeight="1" x14ac:dyDescent="0.2">
      <c r="A48" s="220"/>
      <c r="B48" s="220"/>
      <c r="C48" s="220"/>
      <c r="D48" s="107"/>
      <c r="E48" s="14">
        <v>3</v>
      </c>
      <c r="F48" s="24"/>
      <c r="G48" s="25">
        <v>45662</v>
      </c>
      <c r="H48" s="17">
        <v>5000</v>
      </c>
      <c r="I48" s="18">
        <v>144.33000000000001</v>
      </c>
      <c r="J48" s="19">
        <f t="shared" si="3"/>
        <v>5144.33</v>
      </c>
      <c r="K48" s="14" t="s">
        <v>31</v>
      </c>
      <c r="L48" s="100"/>
      <c r="M48" s="20" t="s">
        <v>212</v>
      </c>
      <c r="N48" s="21">
        <v>15.72</v>
      </c>
      <c r="O48" s="107"/>
      <c r="P48" s="22">
        <v>47178</v>
      </c>
      <c r="Q48" s="105">
        <f t="shared" si="1"/>
        <v>0</v>
      </c>
      <c r="R48" s="107"/>
      <c r="S48" s="107"/>
      <c r="T48" s="107"/>
      <c r="U48" s="107"/>
      <c r="V48" s="107"/>
    </row>
    <row r="49" spans="1:22" s="12" customFormat="1" ht="19.149999999999999" customHeight="1" x14ac:dyDescent="0.2">
      <c r="A49" s="220"/>
      <c r="B49" s="220"/>
      <c r="C49" s="220"/>
      <c r="D49" s="107"/>
      <c r="E49" s="14">
        <v>4</v>
      </c>
      <c r="F49" s="24"/>
      <c r="G49" s="25">
        <v>45666</v>
      </c>
      <c r="H49" s="17">
        <v>1000</v>
      </c>
      <c r="I49" s="18">
        <v>34.4</v>
      </c>
      <c r="J49" s="19">
        <f t="shared" si="3"/>
        <v>1034.4000000000001</v>
      </c>
      <c r="K49" s="14" t="s">
        <v>31</v>
      </c>
      <c r="L49" s="100"/>
      <c r="M49" s="20" t="s">
        <v>212</v>
      </c>
      <c r="N49" s="21">
        <v>13.26</v>
      </c>
      <c r="O49" s="107"/>
      <c r="P49" s="22">
        <v>47209</v>
      </c>
      <c r="Q49" s="105">
        <f t="shared" si="1"/>
        <v>0</v>
      </c>
      <c r="R49" s="107"/>
      <c r="S49" s="107"/>
      <c r="T49" s="107"/>
      <c r="U49" s="107"/>
      <c r="V49" s="107"/>
    </row>
    <row r="50" spans="1:22" s="12" customFormat="1" ht="19.149999999999999" customHeight="1" x14ac:dyDescent="0.2">
      <c r="A50" s="231"/>
      <c r="B50" s="231"/>
      <c r="C50" s="231"/>
      <c r="D50" s="107"/>
      <c r="E50" s="14">
        <v>5</v>
      </c>
      <c r="F50" s="24"/>
      <c r="G50" s="25">
        <v>45678</v>
      </c>
      <c r="H50" s="17">
        <v>6000</v>
      </c>
      <c r="I50" s="18">
        <v>282.74</v>
      </c>
      <c r="J50" s="19">
        <f t="shared" si="3"/>
        <v>6282.74</v>
      </c>
      <c r="K50" s="14" t="s">
        <v>31</v>
      </c>
      <c r="L50" s="100" t="s">
        <v>59</v>
      </c>
      <c r="M50" s="20" t="s">
        <v>212</v>
      </c>
      <c r="N50" s="21">
        <v>14.78</v>
      </c>
      <c r="O50" s="107"/>
      <c r="P50" s="22">
        <v>47239</v>
      </c>
      <c r="Q50" s="105">
        <f t="shared" si="1"/>
        <v>0</v>
      </c>
      <c r="R50" s="107"/>
      <c r="S50" s="107"/>
      <c r="T50" s="107"/>
      <c r="U50" s="107"/>
      <c r="V50" s="107"/>
    </row>
    <row r="51" spans="1:22" s="12" customFormat="1" ht="19.149999999999999" customHeight="1" x14ac:dyDescent="0.2">
      <c r="A51" s="220"/>
      <c r="B51" s="220"/>
      <c r="C51" s="220"/>
      <c r="D51" s="107"/>
      <c r="E51" s="14">
        <v>6</v>
      </c>
      <c r="F51" s="24"/>
      <c r="G51" s="25">
        <v>45679</v>
      </c>
      <c r="H51" s="17">
        <v>1000</v>
      </c>
      <c r="I51" s="18">
        <v>47.92</v>
      </c>
      <c r="J51" s="19">
        <f t="shared" si="3"/>
        <v>1047.92</v>
      </c>
      <c r="K51" s="14" t="s">
        <v>31</v>
      </c>
      <c r="L51" s="100" t="s">
        <v>59</v>
      </c>
      <c r="M51" s="20" t="s">
        <v>212</v>
      </c>
      <c r="N51" s="21">
        <v>12.72</v>
      </c>
      <c r="O51" s="107"/>
      <c r="P51" s="22">
        <v>47270</v>
      </c>
      <c r="Q51" s="105">
        <f t="shared" si="1"/>
        <v>0</v>
      </c>
      <c r="R51" s="107"/>
      <c r="S51" s="107"/>
      <c r="T51" s="107"/>
      <c r="U51" s="107"/>
      <c r="V51" s="107"/>
    </row>
    <row r="52" spans="1:22" s="12" customFormat="1" ht="19.149999999999999" customHeight="1" x14ac:dyDescent="0.2">
      <c r="A52" s="220"/>
      <c r="B52" s="220"/>
      <c r="C52" s="220"/>
      <c r="D52" s="107"/>
      <c r="E52" s="14">
        <v>5</v>
      </c>
      <c r="F52" s="24"/>
      <c r="G52" s="25">
        <v>45680</v>
      </c>
      <c r="H52" s="17">
        <v>5000</v>
      </c>
      <c r="I52" s="18">
        <v>221.52</v>
      </c>
      <c r="J52" s="19">
        <f t="shared" si="3"/>
        <v>5221.5200000000004</v>
      </c>
      <c r="K52" s="14" t="s">
        <v>31</v>
      </c>
      <c r="L52" s="100" t="s">
        <v>59</v>
      </c>
      <c r="M52" s="20" t="s">
        <v>212</v>
      </c>
      <c r="N52" s="21">
        <v>14.09</v>
      </c>
      <c r="O52" s="107"/>
      <c r="P52" s="22">
        <v>47300</v>
      </c>
      <c r="Q52" s="105">
        <f t="shared" si="1"/>
        <v>0</v>
      </c>
      <c r="R52" s="107"/>
      <c r="S52" s="107"/>
      <c r="T52" s="107"/>
      <c r="U52" s="107"/>
      <c r="V52" s="107"/>
    </row>
    <row r="53" spans="1:22" s="12" customFormat="1" ht="19.149999999999999" customHeight="1" x14ac:dyDescent="0.2">
      <c r="A53" s="177"/>
      <c r="B53" s="177"/>
      <c r="C53" s="177"/>
      <c r="D53" s="107"/>
      <c r="E53" s="14">
        <v>5</v>
      </c>
      <c r="F53" s="24"/>
      <c r="G53" s="25">
        <v>45685</v>
      </c>
      <c r="H53" s="17">
        <v>5000</v>
      </c>
      <c r="I53" s="18">
        <v>246.2</v>
      </c>
      <c r="J53" s="19">
        <f t="shared" si="3"/>
        <v>5246.2</v>
      </c>
      <c r="K53" s="14" t="s">
        <v>31</v>
      </c>
      <c r="L53" s="100"/>
      <c r="M53" s="20" t="s">
        <v>212</v>
      </c>
      <c r="N53" s="21">
        <v>15.34</v>
      </c>
      <c r="O53" s="107"/>
      <c r="P53" s="22">
        <v>47331</v>
      </c>
      <c r="Q53" s="105">
        <f t="shared" si="1"/>
        <v>0</v>
      </c>
      <c r="R53" s="107"/>
      <c r="S53" s="107"/>
      <c r="T53" s="107"/>
      <c r="U53" s="107"/>
      <c r="V53" s="107"/>
    </row>
    <row r="54" spans="1:22" s="12" customFormat="1" ht="19.149999999999999" customHeight="1" x14ac:dyDescent="0.2">
      <c r="A54" s="177"/>
      <c r="B54" s="177"/>
      <c r="C54" s="177"/>
      <c r="D54" s="107"/>
      <c r="E54" s="14">
        <v>5</v>
      </c>
      <c r="F54" s="24"/>
      <c r="G54" s="25">
        <v>45690</v>
      </c>
      <c r="H54" s="17">
        <v>6000</v>
      </c>
      <c r="I54" s="18">
        <v>273.51</v>
      </c>
      <c r="J54" s="19">
        <f t="shared" si="3"/>
        <v>6273.51</v>
      </c>
      <c r="K54" s="14" t="s">
        <v>31</v>
      </c>
      <c r="L54" s="100"/>
      <c r="M54" s="20" t="s">
        <v>212</v>
      </c>
      <c r="N54" s="21">
        <v>14.21</v>
      </c>
      <c r="O54" s="107"/>
      <c r="P54" s="22">
        <v>47362</v>
      </c>
      <c r="Q54" s="105">
        <f t="shared" si="1"/>
        <v>0</v>
      </c>
      <c r="R54" s="107"/>
      <c r="S54" s="107"/>
      <c r="T54" s="107"/>
      <c r="U54" s="107"/>
      <c r="V54" s="107"/>
    </row>
    <row r="55" spans="1:22" s="12" customFormat="1" ht="19.149999999999999" customHeight="1" x14ac:dyDescent="0.2">
      <c r="A55" s="177"/>
      <c r="B55" s="177"/>
      <c r="C55" s="177"/>
      <c r="D55" s="107"/>
      <c r="E55" s="14">
        <v>5</v>
      </c>
      <c r="F55" s="24"/>
      <c r="G55" s="25">
        <v>45690</v>
      </c>
      <c r="H55" s="17">
        <v>2000</v>
      </c>
      <c r="I55" s="18">
        <v>82.55</v>
      </c>
      <c r="J55" s="19">
        <f t="shared" si="3"/>
        <v>2082.5500000000002</v>
      </c>
      <c r="K55" s="14" t="s">
        <v>31</v>
      </c>
      <c r="L55" s="100"/>
      <c r="M55" s="20" t="s">
        <v>212</v>
      </c>
      <c r="N55" s="21">
        <v>12.86</v>
      </c>
      <c r="O55" s="107"/>
      <c r="P55" s="22">
        <v>47392</v>
      </c>
      <c r="Q55" s="105">
        <f t="shared" si="1"/>
        <v>0</v>
      </c>
      <c r="R55" s="107"/>
      <c r="S55" s="107"/>
      <c r="T55" s="107"/>
      <c r="U55" s="107"/>
      <c r="V55" s="107"/>
    </row>
    <row r="56" spans="1:22" s="12" customFormat="1" ht="19.149999999999999" customHeight="1" x14ac:dyDescent="0.2">
      <c r="A56" s="209"/>
      <c r="B56" s="209"/>
      <c r="C56" s="209"/>
      <c r="D56" s="107"/>
      <c r="E56" s="14">
        <v>6</v>
      </c>
      <c r="F56" s="24"/>
      <c r="G56" s="25">
        <v>45697</v>
      </c>
      <c r="H56" s="17">
        <v>5000</v>
      </c>
      <c r="I56" s="18">
        <v>234.32</v>
      </c>
      <c r="J56" s="19">
        <f t="shared" si="3"/>
        <v>5234.32</v>
      </c>
      <c r="K56" s="14" t="s">
        <v>31</v>
      </c>
      <c r="L56" s="100" t="s">
        <v>59</v>
      </c>
      <c r="M56" s="20" t="s">
        <v>212</v>
      </c>
      <c r="N56" s="21">
        <v>13.5</v>
      </c>
      <c r="O56" s="107"/>
      <c r="P56" s="22">
        <v>47423</v>
      </c>
      <c r="Q56" s="105">
        <f t="shared" si="1"/>
        <v>0</v>
      </c>
      <c r="R56" s="107"/>
      <c r="S56" s="107"/>
      <c r="T56" s="107"/>
      <c r="U56" s="107"/>
      <c r="V56" s="107"/>
    </row>
    <row r="57" spans="1:22" s="12" customFormat="1" ht="19.149999999999999" customHeight="1" x14ac:dyDescent="0.2">
      <c r="A57" s="209"/>
      <c r="B57" s="209"/>
      <c r="C57" s="209"/>
      <c r="D57" s="107"/>
      <c r="E57" s="14">
        <v>6</v>
      </c>
      <c r="F57" s="24"/>
      <c r="G57" s="25">
        <v>45701</v>
      </c>
      <c r="H57" s="17">
        <v>2000</v>
      </c>
      <c r="I57" s="18">
        <v>114.27</v>
      </c>
      <c r="J57" s="19">
        <f t="shared" si="3"/>
        <v>2114.27</v>
      </c>
      <c r="K57" s="14" t="s">
        <v>31</v>
      </c>
      <c r="L57" s="100"/>
      <c r="M57" s="20" t="s">
        <v>212</v>
      </c>
      <c r="N57" s="21">
        <v>14.84</v>
      </c>
      <c r="O57" s="107"/>
      <c r="P57" s="22">
        <v>47453</v>
      </c>
      <c r="Q57" s="105">
        <f t="shared" si="1"/>
        <v>0</v>
      </c>
      <c r="R57" s="107"/>
      <c r="S57" s="107"/>
      <c r="T57" s="107"/>
      <c r="U57" s="107"/>
      <c r="V57" s="107"/>
    </row>
    <row r="58" spans="1:22" s="12" customFormat="1" ht="19.149999999999999" customHeight="1" x14ac:dyDescent="0.2">
      <c r="A58" s="209"/>
      <c r="B58" s="209"/>
      <c r="C58" s="209"/>
      <c r="D58" s="107"/>
      <c r="E58" s="14">
        <v>3</v>
      </c>
      <c r="F58" s="24"/>
      <c r="G58" s="25">
        <v>45714</v>
      </c>
      <c r="H58" s="17">
        <v>5000</v>
      </c>
      <c r="I58" s="18">
        <v>141.30000000000001</v>
      </c>
      <c r="J58" s="19">
        <f t="shared" si="3"/>
        <v>5141.3</v>
      </c>
      <c r="K58" s="14" t="s">
        <v>31</v>
      </c>
      <c r="L58" s="100"/>
      <c r="M58" s="20" t="s">
        <v>212</v>
      </c>
      <c r="N58" s="21">
        <v>14.7</v>
      </c>
      <c r="O58" s="107"/>
      <c r="P58" s="22">
        <v>47484</v>
      </c>
      <c r="Q58" s="105">
        <f t="shared" si="1"/>
        <v>0</v>
      </c>
      <c r="R58" s="107"/>
      <c r="S58" s="107"/>
      <c r="T58" s="107"/>
      <c r="U58" s="107"/>
      <c r="V58" s="107"/>
    </row>
    <row r="59" spans="1:22" s="12" customFormat="1" ht="19.149999999999999" customHeight="1" x14ac:dyDescent="0.2">
      <c r="A59" s="209"/>
      <c r="B59" s="209"/>
      <c r="C59" s="209"/>
      <c r="D59" s="107"/>
      <c r="E59" s="14">
        <v>3</v>
      </c>
      <c r="F59" s="24"/>
      <c r="G59" s="25">
        <v>45718</v>
      </c>
      <c r="H59" s="17">
        <v>5000</v>
      </c>
      <c r="I59" s="18">
        <v>128.97999999999999</v>
      </c>
      <c r="J59" s="19">
        <f t="shared" si="3"/>
        <v>5128.9799999999996</v>
      </c>
      <c r="K59" s="14" t="s">
        <v>31</v>
      </c>
      <c r="L59" s="100"/>
      <c r="M59" s="20" t="s">
        <v>212</v>
      </c>
      <c r="N59" s="21">
        <v>13.4</v>
      </c>
      <c r="O59" s="107"/>
      <c r="P59" s="22">
        <v>47515</v>
      </c>
      <c r="Q59" s="105">
        <f t="shared" si="1"/>
        <v>0</v>
      </c>
      <c r="R59" s="107"/>
      <c r="S59" s="107"/>
      <c r="T59" s="107"/>
      <c r="U59" s="107"/>
      <c r="V59" s="107"/>
    </row>
    <row r="60" spans="1:22" s="12" customFormat="1" ht="19.149999999999999" customHeight="1" x14ac:dyDescent="0.2">
      <c r="A60" s="209"/>
      <c r="B60" s="209"/>
      <c r="C60" s="209"/>
      <c r="D60" s="107"/>
      <c r="E60" s="14">
        <v>6</v>
      </c>
      <c r="F60" s="24"/>
      <c r="G60" s="25">
        <v>45718</v>
      </c>
      <c r="H60" s="17">
        <v>5000</v>
      </c>
      <c r="I60" s="18">
        <v>264.88</v>
      </c>
      <c r="J60" s="19">
        <f t="shared" si="3"/>
        <v>5264.88</v>
      </c>
      <c r="K60" s="14" t="s">
        <v>31</v>
      </c>
      <c r="L60" s="100"/>
      <c r="M60" s="20" t="s">
        <v>212</v>
      </c>
      <c r="N60" s="21">
        <v>13.76</v>
      </c>
      <c r="O60" s="107"/>
      <c r="P60" s="22">
        <v>47543</v>
      </c>
      <c r="Q60" s="105">
        <f t="shared" si="1"/>
        <v>0</v>
      </c>
      <c r="R60" s="107"/>
      <c r="S60" s="107"/>
      <c r="T60" s="107"/>
      <c r="U60" s="107"/>
      <c r="V60" s="107"/>
    </row>
    <row r="61" spans="1:22" s="12" customFormat="1" ht="19.149999999999999" customHeight="1" x14ac:dyDescent="0.2">
      <c r="A61" s="209"/>
      <c r="B61" s="209"/>
      <c r="C61" s="209"/>
      <c r="D61" s="107"/>
      <c r="E61" s="14">
        <v>3</v>
      </c>
      <c r="F61" s="24"/>
      <c r="G61" s="25">
        <v>45719</v>
      </c>
      <c r="H61" s="17">
        <v>1000</v>
      </c>
      <c r="I61" s="18">
        <v>17.559999999999999</v>
      </c>
      <c r="J61" s="19">
        <f t="shared" si="3"/>
        <v>1017.56</v>
      </c>
      <c r="K61" s="14" t="s">
        <v>31</v>
      </c>
      <c r="L61" s="100" t="s">
        <v>59</v>
      </c>
      <c r="M61" s="20" t="s">
        <v>212</v>
      </c>
      <c r="N61" s="21">
        <v>14.55</v>
      </c>
      <c r="O61" s="107"/>
      <c r="P61" s="22">
        <v>47574</v>
      </c>
      <c r="Q61" s="105">
        <f t="shared" si="1"/>
        <v>0</v>
      </c>
      <c r="R61" s="107"/>
      <c r="S61" s="107"/>
      <c r="T61" s="107"/>
      <c r="U61" s="107"/>
      <c r="V61" s="107"/>
    </row>
    <row r="62" spans="1:22" s="12" customFormat="1" ht="19.149999999999999" customHeight="1" x14ac:dyDescent="0.2">
      <c r="A62" s="209"/>
      <c r="B62" s="209"/>
      <c r="C62" s="209"/>
      <c r="D62" s="107"/>
      <c r="E62" s="14">
        <v>3</v>
      </c>
      <c r="F62" s="24"/>
      <c r="G62" s="25">
        <v>45726</v>
      </c>
      <c r="H62" s="17">
        <v>5000</v>
      </c>
      <c r="I62" s="18">
        <v>144.76</v>
      </c>
      <c r="J62" s="19">
        <f t="shared" si="3"/>
        <v>5144.76</v>
      </c>
      <c r="K62" s="14" t="s">
        <v>31</v>
      </c>
      <c r="L62" s="100"/>
      <c r="M62" s="20" t="s">
        <v>212</v>
      </c>
      <c r="N62" s="21">
        <v>15.03</v>
      </c>
      <c r="O62" s="107"/>
      <c r="P62" s="22">
        <v>47604</v>
      </c>
      <c r="Q62" s="105">
        <f t="shared" si="1"/>
        <v>0</v>
      </c>
      <c r="R62" s="107"/>
      <c r="S62" s="107"/>
      <c r="T62" s="107"/>
      <c r="U62" s="107"/>
      <c r="V62" s="107"/>
    </row>
    <row r="63" spans="1:22" s="12" customFormat="1" ht="19.149999999999999" customHeight="1" x14ac:dyDescent="0.2">
      <c r="A63" s="209"/>
      <c r="B63" s="209"/>
      <c r="C63" s="209"/>
      <c r="D63" s="107"/>
      <c r="E63" s="14">
        <v>3</v>
      </c>
      <c r="F63" s="24"/>
      <c r="G63" s="25">
        <v>45728</v>
      </c>
      <c r="H63" s="17">
        <v>5000</v>
      </c>
      <c r="I63" s="18">
        <v>133.87</v>
      </c>
      <c r="J63" s="19">
        <f t="shared" si="3"/>
        <v>5133.87</v>
      </c>
      <c r="K63" s="14" t="s">
        <v>31</v>
      </c>
      <c r="L63" s="100" t="s">
        <v>59</v>
      </c>
      <c r="M63" s="20" t="s">
        <v>212</v>
      </c>
      <c r="N63" s="21">
        <v>15.08</v>
      </c>
      <c r="O63" s="107"/>
      <c r="P63" s="22">
        <v>47635</v>
      </c>
      <c r="Q63" s="105">
        <f t="shared" si="1"/>
        <v>0</v>
      </c>
      <c r="R63" s="107"/>
      <c r="S63" s="107"/>
      <c r="T63" s="107"/>
      <c r="U63" s="107"/>
      <c r="V63" s="107"/>
    </row>
    <row r="64" spans="1:22" s="12" customFormat="1" ht="19.149999999999999" customHeight="1" x14ac:dyDescent="0.2">
      <c r="A64" s="209"/>
      <c r="B64" s="209"/>
      <c r="C64" s="209"/>
      <c r="D64" s="107"/>
      <c r="E64" s="14">
        <v>3</v>
      </c>
      <c r="F64" s="24"/>
      <c r="G64" s="25">
        <v>45736</v>
      </c>
      <c r="H64" s="17">
        <v>5000</v>
      </c>
      <c r="I64" s="18">
        <v>132.11000000000001</v>
      </c>
      <c r="J64" s="19">
        <f t="shared" si="3"/>
        <v>5132.1099999999997</v>
      </c>
      <c r="K64" s="14" t="s">
        <v>31</v>
      </c>
      <c r="L64" s="100" t="s">
        <v>59</v>
      </c>
      <c r="M64" s="20" t="s">
        <v>212</v>
      </c>
      <c r="N64" s="21">
        <v>15.43</v>
      </c>
      <c r="O64" s="107"/>
      <c r="P64" s="22">
        <v>47665</v>
      </c>
      <c r="Q64" s="105">
        <f t="shared" si="1"/>
        <v>0</v>
      </c>
      <c r="R64" s="107"/>
      <c r="S64" s="107"/>
      <c r="T64" s="107"/>
      <c r="U64" s="107"/>
      <c r="V64" s="107"/>
    </row>
    <row r="65" spans="1:22" s="12" customFormat="1" ht="19.149999999999999" customHeight="1" x14ac:dyDescent="0.2">
      <c r="A65" s="107"/>
      <c r="B65" s="107"/>
      <c r="C65" s="107"/>
      <c r="D65" s="107"/>
      <c r="E65" s="14">
        <v>4</v>
      </c>
      <c r="F65" s="24"/>
      <c r="G65" s="25">
        <v>45743</v>
      </c>
      <c r="H65" s="17">
        <v>5000</v>
      </c>
      <c r="I65" s="18">
        <v>181.7</v>
      </c>
      <c r="J65" s="19">
        <f t="shared" si="3"/>
        <v>5181.7</v>
      </c>
      <c r="K65" s="14" t="s">
        <v>31</v>
      </c>
      <c r="L65" s="100" t="s">
        <v>59</v>
      </c>
      <c r="M65" s="20" t="s">
        <v>212</v>
      </c>
      <c r="N65" s="21">
        <v>14.83</v>
      </c>
      <c r="O65" s="107"/>
      <c r="P65" s="22">
        <v>47696</v>
      </c>
      <c r="Q65" s="105">
        <f t="shared" si="1"/>
        <v>0</v>
      </c>
      <c r="R65" s="107"/>
      <c r="S65" s="107"/>
      <c r="T65" s="107"/>
      <c r="U65" s="107"/>
      <c r="V65" s="107"/>
    </row>
    <row r="66" spans="1:22" s="12" customFormat="1" ht="19.149999999999999" customHeight="1" x14ac:dyDescent="0.2">
      <c r="A66" s="107"/>
      <c r="B66" s="107"/>
      <c r="C66" s="107"/>
      <c r="D66" s="107"/>
      <c r="E66" s="14">
        <v>4</v>
      </c>
      <c r="F66" s="24"/>
      <c r="G66" s="25">
        <v>45754</v>
      </c>
      <c r="H66" s="17">
        <v>20000</v>
      </c>
      <c r="I66" s="18">
        <v>726.99</v>
      </c>
      <c r="J66" s="19">
        <f t="shared" si="3"/>
        <v>20726.990000000002</v>
      </c>
      <c r="K66" s="14" t="s">
        <v>31</v>
      </c>
      <c r="L66" s="100" t="s">
        <v>59</v>
      </c>
      <c r="M66" s="20" t="s">
        <v>212</v>
      </c>
      <c r="N66" s="21">
        <v>14.41</v>
      </c>
      <c r="O66" s="107"/>
      <c r="P66" s="22">
        <v>47727</v>
      </c>
      <c r="Q66" s="105">
        <f t="shared" si="1"/>
        <v>0</v>
      </c>
      <c r="R66" s="107"/>
      <c r="S66" s="107"/>
      <c r="T66" s="107"/>
      <c r="U66" s="107"/>
      <c r="V66" s="107"/>
    </row>
    <row r="67" spans="1:22" s="12" customFormat="1" ht="19.149999999999999" customHeight="1" x14ac:dyDescent="0.2">
      <c r="A67" s="107"/>
      <c r="B67" s="107"/>
      <c r="C67" s="107"/>
      <c r="D67" s="107"/>
      <c r="E67" s="14">
        <v>4</v>
      </c>
      <c r="F67" s="24"/>
      <c r="G67" s="25">
        <v>45754</v>
      </c>
      <c r="H67" s="17">
        <v>10000</v>
      </c>
      <c r="I67" s="18">
        <v>319.89999999999998</v>
      </c>
      <c r="J67" s="19">
        <f t="shared" si="3"/>
        <v>10319.9</v>
      </c>
      <c r="K67" s="14" t="s">
        <v>31</v>
      </c>
      <c r="L67" s="100" t="s">
        <v>59</v>
      </c>
      <c r="M67" s="20" t="s">
        <v>212</v>
      </c>
      <c r="N67" s="21">
        <v>12.78</v>
      </c>
      <c r="O67" s="107"/>
      <c r="P67" s="22">
        <v>47757</v>
      </c>
      <c r="Q67" s="105">
        <f t="shared" ref="Q67:Q68" si="4">SUMIFS(J$2:J$1000, F$2:F$1000, "&gt;=" &amp; DATE(YEAR(P67), MONTH(P67), 1), F$2:F$1000, "&lt;=" &amp; EOMONTH(P67, 0))</f>
        <v>0</v>
      </c>
      <c r="R67" s="107"/>
      <c r="S67" s="107"/>
      <c r="T67" s="107"/>
      <c r="U67" s="107"/>
      <c r="V67" s="107"/>
    </row>
    <row r="68" spans="1:22" s="12" customFormat="1" ht="19.149999999999999" customHeight="1" x14ac:dyDescent="0.2">
      <c r="A68" s="107"/>
      <c r="B68" s="28"/>
      <c r="C68" s="107"/>
      <c r="D68" s="107"/>
      <c r="E68" s="14">
        <v>3</v>
      </c>
      <c r="F68" s="24"/>
      <c r="G68" s="25">
        <v>45757</v>
      </c>
      <c r="H68" s="17">
        <v>5000</v>
      </c>
      <c r="I68" s="18">
        <v>146.30000000000001</v>
      </c>
      <c r="J68" s="19">
        <f t="shared" si="3"/>
        <v>5146.3</v>
      </c>
      <c r="K68" s="14" t="s">
        <v>31</v>
      </c>
      <c r="L68" s="100"/>
      <c r="M68" s="20" t="s">
        <v>212</v>
      </c>
      <c r="N68" s="21">
        <v>15.2</v>
      </c>
      <c r="O68" s="107"/>
      <c r="P68" s="22">
        <v>47788</v>
      </c>
      <c r="Q68" s="105">
        <f t="shared" si="4"/>
        <v>0</v>
      </c>
      <c r="R68" s="107"/>
      <c r="S68" s="107"/>
      <c r="T68" s="107"/>
      <c r="U68" s="107"/>
      <c r="V68" s="107"/>
    </row>
    <row r="69" spans="1:22" s="12" customFormat="1" ht="19.149999999999999" customHeight="1" x14ac:dyDescent="0.2">
      <c r="A69" s="107"/>
      <c r="B69" s="107"/>
      <c r="C69" s="107"/>
      <c r="D69" s="107"/>
      <c r="E69" s="14">
        <v>4</v>
      </c>
      <c r="F69" s="24"/>
      <c r="G69" s="25">
        <v>45762</v>
      </c>
      <c r="H69" s="17">
        <v>5000</v>
      </c>
      <c r="I69" s="18">
        <v>182.14</v>
      </c>
      <c r="J69" s="19">
        <f t="shared" si="3"/>
        <v>5182.1400000000003</v>
      </c>
      <c r="K69" s="14" t="s">
        <v>31</v>
      </c>
      <c r="L69" s="100" t="s">
        <v>59</v>
      </c>
      <c r="M69" s="20" t="s">
        <v>212</v>
      </c>
      <c r="N69" s="21">
        <v>14.8</v>
      </c>
      <c r="O69" s="107"/>
      <c r="P69" s="22"/>
      <c r="Q69" s="105"/>
      <c r="R69" s="107"/>
      <c r="S69" s="107"/>
      <c r="T69" s="107"/>
      <c r="U69" s="107"/>
      <c r="V69" s="107"/>
    </row>
    <row r="70" spans="1:22" s="12" customFormat="1" ht="19.149999999999999" customHeight="1" x14ac:dyDescent="0.2">
      <c r="A70" s="107"/>
      <c r="B70" s="107"/>
      <c r="C70" s="107"/>
      <c r="D70" s="107"/>
      <c r="E70" s="14">
        <v>4</v>
      </c>
      <c r="F70" s="24"/>
      <c r="G70" s="25">
        <v>45783</v>
      </c>
      <c r="H70" s="17">
        <v>5000</v>
      </c>
      <c r="I70" s="18">
        <v>198.6</v>
      </c>
      <c r="J70" s="19">
        <f>SUM(H70:I70)</f>
        <v>5198.6000000000004</v>
      </c>
      <c r="K70" s="14" t="s">
        <v>31</v>
      </c>
      <c r="L70" s="19"/>
      <c r="M70" s="20" t="s">
        <v>212</v>
      </c>
      <c r="N70" s="21">
        <v>14.41</v>
      </c>
      <c r="O70" s="107"/>
      <c r="P70" s="22"/>
      <c r="Q70" s="23"/>
      <c r="R70" s="107"/>
      <c r="S70" s="107"/>
      <c r="T70" s="107"/>
      <c r="U70" s="107"/>
      <c r="V70" s="107"/>
    </row>
    <row r="71" spans="1:22" s="12" customFormat="1" ht="19.149999999999999" customHeight="1" x14ac:dyDescent="0.2">
      <c r="A71" s="107"/>
      <c r="B71" s="107"/>
      <c r="C71" s="107"/>
      <c r="D71" s="107"/>
      <c r="E71" s="14">
        <v>5</v>
      </c>
      <c r="F71" s="24"/>
      <c r="G71" s="25">
        <v>45811</v>
      </c>
      <c r="H71" s="17">
        <v>1000</v>
      </c>
      <c r="I71" s="18">
        <v>42.04</v>
      </c>
      <c r="J71" s="19">
        <f>SUM(H71:I71)</f>
        <v>1042.04</v>
      </c>
      <c r="K71" s="14" t="s">
        <v>31</v>
      </c>
      <c r="L71" s="19" t="s">
        <v>32</v>
      </c>
      <c r="M71" s="20" t="s">
        <v>212</v>
      </c>
      <c r="N71" s="21">
        <v>13.11</v>
      </c>
      <c r="O71" s="107"/>
      <c r="P71" s="22"/>
      <c r="Q71" s="23"/>
      <c r="R71" s="107"/>
      <c r="S71" s="107"/>
      <c r="T71" s="107"/>
      <c r="U71" s="107"/>
      <c r="V71" s="107"/>
    </row>
    <row r="72" spans="1:22" s="12" customFormat="1" ht="19.149999999999999" customHeight="1" x14ac:dyDescent="0.2">
      <c r="A72" s="107"/>
      <c r="B72" s="107"/>
      <c r="C72" s="107"/>
      <c r="D72" s="107"/>
      <c r="E72" s="14">
        <v>4</v>
      </c>
      <c r="F72" s="24"/>
      <c r="G72" s="25">
        <v>45824</v>
      </c>
      <c r="H72" s="17">
        <v>5000</v>
      </c>
      <c r="I72" s="18">
        <v>184.8</v>
      </c>
      <c r="J72" s="19">
        <f t="shared" ref="J72:J95" si="5">SUM(H72:I72)</f>
        <v>5184.8</v>
      </c>
      <c r="K72" s="14" t="s">
        <v>31</v>
      </c>
      <c r="L72" s="19" t="s">
        <v>32</v>
      </c>
      <c r="M72" s="20" t="s">
        <v>212</v>
      </c>
      <c r="N72" s="21">
        <v>14.4</v>
      </c>
      <c r="O72" s="107"/>
      <c r="P72" s="22"/>
      <c r="Q72" s="23"/>
      <c r="R72" s="107"/>
      <c r="S72" s="107"/>
      <c r="T72" s="107"/>
      <c r="U72" s="107"/>
      <c r="V72" s="107"/>
    </row>
    <row r="73" spans="1:22" s="12" customFormat="1" ht="19.149999999999999" customHeight="1" x14ac:dyDescent="0.2">
      <c r="A73" s="107"/>
      <c r="B73" s="107"/>
      <c r="C73" s="107"/>
      <c r="D73" s="107"/>
      <c r="E73" s="14">
        <v>3</v>
      </c>
      <c r="F73" s="24"/>
      <c r="G73" s="25">
        <v>45818</v>
      </c>
      <c r="H73" s="17">
        <v>5000</v>
      </c>
      <c r="I73" s="18">
        <v>130.9</v>
      </c>
      <c r="J73" s="19">
        <f t="shared" si="5"/>
        <v>5130.8999999999996</v>
      </c>
      <c r="K73" s="14" t="s">
        <v>31</v>
      </c>
      <c r="L73" s="19"/>
      <c r="M73" s="20" t="s">
        <v>212</v>
      </c>
      <c r="N73" s="21">
        <v>13.6</v>
      </c>
      <c r="O73" s="107"/>
      <c r="P73" s="22"/>
      <c r="Q73" s="23"/>
      <c r="R73" s="107"/>
      <c r="S73" s="107"/>
      <c r="T73" s="107"/>
      <c r="U73" s="107"/>
      <c r="V73" s="107"/>
    </row>
    <row r="74" spans="1:22" s="12" customFormat="1" ht="19.149999999999999" customHeight="1" x14ac:dyDescent="0.2">
      <c r="A74" s="107"/>
      <c r="B74" s="107"/>
      <c r="C74" s="107"/>
      <c r="D74" s="107"/>
      <c r="E74" s="14">
        <v>4</v>
      </c>
      <c r="F74" s="24"/>
      <c r="G74" s="25">
        <v>45819</v>
      </c>
      <c r="H74" s="17">
        <v>5000</v>
      </c>
      <c r="I74" s="18">
        <v>188.65</v>
      </c>
      <c r="J74" s="19">
        <f t="shared" si="5"/>
        <v>5188.6499999999996</v>
      </c>
      <c r="K74" s="14" t="s">
        <v>31</v>
      </c>
      <c r="L74" s="19"/>
      <c r="M74" s="20" t="s">
        <v>212</v>
      </c>
      <c r="N74" s="21">
        <v>14.69</v>
      </c>
      <c r="O74" s="107"/>
      <c r="P74" s="22"/>
      <c r="Q74" s="23"/>
      <c r="R74" s="107"/>
      <c r="S74" s="107"/>
      <c r="T74" s="107"/>
      <c r="U74" s="107"/>
      <c r="V74" s="107"/>
    </row>
    <row r="75" spans="1:22" s="12" customFormat="1" ht="19.149999999999999" customHeight="1" x14ac:dyDescent="0.2">
      <c r="A75" s="107"/>
      <c r="B75" s="107"/>
      <c r="C75" s="107"/>
      <c r="D75" s="107"/>
      <c r="E75" s="14">
        <v>3</v>
      </c>
      <c r="F75" s="24"/>
      <c r="G75" s="25">
        <v>45848</v>
      </c>
      <c r="H75" s="17">
        <v>5000</v>
      </c>
      <c r="I75" s="18">
        <v>126.28</v>
      </c>
      <c r="J75" s="19">
        <f t="shared" si="5"/>
        <v>5126.28</v>
      </c>
      <c r="K75" s="14" t="s">
        <v>31</v>
      </c>
      <c r="L75" s="19" t="s">
        <v>32</v>
      </c>
      <c r="M75" s="20" t="s">
        <v>212</v>
      </c>
      <c r="N75" s="21">
        <v>13.11</v>
      </c>
      <c r="O75" s="107"/>
      <c r="P75" s="22"/>
      <c r="Q75" s="23"/>
      <c r="R75" s="107"/>
      <c r="S75" s="107"/>
      <c r="T75" s="107"/>
      <c r="U75" s="107"/>
      <c r="V75" s="107"/>
    </row>
    <row r="76" spans="1:22" s="12" customFormat="1" ht="19.149999999999999" customHeight="1" x14ac:dyDescent="0.2">
      <c r="A76" s="107"/>
      <c r="B76" s="107"/>
      <c r="C76" s="107"/>
      <c r="D76" s="107"/>
      <c r="E76" s="14">
        <v>3</v>
      </c>
      <c r="F76" s="24"/>
      <c r="G76" s="25">
        <v>45784</v>
      </c>
      <c r="H76" s="17">
        <v>10000</v>
      </c>
      <c r="I76" s="18">
        <v>135.6</v>
      </c>
      <c r="J76" s="19">
        <f t="shared" si="5"/>
        <v>10135.6</v>
      </c>
      <c r="K76" s="14" t="s">
        <v>31</v>
      </c>
      <c r="L76" s="100" t="s">
        <v>59</v>
      </c>
      <c r="M76" s="20" t="s">
        <v>212</v>
      </c>
      <c r="N76" s="21">
        <v>14.38</v>
      </c>
      <c r="O76" s="107"/>
      <c r="P76" s="22"/>
      <c r="Q76" s="23"/>
      <c r="R76" s="107"/>
      <c r="S76" s="107"/>
      <c r="T76" s="107"/>
      <c r="U76" s="107"/>
      <c r="V76" s="107"/>
    </row>
    <row r="77" spans="1:22" s="12" customFormat="1" ht="19.149999999999999" customHeight="1" x14ac:dyDescent="0.2">
      <c r="A77" s="107"/>
      <c r="B77" s="107"/>
      <c r="C77" s="107"/>
      <c r="D77" s="107"/>
      <c r="E77" s="14">
        <v>4</v>
      </c>
      <c r="F77" s="24"/>
      <c r="G77" s="25">
        <v>45832</v>
      </c>
      <c r="H77" s="17">
        <v>20000</v>
      </c>
      <c r="I77" s="18">
        <v>808.89</v>
      </c>
      <c r="J77" s="19">
        <f t="shared" si="5"/>
        <v>20808.89</v>
      </c>
      <c r="K77" s="14" t="s">
        <v>31</v>
      </c>
      <c r="L77" s="19"/>
      <c r="M77" s="20" t="s">
        <v>212</v>
      </c>
      <c r="N77" s="21">
        <v>13.7</v>
      </c>
      <c r="O77" s="107"/>
      <c r="P77" s="22"/>
      <c r="Q77" s="23"/>
      <c r="R77" s="107"/>
      <c r="S77" s="107"/>
      <c r="T77" s="107"/>
      <c r="U77" s="107"/>
      <c r="V77" s="107"/>
    </row>
    <row r="78" spans="1:22" s="12" customFormat="1" ht="19.149999999999999" customHeight="1" x14ac:dyDescent="0.2">
      <c r="A78" s="107"/>
      <c r="B78" s="107"/>
      <c r="C78" s="107"/>
      <c r="D78" s="107"/>
      <c r="E78" s="14">
        <v>4</v>
      </c>
      <c r="F78" s="24"/>
      <c r="G78" s="25">
        <v>45838</v>
      </c>
      <c r="H78" s="17">
        <v>5000</v>
      </c>
      <c r="I78" s="18">
        <v>206.65</v>
      </c>
      <c r="J78" s="19">
        <f t="shared" si="5"/>
        <v>5206.6499999999996</v>
      </c>
      <c r="K78" s="14" t="s">
        <v>31</v>
      </c>
      <c r="L78" s="19"/>
      <c r="M78" s="20" t="s">
        <v>212</v>
      </c>
      <c r="N78" s="21">
        <v>14.02</v>
      </c>
      <c r="O78" s="107"/>
      <c r="P78" s="22"/>
      <c r="Q78" s="23"/>
      <c r="R78" s="107"/>
      <c r="S78" s="107"/>
      <c r="T78" s="107"/>
      <c r="U78" s="107"/>
      <c r="V78" s="107"/>
    </row>
    <row r="79" spans="1:22" s="12" customFormat="1" ht="19.149999999999999" customHeight="1" x14ac:dyDescent="0.2">
      <c r="A79" s="107"/>
      <c r="B79" s="107"/>
      <c r="C79" s="107"/>
      <c r="D79" s="107"/>
      <c r="E79" s="14">
        <v>4</v>
      </c>
      <c r="F79" s="24"/>
      <c r="G79" s="25">
        <v>45840</v>
      </c>
      <c r="H79" s="17">
        <v>5000</v>
      </c>
      <c r="I79" s="18">
        <v>220.81</v>
      </c>
      <c r="J79" s="19">
        <f t="shared" si="5"/>
        <v>5220.8100000000004</v>
      </c>
      <c r="K79" s="14" t="s">
        <v>31</v>
      </c>
      <c r="L79" s="19"/>
      <c r="M79" s="20" t="s">
        <v>212</v>
      </c>
      <c r="N79" s="21">
        <v>14.98</v>
      </c>
      <c r="O79" s="107"/>
      <c r="P79" s="22"/>
      <c r="Q79" s="23"/>
      <c r="R79" s="107"/>
      <c r="S79" s="107"/>
      <c r="T79" s="107"/>
      <c r="U79" s="107"/>
      <c r="V79" s="107"/>
    </row>
    <row r="80" spans="1:22" s="12" customFormat="1" ht="19.149999999999999" customHeight="1" x14ac:dyDescent="0.2">
      <c r="A80" s="107"/>
      <c r="B80" s="107"/>
      <c r="C80" s="107"/>
      <c r="D80" s="107"/>
      <c r="E80" s="14">
        <v>4</v>
      </c>
      <c r="F80" s="24"/>
      <c r="G80" s="25">
        <v>45858</v>
      </c>
      <c r="H80" s="17">
        <v>5000</v>
      </c>
      <c r="I80" s="18">
        <v>170.94</v>
      </c>
      <c r="J80" s="19">
        <f t="shared" si="5"/>
        <v>5170.9399999999996</v>
      </c>
      <c r="K80" s="14" t="s">
        <v>31</v>
      </c>
      <c r="L80" s="19" t="s">
        <v>32</v>
      </c>
      <c r="M80" s="20" t="s">
        <v>212</v>
      </c>
      <c r="N80" s="21">
        <v>13.32</v>
      </c>
      <c r="O80" s="107"/>
      <c r="P80" s="22"/>
      <c r="Q80" s="23"/>
      <c r="R80" s="107"/>
      <c r="S80" s="107"/>
      <c r="T80" s="107"/>
      <c r="U80" s="107"/>
      <c r="V80" s="107"/>
    </row>
    <row r="81" spans="1:22" s="12" customFormat="1" ht="19.149999999999999" customHeight="1" x14ac:dyDescent="0.2">
      <c r="A81" s="107"/>
      <c r="B81" s="107"/>
      <c r="C81" s="107"/>
      <c r="D81" s="107"/>
      <c r="E81" s="14">
        <v>4</v>
      </c>
      <c r="F81" s="24"/>
      <c r="G81" s="25">
        <v>45848</v>
      </c>
      <c r="H81" s="17">
        <v>5000</v>
      </c>
      <c r="I81" s="18">
        <v>185.19</v>
      </c>
      <c r="J81" s="19">
        <f t="shared" si="5"/>
        <v>5185.1899999999996</v>
      </c>
      <c r="K81" s="14" t="s">
        <v>31</v>
      </c>
      <c r="L81" s="19"/>
      <c r="M81" s="20" t="s">
        <v>212</v>
      </c>
      <c r="N81" s="21">
        <v>14.44</v>
      </c>
      <c r="O81" s="107"/>
      <c r="P81" s="22"/>
      <c r="Q81" s="23"/>
      <c r="R81" s="107"/>
      <c r="S81" s="107"/>
      <c r="T81" s="107"/>
      <c r="U81" s="107"/>
      <c r="V81" s="107"/>
    </row>
    <row r="82" spans="1:22" s="12" customFormat="1" ht="19.149999999999999" customHeight="1" x14ac:dyDescent="0.2">
      <c r="A82" s="107"/>
      <c r="B82" s="107"/>
      <c r="C82" s="107"/>
      <c r="D82" s="107"/>
      <c r="E82" s="14">
        <v>12</v>
      </c>
      <c r="F82" s="24"/>
      <c r="G82" s="25">
        <v>45882</v>
      </c>
      <c r="H82" s="17">
        <v>2000</v>
      </c>
      <c r="I82" s="18">
        <v>222.7</v>
      </c>
      <c r="J82" s="19">
        <f t="shared" si="5"/>
        <v>2222.6999999999998</v>
      </c>
      <c r="K82" s="14" t="s">
        <v>31</v>
      </c>
      <c r="L82" s="19" t="s">
        <v>91</v>
      </c>
      <c r="M82" s="20" t="s">
        <v>212</v>
      </c>
      <c r="N82" s="21">
        <v>14.42</v>
      </c>
      <c r="O82" s="107"/>
      <c r="P82" s="22"/>
      <c r="Q82" s="23"/>
      <c r="R82" s="107"/>
      <c r="S82" s="107"/>
      <c r="T82" s="107"/>
      <c r="U82" s="107"/>
      <c r="V82" s="107"/>
    </row>
    <row r="83" spans="1:22" s="12" customFormat="1" ht="19.149999999999999" customHeight="1" x14ac:dyDescent="0.2">
      <c r="A83" s="107"/>
      <c r="B83" s="107"/>
      <c r="C83" s="107"/>
      <c r="D83" s="107"/>
      <c r="E83" s="14">
        <v>4</v>
      </c>
      <c r="F83" s="24"/>
      <c r="G83" s="25">
        <v>45879</v>
      </c>
      <c r="H83" s="17">
        <v>10000</v>
      </c>
      <c r="I83" s="18">
        <v>383.46</v>
      </c>
      <c r="J83" s="19">
        <f t="shared" si="5"/>
        <v>10383.459999999999</v>
      </c>
      <c r="K83" s="14" t="s">
        <v>31</v>
      </c>
      <c r="L83" s="19"/>
      <c r="M83" s="20" t="s">
        <v>212</v>
      </c>
      <c r="N83" s="21">
        <v>14.94</v>
      </c>
      <c r="O83" s="107"/>
      <c r="P83" s="22"/>
      <c r="Q83" s="23"/>
      <c r="R83" s="107"/>
      <c r="S83" s="107"/>
      <c r="T83" s="107"/>
      <c r="U83" s="107"/>
      <c r="V83" s="107"/>
    </row>
    <row r="84" spans="1:22" s="12" customFormat="1" ht="19.149999999999999" customHeight="1" x14ac:dyDescent="0.2">
      <c r="A84" s="107"/>
      <c r="B84" s="107"/>
      <c r="C84" s="107"/>
      <c r="D84" s="107"/>
      <c r="E84" s="14">
        <v>6</v>
      </c>
      <c r="F84" s="24"/>
      <c r="G84" s="25">
        <v>45882</v>
      </c>
      <c r="H84" s="17">
        <v>5000</v>
      </c>
      <c r="I84" s="18">
        <v>266.81</v>
      </c>
      <c r="J84" s="19">
        <f t="shared" si="5"/>
        <v>5266.81</v>
      </c>
      <c r="K84" s="14" t="s">
        <v>31</v>
      </c>
      <c r="L84" s="19"/>
      <c r="M84" s="20" t="s">
        <v>212</v>
      </c>
      <c r="N84" s="21">
        <v>14.86</v>
      </c>
      <c r="O84" s="107"/>
      <c r="P84" s="22"/>
      <c r="Q84" s="23"/>
      <c r="R84" s="107"/>
      <c r="S84" s="107"/>
      <c r="T84" s="107"/>
      <c r="U84" s="107"/>
      <c r="V84" s="107"/>
    </row>
    <row r="85" spans="1:22" s="12" customFormat="1" ht="19.149999999999999" customHeight="1" x14ac:dyDescent="0.2">
      <c r="A85" s="107"/>
      <c r="B85" s="107"/>
      <c r="C85" s="107"/>
      <c r="D85" s="107"/>
      <c r="E85" s="14">
        <v>4</v>
      </c>
      <c r="F85" s="24"/>
      <c r="G85" s="25">
        <v>45886</v>
      </c>
      <c r="H85" s="17">
        <v>10000</v>
      </c>
      <c r="I85" s="18">
        <v>369</v>
      </c>
      <c r="J85" s="19">
        <f t="shared" si="5"/>
        <v>10369</v>
      </c>
      <c r="K85" s="14" t="s">
        <v>31</v>
      </c>
      <c r="L85" s="100" t="s">
        <v>59</v>
      </c>
      <c r="M85" s="20" t="s">
        <v>212</v>
      </c>
      <c r="N85" s="21">
        <v>15.12</v>
      </c>
      <c r="O85" s="107"/>
      <c r="P85" s="22"/>
      <c r="Q85" s="23"/>
      <c r="R85" s="107"/>
      <c r="S85" s="107"/>
      <c r="T85" s="107"/>
      <c r="U85" s="107"/>
      <c r="V85" s="107"/>
    </row>
    <row r="86" spans="1:22" s="12" customFormat="1" ht="19.149999999999999" customHeight="1" x14ac:dyDescent="0.2">
      <c r="A86" s="107"/>
      <c r="B86" s="107"/>
      <c r="C86" s="107"/>
      <c r="D86" s="107"/>
      <c r="E86" s="14">
        <v>4</v>
      </c>
      <c r="F86" s="24"/>
      <c r="G86" s="25">
        <v>45887</v>
      </c>
      <c r="H86" s="17">
        <v>10000</v>
      </c>
      <c r="I86" s="18">
        <v>380.38</v>
      </c>
      <c r="J86" s="19">
        <f t="shared" si="5"/>
        <v>10380.379999999999</v>
      </c>
      <c r="K86" s="14" t="s">
        <v>31</v>
      </c>
      <c r="L86" s="100"/>
      <c r="M86" s="20" t="s">
        <v>212</v>
      </c>
      <c r="N86" s="21">
        <v>14.82</v>
      </c>
      <c r="O86" s="107"/>
      <c r="P86" s="22"/>
      <c r="Q86" s="23"/>
      <c r="R86" s="107"/>
      <c r="S86" s="107"/>
      <c r="T86" s="107"/>
      <c r="U86" s="107"/>
      <c r="V86" s="107"/>
    </row>
    <row r="87" spans="1:22" s="12" customFormat="1" ht="19.149999999999999" customHeight="1" x14ac:dyDescent="0.2">
      <c r="A87" s="107"/>
      <c r="B87" s="107"/>
      <c r="C87" s="107"/>
      <c r="D87" s="107"/>
      <c r="E87" s="14">
        <v>4</v>
      </c>
      <c r="F87" s="24"/>
      <c r="G87" s="25">
        <v>45893</v>
      </c>
      <c r="H87" s="17">
        <v>5000</v>
      </c>
      <c r="I87" s="18">
        <v>162.71</v>
      </c>
      <c r="J87" s="19">
        <f t="shared" si="5"/>
        <v>5162.71</v>
      </c>
      <c r="K87" s="14" t="s">
        <v>31</v>
      </c>
      <c r="L87" s="100" t="s">
        <v>59</v>
      </c>
      <c r="M87" s="20" t="s">
        <v>212</v>
      </c>
      <c r="N87" s="21">
        <v>14.72</v>
      </c>
      <c r="O87" s="107"/>
      <c r="P87" s="22"/>
      <c r="Q87" s="23"/>
      <c r="R87" s="107"/>
      <c r="S87" s="107"/>
      <c r="T87" s="107"/>
      <c r="U87" s="107"/>
      <c r="V87" s="107"/>
    </row>
    <row r="88" spans="1:22" s="12" customFormat="1" ht="19.149999999999999" customHeight="1" x14ac:dyDescent="0.2">
      <c r="A88" s="107"/>
      <c r="B88" s="107"/>
      <c r="C88" s="107"/>
      <c r="D88" s="107"/>
      <c r="E88" s="14">
        <v>5</v>
      </c>
      <c r="F88" s="24"/>
      <c r="G88" s="25">
        <v>45894</v>
      </c>
      <c r="H88" s="17">
        <v>10000</v>
      </c>
      <c r="I88" s="18">
        <v>457.38</v>
      </c>
      <c r="J88" s="19">
        <f t="shared" si="5"/>
        <v>10457.379999999999</v>
      </c>
      <c r="K88" s="14" t="s">
        <v>31</v>
      </c>
      <c r="L88" s="100"/>
      <c r="M88" s="20" t="s">
        <v>212</v>
      </c>
      <c r="N88" s="21">
        <v>14.26</v>
      </c>
      <c r="O88" s="107"/>
      <c r="P88" s="22"/>
      <c r="Q88" s="23"/>
      <c r="R88" s="107"/>
      <c r="S88" s="107"/>
      <c r="T88" s="107"/>
      <c r="U88" s="107"/>
      <c r="V88" s="107"/>
    </row>
    <row r="89" spans="1:22" s="12" customFormat="1" ht="19.149999999999999" customHeight="1" x14ac:dyDescent="0.2">
      <c r="A89" s="107"/>
      <c r="B89" s="107"/>
      <c r="C89" s="107"/>
      <c r="D89" s="107"/>
      <c r="E89" s="14">
        <v>6</v>
      </c>
      <c r="F89" s="24"/>
      <c r="G89" s="25">
        <v>45920</v>
      </c>
      <c r="H89" s="17">
        <v>6000</v>
      </c>
      <c r="I89" s="18">
        <v>372.23</v>
      </c>
      <c r="J89" s="19">
        <f t="shared" si="5"/>
        <v>6372.23</v>
      </c>
      <c r="K89" s="14" t="s">
        <v>31</v>
      </c>
      <c r="L89" s="166" t="s">
        <v>32</v>
      </c>
      <c r="M89" s="20" t="s">
        <v>212</v>
      </c>
      <c r="N89" s="21">
        <v>14.02</v>
      </c>
      <c r="O89" s="107"/>
      <c r="P89" s="22"/>
      <c r="Q89" s="23"/>
      <c r="R89" s="107"/>
      <c r="S89" s="107"/>
      <c r="T89" s="107"/>
      <c r="U89" s="107"/>
      <c r="V89" s="107"/>
    </row>
    <row r="90" spans="1:22" s="12" customFormat="1" ht="19.149999999999999" customHeight="1" x14ac:dyDescent="0.2">
      <c r="A90" s="107"/>
      <c r="B90" s="28"/>
      <c r="C90" s="107"/>
      <c r="D90" s="107"/>
      <c r="E90" s="14">
        <v>5</v>
      </c>
      <c r="F90" s="24"/>
      <c r="G90" s="25">
        <v>45904</v>
      </c>
      <c r="H90" s="17">
        <v>10000</v>
      </c>
      <c r="I90" s="18">
        <v>453.07</v>
      </c>
      <c r="J90" s="19">
        <f t="shared" si="5"/>
        <v>10453.07</v>
      </c>
      <c r="K90" s="14" t="s">
        <v>31</v>
      </c>
      <c r="L90" s="162" t="s">
        <v>98</v>
      </c>
      <c r="M90" s="20" t="s">
        <v>212</v>
      </c>
      <c r="N90" s="21">
        <v>14.4</v>
      </c>
      <c r="O90" s="107"/>
      <c r="P90" s="22"/>
      <c r="Q90" s="23"/>
      <c r="R90" s="107"/>
      <c r="S90" s="107"/>
      <c r="T90" s="107"/>
      <c r="U90" s="107"/>
      <c r="V90" s="107"/>
    </row>
    <row r="91" spans="1:22" s="12" customFormat="1" ht="19.149999999999999" customHeight="1" x14ac:dyDescent="0.2">
      <c r="A91" s="107"/>
      <c r="B91" s="107"/>
      <c r="C91" s="107"/>
      <c r="D91" s="107"/>
      <c r="E91" s="14">
        <v>5</v>
      </c>
      <c r="F91" s="24"/>
      <c r="G91" s="25">
        <v>45920</v>
      </c>
      <c r="H91" s="17">
        <v>10000</v>
      </c>
      <c r="I91" s="18">
        <v>475.86</v>
      </c>
      <c r="J91" s="19">
        <f t="shared" si="5"/>
        <v>10475.86</v>
      </c>
      <c r="K91" s="14" t="s">
        <v>31</v>
      </c>
      <c r="L91" s="100" t="s">
        <v>32</v>
      </c>
      <c r="M91" s="20" t="s">
        <v>212</v>
      </c>
      <c r="N91" s="21">
        <v>14.83</v>
      </c>
      <c r="O91" s="107"/>
      <c r="P91" s="22"/>
      <c r="Q91" s="23"/>
      <c r="R91" s="107"/>
      <c r="S91" s="107"/>
      <c r="T91" s="107"/>
      <c r="U91" s="107"/>
      <c r="V91" s="107"/>
    </row>
    <row r="92" spans="1:22" s="12" customFormat="1" ht="19.149999999999999" customHeight="1" x14ac:dyDescent="0.2">
      <c r="A92" s="107"/>
      <c r="B92" s="107"/>
      <c r="C92" s="107"/>
      <c r="D92" s="107"/>
      <c r="E92" s="14">
        <v>5</v>
      </c>
      <c r="F92" s="24"/>
      <c r="G92" s="25">
        <v>45914</v>
      </c>
      <c r="H92" s="17">
        <v>10000</v>
      </c>
      <c r="I92" s="18">
        <v>519.5</v>
      </c>
      <c r="J92" s="19">
        <f t="shared" si="5"/>
        <v>10519.5</v>
      </c>
      <c r="K92" s="14" t="s">
        <v>31</v>
      </c>
      <c r="L92" s="100"/>
      <c r="M92" s="20" t="s">
        <v>212</v>
      </c>
      <c r="N92" s="21">
        <v>14.08</v>
      </c>
      <c r="O92" s="107"/>
      <c r="P92" s="22"/>
      <c r="Q92" s="23"/>
      <c r="R92" s="107"/>
      <c r="S92" s="107"/>
      <c r="T92" s="107"/>
      <c r="U92" s="107"/>
      <c r="V92" s="107"/>
    </row>
    <row r="93" spans="1:22" s="12" customFormat="1" ht="19.149999999999999" customHeight="1" x14ac:dyDescent="0.2">
      <c r="A93" s="107"/>
      <c r="B93" s="107"/>
      <c r="C93" s="107"/>
      <c r="D93" s="107"/>
      <c r="E93" s="14">
        <v>6</v>
      </c>
      <c r="F93" s="24"/>
      <c r="G93" s="25">
        <v>45924</v>
      </c>
      <c r="H93" s="17">
        <v>5000</v>
      </c>
      <c r="I93" s="18">
        <v>269.5</v>
      </c>
      <c r="J93" s="19">
        <f t="shared" si="5"/>
        <v>5269.5</v>
      </c>
      <c r="K93" s="14" t="s">
        <v>31</v>
      </c>
      <c r="L93" s="100"/>
      <c r="M93" s="20" t="s">
        <v>212</v>
      </c>
      <c r="N93" s="21">
        <v>14</v>
      </c>
      <c r="O93" s="107"/>
      <c r="P93" s="22"/>
      <c r="Q93" s="23"/>
      <c r="R93" s="107"/>
      <c r="S93" s="107"/>
      <c r="T93" s="107"/>
      <c r="U93" s="107"/>
      <c r="V93" s="107"/>
    </row>
    <row r="94" spans="1:22" s="12" customFormat="1" ht="19.149999999999999" customHeight="1" x14ac:dyDescent="0.2">
      <c r="A94" s="107"/>
      <c r="B94" s="107"/>
      <c r="C94" s="107"/>
      <c r="D94" s="107"/>
      <c r="E94" s="14">
        <v>6</v>
      </c>
      <c r="F94" s="24"/>
      <c r="G94" s="25">
        <v>45937</v>
      </c>
      <c r="H94" s="17">
        <v>10000</v>
      </c>
      <c r="I94" s="18">
        <v>570.53</v>
      </c>
      <c r="J94" s="19">
        <f t="shared" si="5"/>
        <v>10570.53</v>
      </c>
      <c r="K94" s="14" t="s">
        <v>31</v>
      </c>
      <c r="L94" s="162" t="s">
        <v>99</v>
      </c>
      <c r="M94" s="20" t="s">
        <v>212</v>
      </c>
      <c r="N94" s="21">
        <v>14.9</v>
      </c>
      <c r="O94" s="107"/>
      <c r="P94" s="22"/>
      <c r="Q94" s="23"/>
      <c r="R94" s="107"/>
      <c r="S94" s="107"/>
      <c r="T94" s="107"/>
      <c r="U94" s="107"/>
      <c r="V94" s="107"/>
    </row>
    <row r="95" spans="1:22" s="12" customFormat="1" ht="19.149999999999999" customHeight="1" x14ac:dyDescent="0.2">
      <c r="A95" s="107"/>
      <c r="B95" s="107"/>
      <c r="C95" s="107"/>
      <c r="D95" s="107"/>
      <c r="E95" s="14">
        <v>6</v>
      </c>
      <c r="F95" s="24"/>
      <c r="G95" s="25">
        <v>45945</v>
      </c>
      <c r="H95" s="17">
        <v>15000</v>
      </c>
      <c r="I95" s="18">
        <v>904.37</v>
      </c>
      <c r="J95" s="19">
        <f t="shared" si="5"/>
        <v>15904.37</v>
      </c>
      <c r="K95" s="14" t="s">
        <v>31</v>
      </c>
      <c r="L95" s="100"/>
      <c r="M95" s="20" t="s">
        <v>212</v>
      </c>
      <c r="N95" s="21">
        <v>15.65</v>
      </c>
      <c r="O95" s="107"/>
      <c r="P95" s="22"/>
      <c r="Q95" s="23"/>
      <c r="R95" s="107"/>
      <c r="S95" s="107"/>
      <c r="T95" s="107"/>
      <c r="U95" s="107"/>
      <c r="V95" s="107"/>
    </row>
    <row r="96" spans="1:22" s="12" customFormat="1" ht="19.149999999999999" customHeight="1" x14ac:dyDescent="0.2">
      <c r="A96" s="107"/>
      <c r="B96" s="107"/>
      <c r="C96" s="107"/>
      <c r="D96" s="107"/>
      <c r="E96" s="14">
        <v>6</v>
      </c>
      <c r="F96" s="24"/>
      <c r="G96" s="25">
        <v>45946</v>
      </c>
      <c r="H96" s="17">
        <v>10000</v>
      </c>
      <c r="I96" s="18">
        <v>612.41999999999996</v>
      </c>
      <c r="J96" s="19">
        <f>SUM(H96:I96)</f>
        <v>10612.42</v>
      </c>
      <c r="K96" s="14" t="s">
        <v>31</v>
      </c>
      <c r="L96" s="166" t="s">
        <v>100</v>
      </c>
      <c r="M96" s="20" t="s">
        <v>215</v>
      </c>
      <c r="N96" s="21">
        <v>13.83</v>
      </c>
      <c r="O96" s="107"/>
      <c r="P96" s="22"/>
      <c r="Q96" s="23"/>
      <c r="R96" s="107"/>
      <c r="S96" s="107"/>
      <c r="T96" s="107"/>
      <c r="U96" s="107"/>
      <c r="V96" s="107"/>
    </row>
    <row r="97" spans="1:22" s="12" customFormat="1" ht="19.149999999999999" customHeight="1" x14ac:dyDescent="0.2">
      <c r="A97" s="107"/>
      <c r="B97" s="107"/>
      <c r="C97" s="107"/>
      <c r="D97" s="107"/>
      <c r="E97" s="14">
        <v>6</v>
      </c>
      <c r="F97" s="24"/>
      <c r="G97" s="25">
        <v>45953</v>
      </c>
      <c r="H97" s="17">
        <v>10000</v>
      </c>
      <c r="I97" s="18">
        <v>613.69000000000005</v>
      </c>
      <c r="J97" s="19">
        <f t="shared" ref="J97:J99" si="6">SUM(H97:I97)</f>
        <v>10613.69</v>
      </c>
      <c r="K97" s="14" t="s">
        <v>31</v>
      </c>
      <c r="L97" s="162" t="s">
        <v>101</v>
      </c>
      <c r="M97" s="20" t="s">
        <v>212</v>
      </c>
      <c r="N97" s="21">
        <v>15.95</v>
      </c>
      <c r="O97" s="107"/>
      <c r="P97" s="22"/>
      <c r="Q97" s="23"/>
      <c r="R97" s="107"/>
      <c r="S97" s="107"/>
      <c r="T97" s="107"/>
      <c r="U97" s="107"/>
      <c r="V97" s="107"/>
    </row>
    <row r="98" spans="1:22" s="12" customFormat="1" ht="19.149999999999999" customHeight="1" x14ac:dyDescent="0.2">
      <c r="A98" s="107"/>
      <c r="B98" s="107"/>
      <c r="C98" s="107"/>
      <c r="D98" s="107"/>
      <c r="E98" s="14">
        <v>6</v>
      </c>
      <c r="F98" s="24"/>
      <c r="G98" s="25">
        <v>45946</v>
      </c>
      <c r="H98" s="17">
        <v>10000</v>
      </c>
      <c r="I98" s="18">
        <v>543.33000000000004</v>
      </c>
      <c r="J98" s="19">
        <f t="shared" si="6"/>
        <v>10543.33</v>
      </c>
      <c r="K98" s="14" t="s">
        <v>31</v>
      </c>
      <c r="L98" s="162" t="s">
        <v>102</v>
      </c>
      <c r="M98" s="20" t="s">
        <v>212</v>
      </c>
      <c r="N98" s="21">
        <v>12.98</v>
      </c>
      <c r="O98" s="107"/>
      <c r="P98" s="22"/>
      <c r="Q98" s="23"/>
      <c r="R98" s="107"/>
      <c r="S98" s="107"/>
      <c r="T98" s="107"/>
      <c r="U98" s="107"/>
      <c r="V98" s="107"/>
    </row>
    <row r="99" spans="1:22" s="12" customFormat="1" ht="19.149999999999999" customHeight="1" x14ac:dyDescent="0.2">
      <c r="A99" s="209"/>
      <c r="B99" s="209"/>
      <c r="C99" s="209"/>
      <c r="D99" s="107"/>
      <c r="E99" s="14">
        <v>6</v>
      </c>
      <c r="F99" s="24"/>
      <c r="G99" s="25">
        <v>45965</v>
      </c>
      <c r="H99" s="17">
        <v>15000</v>
      </c>
      <c r="I99" s="18">
        <v>808.5</v>
      </c>
      <c r="J99" s="19">
        <f t="shared" si="6"/>
        <v>15808.5</v>
      </c>
      <c r="K99" s="14" t="s">
        <v>31</v>
      </c>
      <c r="L99" s="188" t="s">
        <v>267</v>
      </c>
      <c r="M99" s="20" t="s">
        <v>216</v>
      </c>
      <c r="N99" s="21">
        <v>14</v>
      </c>
      <c r="O99" s="107"/>
      <c r="P99" s="22"/>
      <c r="Q99" s="23"/>
      <c r="R99" s="107"/>
      <c r="S99" s="107"/>
      <c r="T99" s="107"/>
      <c r="U99" s="107"/>
      <c r="V99" s="107"/>
    </row>
    <row r="100" spans="1:22" s="12" customFormat="1" ht="19.149999999999999" customHeight="1" x14ac:dyDescent="0.2">
      <c r="A100" s="209"/>
      <c r="B100" s="209"/>
      <c r="C100" s="209"/>
      <c r="D100" s="107"/>
      <c r="E100" s="14">
        <v>7</v>
      </c>
      <c r="F100" s="24">
        <v>46061</v>
      </c>
      <c r="G100" s="25"/>
      <c r="H100" s="17">
        <v>10000</v>
      </c>
      <c r="I100" s="18">
        <v>560.55999999999995</v>
      </c>
      <c r="J100" s="19">
        <f t="shared" ref="J100:J108" si="7">SUM(H100:I100)</f>
        <v>10560.56</v>
      </c>
      <c r="K100" s="14" t="str">
        <f t="shared" ref="K100" ca="1" si="8">IF(F100&lt;=TODAY(),"Check!","Waiting")</f>
        <v>Waiting</v>
      </c>
      <c r="L100" s="19"/>
      <c r="M100" s="20" t="s">
        <v>217</v>
      </c>
      <c r="N100" s="21">
        <v>14.55</v>
      </c>
      <c r="O100" s="107"/>
      <c r="P100" s="22"/>
      <c r="Q100" s="23"/>
      <c r="R100" s="107"/>
      <c r="S100" s="107"/>
      <c r="T100" s="107"/>
      <c r="U100" s="107"/>
      <c r="V100" s="107"/>
    </row>
    <row r="101" spans="1:22" s="12" customFormat="1" ht="19.149999999999999" customHeight="1" x14ac:dyDescent="0.2">
      <c r="A101" s="209"/>
      <c r="B101" s="209"/>
      <c r="C101" s="209"/>
      <c r="D101" s="107"/>
      <c r="E101" s="14">
        <v>6</v>
      </c>
      <c r="F101" s="24">
        <v>46072</v>
      </c>
      <c r="G101" s="25"/>
      <c r="H101" s="17">
        <v>10000</v>
      </c>
      <c r="I101" s="18">
        <v>511.28</v>
      </c>
      <c r="J101" s="19">
        <f t="shared" si="7"/>
        <v>10511.28</v>
      </c>
      <c r="K101" s="14" t="str">
        <f t="shared" ref="K101:K108" ca="1" si="9">IF(F101&lt;=TODAY(),"Check!","Waiting")</f>
        <v>Waiting</v>
      </c>
      <c r="L101" s="19"/>
      <c r="M101" s="20" t="s">
        <v>218</v>
      </c>
      <c r="N101" s="21">
        <v>13.28</v>
      </c>
      <c r="O101" s="107"/>
      <c r="P101" s="22"/>
      <c r="Q101" s="23"/>
      <c r="R101" s="107"/>
      <c r="S101" s="107"/>
      <c r="T101" s="107"/>
      <c r="U101" s="107"/>
      <c r="V101" s="107"/>
    </row>
    <row r="102" spans="1:22" s="12" customFormat="1" ht="19.149999999999999" customHeight="1" x14ac:dyDescent="0.2">
      <c r="A102" s="209"/>
      <c r="B102" s="209"/>
      <c r="C102" s="209"/>
      <c r="D102" s="107"/>
      <c r="E102" s="14">
        <v>24</v>
      </c>
      <c r="F102" s="24">
        <v>46617</v>
      </c>
      <c r="G102" s="25"/>
      <c r="H102" s="17">
        <v>20000</v>
      </c>
      <c r="I102" s="18">
        <v>4543</v>
      </c>
      <c r="J102" s="19">
        <f t="shared" si="7"/>
        <v>24543</v>
      </c>
      <c r="K102" s="14" t="str">
        <f t="shared" ca="1" si="9"/>
        <v>Waiting</v>
      </c>
      <c r="L102" s="19"/>
      <c r="M102" s="20" t="s">
        <v>219</v>
      </c>
      <c r="N102" s="21">
        <v>14.75</v>
      </c>
      <c r="O102" s="107"/>
      <c r="P102" s="22"/>
      <c r="Q102" s="23"/>
      <c r="R102" s="107"/>
      <c r="S102" s="107"/>
      <c r="T102" s="107"/>
      <c r="U102" s="107"/>
      <c r="V102" s="107"/>
    </row>
    <row r="103" spans="1:22" s="12" customFormat="1" ht="19.149999999999999" customHeight="1" x14ac:dyDescent="0.2">
      <c r="A103" s="209"/>
      <c r="B103" s="209"/>
      <c r="C103" s="209"/>
      <c r="D103" s="107"/>
      <c r="E103" s="14">
        <v>24</v>
      </c>
      <c r="F103" s="24">
        <v>46617</v>
      </c>
      <c r="G103" s="25"/>
      <c r="H103" s="17">
        <v>10000</v>
      </c>
      <c r="I103" s="18">
        <v>1925</v>
      </c>
      <c r="J103" s="19">
        <f t="shared" si="7"/>
        <v>11925</v>
      </c>
      <c r="K103" s="14" t="str">
        <f t="shared" ca="1" si="9"/>
        <v>Waiting</v>
      </c>
      <c r="L103" s="19"/>
      <c r="M103" s="20" t="s">
        <v>220</v>
      </c>
      <c r="N103" s="21">
        <v>12.5</v>
      </c>
      <c r="O103" s="107"/>
      <c r="P103" s="22"/>
      <c r="Q103" s="23"/>
      <c r="R103" s="107"/>
      <c r="S103" s="107"/>
      <c r="T103" s="107"/>
      <c r="U103" s="107"/>
      <c r="V103" s="107"/>
    </row>
    <row r="104" spans="1:22" s="12" customFormat="1" ht="19.149999999999999" customHeight="1" x14ac:dyDescent="0.2">
      <c r="A104" s="209"/>
      <c r="B104" s="209"/>
      <c r="C104" s="209"/>
      <c r="D104" s="107"/>
      <c r="E104" s="14">
        <v>6</v>
      </c>
      <c r="F104" s="24">
        <v>46072</v>
      </c>
      <c r="G104" s="25"/>
      <c r="H104" s="17">
        <v>10000</v>
      </c>
      <c r="I104" s="18">
        <v>572.11</v>
      </c>
      <c r="J104" s="19">
        <f t="shared" si="7"/>
        <v>10572.11</v>
      </c>
      <c r="K104" s="14" t="str">
        <f t="shared" ca="1" si="9"/>
        <v>Waiting</v>
      </c>
      <c r="L104" s="19"/>
      <c r="M104" s="20" t="s">
        <v>221</v>
      </c>
      <c r="N104" s="21">
        <v>14.85</v>
      </c>
      <c r="O104" s="107"/>
      <c r="P104" s="22"/>
      <c r="Q104" s="23"/>
      <c r="R104" s="107"/>
      <c r="S104" s="107"/>
      <c r="T104" s="107"/>
      <c r="U104" s="107"/>
      <c r="V104" s="107"/>
    </row>
    <row r="105" spans="1:22" s="12" customFormat="1" ht="19.149999999999999" customHeight="1" x14ac:dyDescent="0.2">
      <c r="A105" s="107"/>
      <c r="B105" s="107"/>
      <c r="C105" s="107"/>
      <c r="D105" s="107"/>
      <c r="E105" s="14">
        <v>6</v>
      </c>
      <c r="F105" s="24">
        <v>46072</v>
      </c>
      <c r="G105" s="25"/>
      <c r="H105" s="17">
        <v>10000</v>
      </c>
      <c r="I105" s="18">
        <v>572.11</v>
      </c>
      <c r="J105" s="19">
        <f t="shared" si="7"/>
        <v>10572.11</v>
      </c>
      <c r="K105" s="14" t="str">
        <f t="shared" ca="1" si="9"/>
        <v>Waiting</v>
      </c>
      <c r="L105" s="19"/>
      <c r="M105" s="20" t="s">
        <v>221</v>
      </c>
      <c r="N105" s="21">
        <v>14.85</v>
      </c>
      <c r="O105" s="107"/>
      <c r="P105" s="22"/>
      <c r="Q105" s="23"/>
      <c r="R105" s="107"/>
      <c r="S105" s="107"/>
      <c r="T105" s="107"/>
      <c r="U105" s="107"/>
      <c r="V105" s="107"/>
    </row>
    <row r="106" spans="1:22" s="12" customFormat="1" ht="19.149999999999999" customHeight="1" x14ac:dyDescent="0.2">
      <c r="A106" s="107"/>
      <c r="B106" s="107"/>
      <c r="C106" s="107"/>
      <c r="D106" s="107"/>
      <c r="E106" s="14">
        <v>4</v>
      </c>
      <c r="F106" s="24"/>
      <c r="G106" s="25">
        <v>45960</v>
      </c>
      <c r="H106" s="17">
        <v>10000</v>
      </c>
      <c r="I106" s="18">
        <v>187.3</v>
      </c>
      <c r="J106" s="19">
        <f t="shared" si="7"/>
        <v>10187.299999999999</v>
      </c>
      <c r="K106" s="14" t="s">
        <v>31</v>
      </c>
      <c r="L106" s="162" t="s">
        <v>109</v>
      </c>
      <c r="M106" s="20" t="s">
        <v>222</v>
      </c>
      <c r="N106" s="21">
        <v>13.93</v>
      </c>
      <c r="O106" s="107"/>
      <c r="P106" s="22"/>
      <c r="Q106" s="23"/>
      <c r="R106" s="107"/>
      <c r="S106" s="107"/>
      <c r="T106" s="107"/>
      <c r="U106" s="107"/>
      <c r="V106" s="107"/>
    </row>
    <row r="107" spans="1:22" s="12" customFormat="1" ht="19.149999999999999" customHeight="1" x14ac:dyDescent="0.2">
      <c r="A107" s="107"/>
      <c r="B107" s="107"/>
      <c r="C107" s="107"/>
      <c r="D107" s="107"/>
      <c r="E107" s="14">
        <v>3</v>
      </c>
      <c r="F107" s="24">
        <v>45986</v>
      </c>
      <c r="G107" s="25"/>
      <c r="H107" s="17">
        <v>10000</v>
      </c>
      <c r="I107" s="18">
        <v>280.27999999999997</v>
      </c>
      <c r="J107" s="19">
        <f t="shared" si="7"/>
        <v>10280.280000000001</v>
      </c>
      <c r="K107" s="14" t="str">
        <f t="shared" ca="1" si="9"/>
        <v>Waiting</v>
      </c>
      <c r="L107" s="19"/>
      <c r="M107" s="20" t="s">
        <v>223</v>
      </c>
      <c r="N107" s="21">
        <v>14.55</v>
      </c>
      <c r="O107" s="107"/>
      <c r="P107" s="22"/>
      <c r="Q107" s="23"/>
      <c r="R107" s="107"/>
      <c r="S107" s="107"/>
      <c r="T107" s="107"/>
      <c r="U107" s="107"/>
      <c r="V107" s="107"/>
    </row>
    <row r="108" spans="1:22" s="12" customFormat="1" ht="19.149999999999999" customHeight="1" x14ac:dyDescent="0.2">
      <c r="A108" s="107"/>
      <c r="B108" s="107"/>
      <c r="C108" s="107"/>
      <c r="D108" s="107"/>
      <c r="E108" s="14">
        <v>5</v>
      </c>
      <c r="F108" s="24">
        <v>46047</v>
      </c>
      <c r="G108" s="25"/>
      <c r="H108" s="17">
        <v>10000</v>
      </c>
      <c r="I108" s="18">
        <v>463.54</v>
      </c>
      <c r="J108" s="19">
        <f t="shared" si="7"/>
        <v>10463.540000000001</v>
      </c>
      <c r="K108" s="14" t="str">
        <f t="shared" ca="1" si="9"/>
        <v>Waiting</v>
      </c>
      <c r="L108" s="19"/>
      <c r="M108" s="20" t="s">
        <v>224</v>
      </c>
      <c r="N108" s="21">
        <v>14.45</v>
      </c>
      <c r="O108" s="107"/>
      <c r="P108" s="22"/>
      <c r="Q108" s="23"/>
      <c r="R108" s="107"/>
      <c r="S108" s="107"/>
      <c r="T108" s="107"/>
      <c r="U108" s="107"/>
      <c r="V108" s="107"/>
    </row>
    <row r="109" spans="1:22" s="12" customFormat="1" ht="19.149999999999999" customHeight="1" x14ac:dyDescent="0.2">
      <c r="A109" s="107"/>
      <c r="B109" s="107"/>
      <c r="C109" s="107"/>
      <c r="D109" s="107"/>
      <c r="E109" s="14"/>
      <c r="F109" s="24"/>
      <c r="G109" s="25"/>
      <c r="H109" s="17"/>
      <c r="I109" s="18"/>
      <c r="J109" s="19"/>
      <c r="K109" s="14"/>
      <c r="L109" s="19"/>
      <c r="M109" s="20"/>
      <c r="N109" s="21"/>
      <c r="O109" s="107"/>
      <c r="P109" s="22"/>
      <c r="Q109" s="23"/>
      <c r="R109" s="107"/>
      <c r="S109" s="107"/>
      <c r="T109" s="107"/>
      <c r="U109" s="107"/>
      <c r="V109" s="107"/>
    </row>
    <row r="110" spans="1:22" s="12" customFormat="1" ht="19.149999999999999" customHeight="1" x14ac:dyDescent="0.2">
      <c r="A110" s="107"/>
      <c r="B110" s="107"/>
      <c r="C110" s="107"/>
      <c r="D110" s="107"/>
      <c r="E110" s="14"/>
      <c r="F110" s="24"/>
      <c r="G110" s="25"/>
      <c r="H110" s="17"/>
      <c r="I110" s="18"/>
      <c r="J110" s="19"/>
      <c r="K110" s="14"/>
      <c r="L110" s="19"/>
      <c r="M110" s="20"/>
      <c r="N110" s="21"/>
      <c r="O110" s="107"/>
      <c r="P110" s="22"/>
      <c r="Q110" s="23"/>
      <c r="R110" s="107"/>
      <c r="S110" s="107"/>
      <c r="T110" s="107"/>
      <c r="U110" s="107"/>
      <c r="V110" s="107"/>
    </row>
    <row r="111" spans="1:22" s="12" customFormat="1" ht="19.149999999999999" customHeight="1" x14ac:dyDescent="0.2">
      <c r="A111" s="107"/>
      <c r="B111" s="107"/>
      <c r="C111" s="107"/>
      <c r="D111" s="107"/>
      <c r="E111" s="14"/>
      <c r="F111" s="24"/>
      <c r="G111" s="25"/>
      <c r="H111" s="17"/>
      <c r="I111" s="18"/>
      <c r="J111" s="19"/>
      <c r="K111" s="14"/>
      <c r="L111" s="19"/>
      <c r="M111" s="20"/>
      <c r="N111" s="21"/>
      <c r="O111" s="107"/>
      <c r="P111" s="22"/>
      <c r="Q111" s="23"/>
      <c r="R111" s="107"/>
      <c r="S111" s="107"/>
      <c r="T111" s="107"/>
      <c r="U111" s="107"/>
      <c r="V111" s="107"/>
    </row>
    <row r="112" spans="1:22" s="12" customFormat="1" ht="19.149999999999999" customHeight="1" x14ac:dyDescent="0.2">
      <c r="A112" s="107"/>
      <c r="B112" s="28"/>
      <c r="C112" s="107"/>
      <c r="D112" s="107"/>
      <c r="E112" s="14"/>
      <c r="F112" s="24"/>
      <c r="G112" s="25"/>
      <c r="H112" s="17"/>
      <c r="I112" s="18"/>
      <c r="J112" s="19"/>
      <c r="K112" s="14"/>
      <c r="L112" s="19"/>
      <c r="M112" s="20"/>
      <c r="N112" s="21"/>
      <c r="O112" s="107"/>
      <c r="P112" s="22"/>
      <c r="Q112" s="23"/>
      <c r="R112" s="107"/>
      <c r="S112" s="107"/>
      <c r="T112" s="107"/>
      <c r="U112" s="107"/>
      <c r="V112" s="107"/>
    </row>
    <row r="113" spans="1:22" s="12" customFormat="1" ht="19.149999999999999" customHeight="1" x14ac:dyDescent="0.2">
      <c r="A113" s="107"/>
      <c r="B113" s="107"/>
      <c r="C113" s="107"/>
      <c r="D113" s="107"/>
      <c r="E113" s="14"/>
      <c r="F113" s="24"/>
      <c r="G113" s="25"/>
      <c r="H113" s="17"/>
      <c r="I113" s="18"/>
      <c r="J113" s="19"/>
      <c r="K113" s="14"/>
      <c r="L113" s="19"/>
      <c r="M113" s="20"/>
      <c r="N113" s="21"/>
      <c r="O113" s="107"/>
      <c r="P113" s="22"/>
      <c r="Q113" s="23"/>
      <c r="R113" s="107"/>
      <c r="S113" s="107"/>
      <c r="T113" s="107"/>
      <c r="U113" s="107"/>
      <c r="V113" s="107"/>
    </row>
    <row r="114" spans="1:22" s="12" customFormat="1" ht="19.149999999999999" customHeight="1" x14ac:dyDescent="0.2">
      <c r="A114" s="107"/>
      <c r="B114" s="107"/>
      <c r="C114" s="107"/>
      <c r="D114" s="107"/>
      <c r="E114" s="14"/>
      <c r="F114" s="24"/>
      <c r="G114" s="25"/>
      <c r="H114" s="17"/>
      <c r="I114" s="18"/>
      <c r="J114" s="19"/>
      <c r="K114" s="14"/>
      <c r="L114" s="19"/>
      <c r="M114" s="20"/>
      <c r="N114" s="21"/>
      <c r="O114" s="107"/>
      <c r="P114" s="22"/>
      <c r="Q114" s="23"/>
      <c r="R114" s="107"/>
      <c r="S114" s="107"/>
      <c r="T114" s="107"/>
      <c r="U114" s="107"/>
      <c r="V114" s="107"/>
    </row>
    <row r="115" spans="1:22" s="12" customFormat="1" ht="19.149999999999999" customHeight="1" x14ac:dyDescent="0.2">
      <c r="A115" s="107"/>
      <c r="B115" s="107"/>
      <c r="C115" s="107"/>
      <c r="D115" s="107"/>
      <c r="E115" s="14"/>
      <c r="F115" s="24"/>
      <c r="G115" s="25"/>
      <c r="H115" s="17"/>
      <c r="I115" s="18"/>
      <c r="J115" s="19"/>
      <c r="K115" s="14"/>
      <c r="L115" s="19"/>
      <c r="M115" s="20"/>
      <c r="N115" s="21"/>
      <c r="O115" s="107"/>
      <c r="P115" s="22"/>
      <c r="Q115" s="23"/>
      <c r="R115" s="107"/>
      <c r="S115" s="107"/>
      <c r="T115" s="107"/>
      <c r="U115" s="107"/>
      <c r="V115" s="107"/>
    </row>
    <row r="116" spans="1:22" s="12" customFormat="1" ht="19.149999999999999" customHeight="1" x14ac:dyDescent="0.2">
      <c r="A116" s="107"/>
      <c r="B116" s="107"/>
      <c r="C116" s="107"/>
      <c r="D116" s="107"/>
      <c r="E116" s="14"/>
      <c r="F116" s="24"/>
      <c r="G116" s="25"/>
      <c r="H116" s="17"/>
      <c r="I116" s="18"/>
      <c r="J116" s="19"/>
      <c r="K116" s="14"/>
      <c r="L116" s="19"/>
      <c r="M116" s="20"/>
      <c r="N116" s="21"/>
      <c r="O116" s="107"/>
      <c r="P116" s="22"/>
      <c r="Q116" s="23"/>
      <c r="R116" s="107"/>
      <c r="S116" s="107"/>
      <c r="T116" s="107"/>
      <c r="U116" s="107"/>
      <c r="V116" s="107"/>
    </row>
    <row r="117" spans="1:22" s="12" customFormat="1" ht="19.149999999999999" customHeight="1" x14ac:dyDescent="0.2">
      <c r="A117" s="107"/>
      <c r="B117" s="107"/>
      <c r="C117" s="30"/>
      <c r="D117" s="107"/>
      <c r="E117" s="14"/>
      <c r="F117" s="24"/>
      <c r="G117" s="25"/>
      <c r="H117" s="17"/>
      <c r="I117" s="18"/>
      <c r="J117" s="19"/>
      <c r="K117" s="14"/>
      <c r="L117" s="19"/>
      <c r="M117" s="20"/>
      <c r="N117" s="21"/>
      <c r="O117" s="107"/>
      <c r="P117" s="22"/>
      <c r="Q117" s="23"/>
      <c r="R117" s="107"/>
      <c r="S117" s="107"/>
      <c r="T117" s="107"/>
      <c r="U117" s="107"/>
      <c r="V117" s="107"/>
    </row>
    <row r="118" spans="1:22" s="12" customFormat="1" ht="19.149999999999999" customHeight="1" x14ac:dyDescent="0.2">
      <c r="A118" s="107"/>
      <c r="B118" s="107"/>
      <c r="C118" s="107"/>
      <c r="D118" s="107"/>
      <c r="E118" s="14"/>
      <c r="F118" s="24"/>
      <c r="G118" s="25"/>
      <c r="H118" s="17"/>
      <c r="I118" s="18"/>
      <c r="J118" s="19"/>
      <c r="K118" s="14"/>
      <c r="L118" s="19"/>
      <c r="M118" s="20"/>
      <c r="N118" s="21"/>
      <c r="O118" s="107"/>
      <c r="P118" s="22"/>
      <c r="Q118" s="23"/>
      <c r="R118" s="107"/>
      <c r="S118" s="107"/>
      <c r="T118" s="107"/>
      <c r="U118" s="107"/>
      <c r="V118" s="107"/>
    </row>
    <row r="119" spans="1:22" s="12" customFormat="1" ht="19.149999999999999" customHeight="1" x14ac:dyDescent="0.2">
      <c r="A119" s="107"/>
      <c r="B119" s="107"/>
      <c r="C119" s="107"/>
      <c r="D119" s="107"/>
      <c r="E119" s="14"/>
      <c r="F119" s="24"/>
      <c r="G119" s="25"/>
      <c r="H119" s="17"/>
      <c r="I119" s="18"/>
      <c r="J119" s="19"/>
      <c r="K119" s="14"/>
      <c r="L119" s="19"/>
      <c r="M119" s="20"/>
      <c r="N119" s="21"/>
      <c r="O119" s="107"/>
      <c r="P119" s="22"/>
      <c r="Q119" s="23"/>
      <c r="R119" s="107"/>
      <c r="S119" s="107"/>
      <c r="T119" s="107"/>
      <c r="U119" s="107"/>
      <c r="V119" s="107"/>
    </row>
    <row r="120" spans="1:22" s="12" customFormat="1" ht="19.149999999999999" customHeight="1" x14ac:dyDescent="0.2">
      <c r="A120" s="107"/>
      <c r="B120" s="107"/>
      <c r="C120" s="107"/>
      <c r="D120" s="107"/>
      <c r="E120" s="14"/>
      <c r="F120" s="24"/>
      <c r="G120" s="25"/>
      <c r="H120" s="17"/>
      <c r="I120" s="18"/>
      <c r="J120" s="19"/>
      <c r="K120" s="14"/>
      <c r="L120" s="19"/>
      <c r="M120" s="20"/>
      <c r="N120" s="21"/>
      <c r="O120" s="107"/>
      <c r="P120" s="22"/>
      <c r="Q120" s="23"/>
      <c r="R120" s="107"/>
      <c r="S120" s="107"/>
      <c r="T120" s="107"/>
      <c r="U120" s="107"/>
      <c r="V120" s="107"/>
    </row>
    <row r="121" spans="1:22" s="12" customFormat="1" ht="19.149999999999999" customHeight="1" x14ac:dyDescent="0.2">
      <c r="A121" s="107"/>
      <c r="B121" s="107"/>
      <c r="C121" s="107"/>
      <c r="D121" s="107"/>
      <c r="E121" s="14"/>
      <c r="F121" s="24"/>
      <c r="G121" s="25"/>
      <c r="H121" s="17"/>
      <c r="I121" s="18"/>
      <c r="J121" s="19"/>
      <c r="K121" s="14"/>
      <c r="L121" s="19"/>
      <c r="M121" s="20"/>
      <c r="N121" s="21"/>
      <c r="O121" s="107"/>
      <c r="P121" s="22"/>
      <c r="Q121" s="23"/>
      <c r="R121" s="107"/>
      <c r="S121" s="107"/>
      <c r="T121" s="107"/>
      <c r="U121" s="107"/>
      <c r="V121" s="107"/>
    </row>
    <row r="122" spans="1:22" s="12" customFormat="1" ht="19.149999999999999" customHeight="1" x14ac:dyDescent="0.2">
      <c r="A122" s="107"/>
      <c r="B122" s="107"/>
      <c r="C122" s="107"/>
      <c r="D122" s="107"/>
      <c r="E122" s="14"/>
      <c r="F122" s="24"/>
      <c r="G122" s="25"/>
      <c r="H122" s="17"/>
      <c r="I122" s="18"/>
      <c r="J122" s="19"/>
      <c r="K122" s="14"/>
      <c r="L122" s="19"/>
      <c r="M122" s="20"/>
      <c r="N122" s="21"/>
      <c r="O122" s="107"/>
      <c r="P122" s="22"/>
      <c r="Q122" s="23"/>
      <c r="R122" s="107"/>
      <c r="S122" s="107"/>
      <c r="T122" s="107"/>
      <c r="U122" s="107"/>
      <c r="V122" s="107"/>
    </row>
    <row r="123" spans="1:22" s="12" customFormat="1" ht="19.149999999999999" customHeight="1" x14ac:dyDescent="0.2">
      <c r="A123" s="107"/>
      <c r="B123" s="107"/>
      <c r="C123" s="107"/>
      <c r="D123" s="107"/>
      <c r="E123" s="14"/>
      <c r="F123" s="24"/>
      <c r="G123" s="25"/>
      <c r="H123" s="17"/>
      <c r="I123" s="18"/>
      <c r="J123" s="19"/>
      <c r="K123" s="14"/>
      <c r="L123" s="19"/>
      <c r="M123" s="20"/>
      <c r="N123" s="21"/>
      <c r="O123" s="107"/>
      <c r="P123" s="22"/>
      <c r="Q123" s="23"/>
      <c r="R123" s="107"/>
      <c r="S123" s="107"/>
      <c r="T123" s="107"/>
      <c r="U123" s="107"/>
      <c r="V123" s="107"/>
    </row>
    <row r="124" spans="1:22" s="12" customFormat="1" ht="19.149999999999999" customHeight="1" x14ac:dyDescent="0.2">
      <c r="A124" s="107"/>
      <c r="B124" s="107"/>
      <c r="C124" s="107"/>
      <c r="D124" s="107"/>
      <c r="E124" s="14"/>
      <c r="F124" s="24"/>
      <c r="G124" s="25"/>
      <c r="H124" s="17"/>
      <c r="I124" s="18"/>
      <c r="J124" s="19"/>
      <c r="K124" s="14"/>
      <c r="L124" s="19"/>
      <c r="M124" s="20"/>
      <c r="N124" s="21"/>
      <c r="O124" s="107"/>
      <c r="P124" s="22"/>
      <c r="Q124" s="23"/>
      <c r="R124" s="107"/>
      <c r="S124" s="107"/>
      <c r="T124" s="107"/>
      <c r="U124" s="107"/>
      <c r="V124" s="107"/>
    </row>
    <row r="125" spans="1:22" s="12" customFormat="1" ht="19.149999999999999" customHeight="1" x14ac:dyDescent="0.2">
      <c r="A125" s="107"/>
      <c r="B125" s="107"/>
      <c r="C125" s="107"/>
      <c r="D125" s="107"/>
      <c r="E125" s="14"/>
      <c r="F125" s="24"/>
      <c r="G125" s="25"/>
      <c r="H125" s="17"/>
      <c r="I125" s="18"/>
      <c r="J125" s="19"/>
      <c r="K125" s="14"/>
      <c r="L125" s="19"/>
      <c r="M125" s="20"/>
      <c r="N125" s="21"/>
      <c r="O125" s="107"/>
      <c r="P125" s="22"/>
      <c r="Q125" s="23"/>
      <c r="R125" s="107"/>
      <c r="S125" s="107"/>
      <c r="T125" s="107"/>
      <c r="U125" s="107"/>
      <c r="V125" s="107"/>
    </row>
    <row r="126" spans="1:22" s="12" customFormat="1" ht="19.149999999999999" customHeight="1" x14ac:dyDescent="0.2">
      <c r="A126" s="107"/>
      <c r="B126" s="107"/>
      <c r="C126" s="107"/>
      <c r="D126" s="107"/>
      <c r="E126" s="14"/>
      <c r="F126" s="24"/>
      <c r="G126" s="25"/>
      <c r="H126" s="17"/>
      <c r="I126" s="18"/>
      <c r="J126" s="19"/>
      <c r="K126" s="14"/>
      <c r="L126" s="19"/>
      <c r="M126" s="20"/>
      <c r="N126" s="21"/>
      <c r="O126" s="107"/>
      <c r="P126" s="22"/>
      <c r="Q126" s="23"/>
      <c r="R126" s="107"/>
      <c r="S126" s="107"/>
      <c r="T126" s="107"/>
      <c r="U126" s="107"/>
      <c r="V126" s="107"/>
    </row>
    <row r="127" spans="1:22" s="12" customFormat="1" ht="19.149999999999999" customHeight="1" x14ac:dyDescent="0.2">
      <c r="A127" s="107"/>
      <c r="B127" s="107"/>
      <c r="C127" s="107"/>
      <c r="D127" s="107"/>
      <c r="E127" s="14"/>
      <c r="F127" s="24"/>
      <c r="G127" s="25"/>
      <c r="H127" s="17"/>
      <c r="I127" s="18"/>
      <c r="J127" s="19"/>
      <c r="K127" s="14"/>
      <c r="L127" s="19"/>
      <c r="M127" s="20"/>
      <c r="N127" s="21"/>
      <c r="O127" s="107"/>
      <c r="P127" s="20"/>
      <c r="Q127" s="23"/>
      <c r="R127" s="107"/>
      <c r="S127" s="107"/>
      <c r="T127" s="107"/>
      <c r="U127" s="107"/>
      <c r="V127" s="107"/>
    </row>
    <row r="128" spans="1:22" s="12" customFormat="1" ht="19.149999999999999" customHeight="1" x14ac:dyDescent="0.2">
      <c r="A128" s="107"/>
      <c r="B128" s="107"/>
      <c r="C128" s="107"/>
      <c r="D128" s="107"/>
      <c r="E128" s="14"/>
      <c r="F128" s="24"/>
      <c r="G128" s="25"/>
      <c r="H128" s="17"/>
      <c r="I128" s="18"/>
      <c r="J128" s="19"/>
      <c r="K128" s="14"/>
      <c r="L128" s="19"/>
      <c r="M128" s="20"/>
      <c r="N128" s="21"/>
      <c r="O128" s="107"/>
      <c r="P128" s="20"/>
      <c r="Q128" s="23"/>
      <c r="R128" s="107"/>
      <c r="S128" s="107"/>
      <c r="T128" s="107"/>
      <c r="U128" s="107"/>
      <c r="V128" s="107"/>
    </row>
    <row r="129" spans="1:22" s="12" customFormat="1" ht="19.149999999999999" customHeight="1" x14ac:dyDescent="0.2">
      <c r="A129" s="107"/>
      <c r="B129" s="107"/>
      <c r="C129" s="107"/>
      <c r="D129" s="107"/>
      <c r="E129" s="14"/>
      <c r="F129" s="24"/>
      <c r="G129" s="25"/>
      <c r="H129" s="17"/>
      <c r="I129" s="18"/>
      <c r="J129" s="19"/>
      <c r="K129" s="14"/>
      <c r="L129" s="19"/>
      <c r="M129" s="20"/>
      <c r="N129" s="21"/>
      <c r="O129" s="107"/>
      <c r="P129" s="20"/>
      <c r="Q129" s="23"/>
      <c r="R129" s="107"/>
      <c r="S129" s="107"/>
      <c r="T129" s="107"/>
      <c r="U129" s="107"/>
      <c r="V129" s="107"/>
    </row>
    <row r="130" spans="1:22" s="12" customFormat="1" ht="19.149999999999999" customHeight="1" x14ac:dyDescent="0.2">
      <c r="A130" s="107"/>
      <c r="B130" s="107"/>
      <c r="C130" s="107"/>
      <c r="D130" s="107"/>
      <c r="E130" s="14"/>
      <c r="F130" s="24"/>
      <c r="G130" s="25"/>
      <c r="H130" s="17"/>
      <c r="I130" s="18"/>
      <c r="J130" s="19"/>
      <c r="K130" s="14"/>
      <c r="L130" s="19"/>
      <c r="M130" s="20"/>
      <c r="N130" s="21"/>
      <c r="O130" s="107"/>
      <c r="P130" s="20"/>
      <c r="Q130" s="23"/>
      <c r="R130" s="107"/>
      <c r="S130" s="107"/>
      <c r="T130" s="107"/>
      <c r="U130" s="107"/>
      <c r="V130" s="107"/>
    </row>
    <row r="131" spans="1:22" s="12" customFormat="1" ht="19.149999999999999" customHeight="1" x14ac:dyDescent="0.2">
      <c r="A131" s="107"/>
      <c r="B131" s="107"/>
      <c r="C131" s="107"/>
      <c r="D131" s="107"/>
      <c r="E131" s="14"/>
      <c r="F131" s="24"/>
      <c r="G131" s="25"/>
      <c r="H131" s="17"/>
      <c r="I131" s="18"/>
      <c r="J131" s="19"/>
      <c r="K131" s="14"/>
      <c r="L131" s="19"/>
      <c r="M131" s="20"/>
      <c r="N131" s="21"/>
      <c r="O131" s="107"/>
      <c r="P131" s="22"/>
      <c r="Q131" s="23"/>
      <c r="R131" s="107"/>
      <c r="S131" s="107"/>
      <c r="T131" s="107"/>
      <c r="U131" s="107"/>
      <c r="V131" s="107"/>
    </row>
    <row r="132" spans="1:22" s="12" customFormat="1" ht="19.149999999999999" customHeight="1" x14ac:dyDescent="0.2">
      <c r="A132" s="107"/>
      <c r="B132" s="107"/>
      <c r="C132" s="107"/>
      <c r="D132" s="107"/>
      <c r="E132" s="14"/>
      <c r="F132" s="24"/>
      <c r="G132" s="25"/>
      <c r="H132" s="17"/>
      <c r="I132" s="18"/>
      <c r="J132" s="19"/>
      <c r="K132" s="14"/>
      <c r="L132" s="19"/>
      <c r="M132" s="20"/>
      <c r="N132" s="21"/>
      <c r="O132" s="107"/>
      <c r="P132" s="22"/>
      <c r="Q132" s="23"/>
      <c r="R132" s="107"/>
      <c r="S132" s="107"/>
      <c r="T132" s="107"/>
      <c r="U132" s="107"/>
      <c r="V132" s="107"/>
    </row>
    <row r="133" spans="1:22" s="12" customFormat="1" x14ac:dyDescent="0.2">
      <c r="A133" s="107"/>
      <c r="B133" s="107"/>
      <c r="C133" s="107"/>
      <c r="D133" s="107"/>
      <c r="E133" s="31"/>
      <c r="F133" s="24"/>
      <c r="G133" s="32"/>
      <c r="H133" s="17"/>
      <c r="I133" s="18"/>
      <c r="J133" s="19"/>
      <c r="K133" s="33"/>
      <c r="L133" s="19"/>
      <c r="M133" s="20"/>
      <c r="N133" s="34"/>
      <c r="O133" s="107"/>
      <c r="P133" s="22"/>
      <c r="Q133" s="23"/>
      <c r="R133" s="107"/>
      <c r="S133" s="107"/>
      <c r="T133" s="107"/>
      <c r="U133" s="107"/>
      <c r="V133" s="107"/>
    </row>
    <row r="134" spans="1:22" s="12" customFormat="1" x14ac:dyDescent="0.2">
      <c r="A134" s="107"/>
      <c r="B134" s="28"/>
      <c r="C134" s="107"/>
      <c r="D134" s="107"/>
      <c r="E134" s="35"/>
      <c r="F134" s="36"/>
      <c r="G134" s="37"/>
      <c r="H134" s="38"/>
      <c r="I134" s="39"/>
      <c r="J134" s="39"/>
      <c r="K134" s="35"/>
      <c r="L134" s="107"/>
      <c r="M134" s="40"/>
      <c r="O134" s="107"/>
      <c r="P134" s="22"/>
      <c r="Q134" s="23"/>
      <c r="R134" s="107"/>
      <c r="S134" s="107"/>
      <c r="T134" s="107"/>
      <c r="U134" s="107"/>
      <c r="V134" s="107"/>
    </row>
    <row r="135" spans="1:22" s="12" customFormat="1" x14ac:dyDescent="0.2">
      <c r="A135" s="107"/>
      <c r="B135" s="107"/>
      <c r="C135" s="107"/>
      <c r="D135" s="107"/>
      <c r="E135" s="35"/>
      <c r="F135" s="36"/>
      <c r="G135" s="37"/>
      <c r="H135" s="38"/>
      <c r="I135" s="39"/>
      <c r="J135" s="39"/>
      <c r="K135" s="35"/>
      <c r="L135" s="107"/>
      <c r="M135" s="40"/>
      <c r="O135" s="107"/>
      <c r="P135" s="22"/>
      <c r="Q135" s="23"/>
      <c r="R135" s="107"/>
      <c r="S135" s="107"/>
      <c r="T135" s="107"/>
      <c r="U135" s="107"/>
      <c r="V135" s="107"/>
    </row>
    <row r="136" spans="1:22" s="12" customFormat="1" x14ac:dyDescent="0.2">
      <c r="A136" s="107"/>
      <c r="B136" s="107"/>
      <c r="C136" s="107"/>
      <c r="D136" s="107"/>
      <c r="E136" s="35"/>
      <c r="F136" s="36"/>
      <c r="G136" s="37"/>
      <c r="H136" s="38"/>
      <c r="I136" s="39"/>
      <c r="J136" s="39"/>
      <c r="K136" s="35"/>
      <c r="L136" s="107"/>
      <c r="M136" s="40"/>
      <c r="O136" s="107"/>
      <c r="P136" s="22"/>
      <c r="Q136" s="23"/>
      <c r="R136" s="107"/>
      <c r="S136" s="107"/>
      <c r="T136" s="107"/>
      <c r="U136" s="107"/>
      <c r="V136" s="107"/>
    </row>
    <row r="137" spans="1:22" s="12" customFormat="1" x14ac:dyDescent="0.2">
      <c r="A137" s="107"/>
      <c r="B137" s="107"/>
      <c r="C137" s="107"/>
      <c r="D137" s="107"/>
      <c r="E137" s="35"/>
      <c r="F137" s="36"/>
      <c r="G137" s="37"/>
      <c r="H137" s="38"/>
      <c r="I137" s="39"/>
      <c r="J137" s="39"/>
      <c r="K137" s="35"/>
      <c r="L137" s="107"/>
      <c r="M137" s="40"/>
      <c r="O137" s="107"/>
      <c r="P137" s="22"/>
      <c r="Q137" s="23"/>
      <c r="R137" s="107"/>
      <c r="S137" s="107"/>
      <c r="T137" s="107"/>
      <c r="U137" s="107"/>
      <c r="V137" s="107"/>
    </row>
    <row r="138" spans="1:22" s="12" customFormat="1" x14ac:dyDescent="0.2">
      <c r="A138" s="107"/>
      <c r="B138" s="107"/>
      <c r="C138" s="107"/>
      <c r="D138" s="107"/>
      <c r="E138" s="35"/>
      <c r="F138" s="36"/>
      <c r="G138" s="37"/>
      <c r="H138" s="38"/>
      <c r="I138" s="39"/>
      <c r="J138" s="39"/>
      <c r="K138" s="35"/>
      <c r="L138" s="107"/>
      <c r="M138" s="40"/>
      <c r="O138" s="107"/>
      <c r="P138" s="22"/>
      <c r="Q138" s="23"/>
      <c r="R138" s="107"/>
      <c r="S138" s="107"/>
      <c r="T138" s="107"/>
      <c r="U138" s="107"/>
      <c r="V138" s="107"/>
    </row>
    <row r="139" spans="1:22" s="12" customFormat="1" x14ac:dyDescent="0.2">
      <c r="A139" s="107"/>
      <c r="B139" s="107"/>
      <c r="C139" s="107"/>
      <c r="D139" s="107"/>
      <c r="E139" s="35"/>
      <c r="F139" s="36"/>
      <c r="G139" s="37"/>
      <c r="H139" s="38"/>
      <c r="I139" s="39"/>
      <c r="J139" s="39"/>
      <c r="K139" s="35"/>
      <c r="L139" s="107"/>
      <c r="M139" s="40"/>
      <c r="O139" s="107"/>
      <c r="P139" s="22"/>
      <c r="Q139" s="23"/>
      <c r="R139" s="107"/>
      <c r="S139" s="107"/>
      <c r="T139" s="107"/>
      <c r="U139" s="107"/>
      <c r="V139" s="107"/>
    </row>
    <row r="140" spans="1:22" s="12" customFormat="1" x14ac:dyDescent="0.2">
      <c r="A140" s="107"/>
      <c r="B140" s="107"/>
      <c r="C140" s="107"/>
      <c r="D140" s="107"/>
      <c r="E140" s="35"/>
      <c r="F140" s="36"/>
      <c r="G140" s="37"/>
      <c r="H140" s="38"/>
      <c r="I140" s="39"/>
      <c r="J140" s="39"/>
      <c r="K140" s="35"/>
      <c r="L140" s="107"/>
      <c r="M140" s="40"/>
      <c r="O140" s="107"/>
      <c r="P140" s="22"/>
      <c r="Q140" s="23"/>
      <c r="R140" s="107"/>
      <c r="S140" s="107"/>
      <c r="T140" s="107"/>
      <c r="U140" s="107"/>
      <c r="V140" s="107"/>
    </row>
    <row r="141" spans="1:22" s="12" customFormat="1" x14ac:dyDescent="0.2">
      <c r="A141" s="107"/>
      <c r="B141" s="107"/>
      <c r="C141" s="107"/>
      <c r="D141" s="107"/>
      <c r="E141" s="35"/>
      <c r="F141" s="36"/>
      <c r="G141" s="37"/>
      <c r="H141" s="38"/>
      <c r="I141" s="39"/>
      <c r="J141" s="39"/>
      <c r="K141" s="35"/>
      <c r="L141" s="107"/>
      <c r="M141" s="40"/>
      <c r="O141" s="107"/>
      <c r="P141" s="22"/>
      <c r="Q141" s="23"/>
      <c r="R141" s="107"/>
      <c r="S141" s="107"/>
      <c r="T141" s="107"/>
      <c r="U141" s="107"/>
      <c r="V141" s="107"/>
    </row>
    <row r="142" spans="1:22" s="12" customFormat="1" x14ac:dyDescent="0.2">
      <c r="A142" s="107"/>
      <c r="B142" s="107"/>
      <c r="C142" s="107"/>
      <c r="D142" s="107"/>
      <c r="E142" s="35"/>
      <c r="F142" s="36"/>
      <c r="G142" s="37"/>
      <c r="H142" s="38"/>
      <c r="I142" s="39"/>
      <c r="J142" s="39"/>
      <c r="K142" s="35"/>
      <c r="L142" s="107"/>
      <c r="M142" s="40"/>
      <c r="O142" s="107"/>
      <c r="P142" s="22"/>
      <c r="Q142" s="23"/>
      <c r="R142" s="107"/>
      <c r="S142" s="107"/>
      <c r="T142" s="107"/>
      <c r="U142" s="107"/>
      <c r="V142" s="107"/>
    </row>
    <row r="143" spans="1:22" s="12" customFormat="1" x14ac:dyDescent="0.2">
      <c r="A143" s="107"/>
      <c r="B143" s="107"/>
      <c r="C143" s="107"/>
      <c r="D143" s="107"/>
      <c r="E143" s="35"/>
      <c r="F143" s="36"/>
      <c r="G143" s="37"/>
      <c r="H143" s="38"/>
      <c r="I143" s="39"/>
      <c r="J143" s="39"/>
      <c r="K143" s="35"/>
      <c r="L143" s="107"/>
      <c r="M143" s="40"/>
      <c r="O143" s="107"/>
      <c r="P143" s="22"/>
      <c r="Q143" s="23"/>
      <c r="R143" s="107"/>
      <c r="S143" s="107"/>
      <c r="T143" s="107"/>
      <c r="U143" s="107"/>
      <c r="V143" s="107"/>
    </row>
    <row r="144" spans="1:22" s="12" customFormat="1" x14ac:dyDescent="0.2">
      <c r="A144" s="107"/>
      <c r="B144" s="107"/>
      <c r="C144" s="107"/>
      <c r="D144" s="107"/>
      <c r="E144" s="35"/>
      <c r="F144" s="36"/>
      <c r="G144" s="37"/>
      <c r="H144" s="38"/>
      <c r="I144" s="39"/>
      <c r="J144" s="39"/>
      <c r="K144" s="35"/>
      <c r="L144" s="107"/>
      <c r="M144" s="40"/>
      <c r="O144" s="107"/>
      <c r="P144" s="22"/>
      <c r="Q144" s="23"/>
      <c r="R144" s="107"/>
      <c r="S144" s="107"/>
      <c r="T144" s="107"/>
      <c r="U144" s="107"/>
      <c r="V144" s="107"/>
    </row>
    <row r="145" spans="1:22" s="12" customFormat="1" x14ac:dyDescent="0.2">
      <c r="A145" s="107"/>
      <c r="B145" s="107"/>
      <c r="C145" s="107"/>
      <c r="D145" s="107"/>
      <c r="E145" s="35"/>
      <c r="F145" s="36"/>
      <c r="G145" s="37"/>
      <c r="H145" s="38"/>
      <c r="I145" s="39"/>
      <c r="J145" s="39"/>
      <c r="K145" s="35"/>
      <c r="L145" s="107"/>
      <c r="M145" s="40"/>
      <c r="O145" s="107"/>
      <c r="P145" s="22"/>
      <c r="Q145" s="23"/>
      <c r="R145" s="107"/>
      <c r="S145" s="107"/>
      <c r="T145" s="107"/>
      <c r="U145" s="107"/>
      <c r="V145" s="107"/>
    </row>
    <row r="146" spans="1:22" s="12" customFormat="1" x14ac:dyDescent="0.2">
      <c r="A146" s="107"/>
      <c r="B146" s="107"/>
      <c r="C146" s="107"/>
      <c r="D146" s="107"/>
      <c r="E146" s="35"/>
      <c r="F146" s="36"/>
      <c r="G146" s="37"/>
      <c r="H146" s="38"/>
      <c r="I146" s="39"/>
      <c r="J146" s="39"/>
      <c r="K146" s="35"/>
      <c r="L146" s="107"/>
      <c r="M146" s="40"/>
      <c r="O146" s="107"/>
      <c r="P146" s="22"/>
      <c r="Q146" s="23"/>
      <c r="R146" s="107"/>
      <c r="S146" s="107"/>
      <c r="T146" s="107"/>
      <c r="U146" s="107"/>
      <c r="V146" s="107"/>
    </row>
    <row r="147" spans="1:22" s="12" customFormat="1" x14ac:dyDescent="0.2">
      <c r="A147" s="107"/>
      <c r="B147" s="107"/>
      <c r="C147" s="107"/>
      <c r="D147" s="107"/>
      <c r="E147" s="35"/>
      <c r="F147" s="36"/>
      <c r="G147" s="37"/>
      <c r="H147" s="38"/>
      <c r="I147" s="39"/>
      <c r="J147" s="39"/>
      <c r="K147" s="35"/>
      <c r="L147" s="107"/>
      <c r="M147" s="40"/>
      <c r="O147" s="107"/>
      <c r="P147" s="22"/>
      <c r="Q147" s="23"/>
      <c r="R147" s="107"/>
      <c r="S147" s="107"/>
      <c r="T147" s="107"/>
      <c r="U147" s="107"/>
      <c r="V147" s="107"/>
    </row>
    <row r="148" spans="1:22" s="12" customFormat="1" x14ac:dyDescent="0.2">
      <c r="A148" s="107"/>
      <c r="B148" s="107"/>
      <c r="C148" s="107"/>
      <c r="D148" s="107"/>
      <c r="E148" s="35"/>
      <c r="F148" s="36"/>
      <c r="G148" s="37"/>
      <c r="H148" s="38"/>
      <c r="I148" s="39"/>
      <c r="J148" s="39"/>
      <c r="K148" s="35"/>
      <c r="L148" s="107"/>
      <c r="M148" s="40"/>
      <c r="O148" s="107"/>
      <c r="P148" s="22"/>
      <c r="Q148" s="23"/>
      <c r="R148" s="107"/>
      <c r="S148" s="107"/>
      <c r="T148" s="107"/>
      <c r="U148" s="107"/>
      <c r="V148" s="107"/>
    </row>
    <row r="149" spans="1:22" s="12" customFormat="1" x14ac:dyDescent="0.2">
      <c r="A149" s="107"/>
      <c r="B149" s="107"/>
      <c r="C149" s="107"/>
      <c r="D149" s="107"/>
      <c r="E149" s="35"/>
      <c r="F149" s="36"/>
      <c r="G149" s="37"/>
      <c r="H149" s="38"/>
      <c r="I149" s="39"/>
      <c r="J149" s="39"/>
      <c r="K149" s="35"/>
      <c r="L149" s="107"/>
      <c r="M149" s="40"/>
      <c r="O149" s="107"/>
      <c r="P149" s="22"/>
      <c r="Q149" s="23"/>
      <c r="R149" s="107"/>
      <c r="S149" s="107"/>
      <c r="T149" s="107"/>
      <c r="U149" s="107"/>
      <c r="V149" s="107"/>
    </row>
    <row r="150" spans="1:22" s="12" customFormat="1" x14ac:dyDescent="0.2">
      <c r="A150" s="107"/>
      <c r="B150" s="107"/>
      <c r="C150" s="107"/>
      <c r="D150" s="107"/>
      <c r="E150" s="35"/>
      <c r="F150" s="36"/>
      <c r="G150" s="37"/>
      <c r="H150" s="38"/>
      <c r="I150" s="39"/>
      <c r="J150" s="39"/>
      <c r="K150" s="35"/>
      <c r="L150" s="107"/>
      <c r="M150" s="40"/>
      <c r="O150" s="107"/>
      <c r="P150" s="22"/>
      <c r="Q150" s="23"/>
      <c r="R150" s="107"/>
      <c r="S150" s="107"/>
      <c r="T150" s="107"/>
      <c r="U150" s="107"/>
      <c r="V150" s="107"/>
    </row>
    <row r="151" spans="1:22" s="12" customFormat="1" x14ac:dyDescent="0.2">
      <c r="A151" s="107"/>
      <c r="B151" s="107"/>
      <c r="C151" s="107"/>
      <c r="D151" s="107"/>
      <c r="E151" s="35"/>
      <c r="F151" s="36"/>
      <c r="G151" s="37"/>
      <c r="H151" s="38"/>
      <c r="I151" s="39"/>
      <c r="J151" s="39"/>
      <c r="K151" s="35"/>
      <c r="L151" s="107"/>
      <c r="M151" s="40"/>
      <c r="O151" s="107"/>
      <c r="P151" s="22"/>
      <c r="Q151" s="23"/>
      <c r="R151" s="107"/>
      <c r="S151" s="107"/>
      <c r="T151" s="107"/>
      <c r="U151" s="107"/>
      <c r="V151" s="107"/>
    </row>
    <row r="152" spans="1:22" s="12" customFormat="1" x14ac:dyDescent="0.2">
      <c r="A152" s="107"/>
      <c r="B152" s="107"/>
      <c r="C152" s="107"/>
      <c r="D152" s="107"/>
      <c r="E152" s="35"/>
      <c r="F152" s="36"/>
      <c r="G152" s="37"/>
      <c r="H152" s="38"/>
      <c r="I152" s="39"/>
      <c r="J152" s="39"/>
      <c r="K152" s="35"/>
      <c r="L152" s="107"/>
      <c r="M152" s="40"/>
      <c r="O152" s="107"/>
      <c r="P152" s="22"/>
      <c r="Q152" s="23"/>
      <c r="R152" s="107"/>
      <c r="S152" s="107"/>
      <c r="T152" s="107"/>
      <c r="U152" s="107"/>
      <c r="V152" s="107"/>
    </row>
    <row r="153" spans="1:22" s="12" customFormat="1" x14ac:dyDescent="0.2">
      <c r="A153" s="107"/>
      <c r="B153" s="107"/>
      <c r="C153" s="107"/>
      <c r="D153" s="107"/>
      <c r="E153" s="35"/>
      <c r="F153" s="36"/>
      <c r="G153" s="37"/>
      <c r="H153" s="38"/>
      <c r="I153" s="39"/>
      <c r="J153" s="39"/>
      <c r="K153" s="35"/>
      <c r="L153" s="107"/>
      <c r="M153" s="40"/>
      <c r="O153" s="107"/>
      <c r="P153" s="22"/>
      <c r="Q153" s="23"/>
      <c r="R153" s="107"/>
      <c r="S153" s="107"/>
      <c r="T153" s="107"/>
      <c r="U153" s="107"/>
      <c r="V153" s="107"/>
    </row>
    <row r="154" spans="1:22" s="12" customFormat="1" x14ac:dyDescent="0.2">
      <c r="A154" s="107"/>
      <c r="B154" s="107"/>
      <c r="C154" s="107"/>
      <c r="D154" s="107"/>
      <c r="E154" s="35"/>
      <c r="F154" s="36"/>
      <c r="G154" s="37"/>
      <c r="H154" s="38"/>
      <c r="I154" s="39"/>
      <c r="J154" s="39"/>
      <c r="K154" s="35"/>
      <c r="L154" s="107"/>
      <c r="M154" s="40"/>
      <c r="O154" s="107"/>
      <c r="P154" s="22"/>
      <c r="Q154" s="23"/>
      <c r="R154" s="107"/>
      <c r="S154" s="107"/>
      <c r="T154" s="107"/>
      <c r="U154" s="107"/>
      <c r="V154" s="107"/>
    </row>
    <row r="155" spans="1:22" s="12" customFormat="1" x14ac:dyDescent="0.2">
      <c r="A155" s="107"/>
      <c r="B155" s="107"/>
      <c r="C155" s="107"/>
      <c r="D155" s="107"/>
      <c r="E155" s="35"/>
      <c r="F155" s="36"/>
      <c r="G155" s="37"/>
      <c r="H155" s="38"/>
      <c r="I155" s="39"/>
      <c r="J155" s="39"/>
      <c r="K155" s="35"/>
      <c r="L155" s="107"/>
      <c r="M155" s="40"/>
      <c r="O155" s="107"/>
      <c r="P155" s="22"/>
      <c r="Q155" s="23"/>
      <c r="R155" s="107"/>
      <c r="S155" s="107"/>
      <c r="T155" s="107"/>
      <c r="U155" s="107"/>
      <c r="V155" s="107"/>
    </row>
    <row r="156" spans="1:22" s="12" customFormat="1" x14ac:dyDescent="0.2">
      <c r="A156" s="107"/>
      <c r="B156" s="28"/>
      <c r="C156" s="107"/>
      <c r="D156" s="107"/>
      <c r="E156" s="35"/>
      <c r="F156" s="36"/>
      <c r="G156" s="37"/>
      <c r="H156" s="38"/>
      <c r="I156" s="39"/>
      <c r="J156" s="39"/>
      <c r="K156" s="35"/>
      <c r="L156" s="107"/>
      <c r="M156" s="40"/>
      <c r="O156" s="107"/>
      <c r="P156" s="22"/>
      <c r="Q156" s="23"/>
      <c r="R156" s="107"/>
      <c r="S156" s="107"/>
      <c r="T156" s="107"/>
      <c r="U156" s="107"/>
      <c r="V156" s="107"/>
    </row>
    <row r="157" spans="1:22" s="12" customFormat="1" x14ac:dyDescent="0.2">
      <c r="A157" s="107"/>
      <c r="B157" s="107"/>
      <c r="C157" s="107"/>
      <c r="D157" s="107"/>
      <c r="E157" s="35"/>
      <c r="F157" s="36"/>
      <c r="G157" s="37"/>
      <c r="H157" s="38"/>
      <c r="I157" s="39"/>
      <c r="J157" s="39"/>
      <c r="K157" s="35"/>
      <c r="L157" s="107"/>
      <c r="M157" s="40"/>
      <c r="O157" s="107"/>
      <c r="P157" s="22"/>
      <c r="Q157" s="23"/>
      <c r="R157" s="107"/>
      <c r="S157" s="107"/>
      <c r="T157" s="107"/>
      <c r="U157" s="107"/>
      <c r="V157" s="107"/>
    </row>
    <row r="158" spans="1:22" s="12" customFormat="1" x14ac:dyDescent="0.2">
      <c r="A158" s="107"/>
      <c r="B158" s="107"/>
      <c r="C158" s="107"/>
      <c r="D158" s="107"/>
      <c r="E158" s="35"/>
      <c r="F158" s="36"/>
      <c r="G158" s="37"/>
      <c r="H158" s="38"/>
      <c r="I158" s="39"/>
      <c r="J158" s="39"/>
      <c r="K158" s="35"/>
      <c r="L158" s="107"/>
      <c r="M158" s="40"/>
      <c r="O158" s="107"/>
      <c r="P158" s="22"/>
      <c r="Q158" s="23"/>
      <c r="R158" s="107"/>
      <c r="S158" s="107"/>
      <c r="T158" s="107"/>
      <c r="U158" s="107"/>
      <c r="V158" s="107"/>
    </row>
    <row r="159" spans="1:22" s="12" customFormat="1" x14ac:dyDescent="0.2">
      <c r="A159" s="107"/>
      <c r="B159" s="107"/>
      <c r="C159" s="107"/>
      <c r="D159" s="107"/>
      <c r="E159" s="35"/>
      <c r="F159" s="36"/>
      <c r="G159" s="37"/>
      <c r="H159" s="38"/>
      <c r="I159" s="39"/>
      <c r="J159" s="39"/>
      <c r="K159" s="35"/>
      <c r="L159" s="107"/>
      <c r="M159" s="40"/>
      <c r="O159" s="107"/>
      <c r="P159" s="22"/>
      <c r="Q159" s="23"/>
      <c r="R159" s="107"/>
      <c r="S159" s="107"/>
      <c r="T159" s="107"/>
      <c r="U159" s="107"/>
      <c r="V159" s="107"/>
    </row>
    <row r="160" spans="1:22" s="12" customFormat="1" x14ac:dyDescent="0.2">
      <c r="A160" s="107"/>
      <c r="B160" s="107"/>
      <c r="C160" s="107"/>
      <c r="D160" s="107"/>
      <c r="E160" s="35"/>
      <c r="F160" s="36"/>
      <c r="G160" s="37"/>
      <c r="H160" s="38"/>
      <c r="I160" s="39"/>
      <c r="J160" s="39"/>
      <c r="K160" s="35"/>
      <c r="L160" s="107"/>
      <c r="M160" s="40"/>
      <c r="O160" s="107"/>
      <c r="P160" s="22"/>
      <c r="Q160" s="23"/>
      <c r="R160" s="107"/>
      <c r="S160" s="107"/>
      <c r="T160" s="107"/>
      <c r="U160" s="107"/>
      <c r="V160" s="107"/>
    </row>
    <row r="161" spans="1:22" s="12" customFormat="1" x14ac:dyDescent="0.2">
      <c r="A161" s="107"/>
      <c r="B161" s="107"/>
      <c r="C161" s="107"/>
      <c r="D161" s="107"/>
      <c r="E161" s="35"/>
      <c r="F161" s="36"/>
      <c r="G161" s="37"/>
      <c r="H161" s="38"/>
      <c r="I161" s="39"/>
      <c r="J161" s="39"/>
      <c r="K161" s="35"/>
      <c r="L161" s="107"/>
      <c r="M161" s="40"/>
      <c r="O161" s="107"/>
      <c r="P161" s="22"/>
      <c r="Q161" s="23"/>
      <c r="R161" s="107"/>
      <c r="S161" s="107"/>
      <c r="T161" s="107"/>
      <c r="U161" s="107"/>
      <c r="V161" s="107"/>
    </row>
    <row r="162" spans="1:22" s="12" customFormat="1" x14ac:dyDescent="0.2">
      <c r="A162" s="107"/>
      <c r="B162" s="107"/>
      <c r="C162" s="107"/>
      <c r="D162" s="107"/>
      <c r="E162" s="35"/>
      <c r="F162" s="36"/>
      <c r="G162" s="37"/>
      <c r="H162" s="38"/>
      <c r="I162" s="39"/>
      <c r="J162" s="39"/>
      <c r="K162" s="35"/>
      <c r="L162" s="107"/>
      <c r="M162" s="40"/>
      <c r="O162" s="107"/>
      <c r="P162" s="22"/>
      <c r="Q162" s="23"/>
      <c r="R162" s="107"/>
      <c r="S162" s="107"/>
      <c r="T162" s="107"/>
      <c r="U162" s="107"/>
      <c r="V162" s="107"/>
    </row>
    <row r="163" spans="1:22" s="12" customFormat="1" x14ac:dyDescent="0.2">
      <c r="A163" s="107"/>
      <c r="B163" s="107"/>
      <c r="C163" s="107"/>
      <c r="D163" s="107"/>
      <c r="E163" s="35"/>
      <c r="F163" s="36"/>
      <c r="G163" s="37"/>
      <c r="H163" s="38"/>
      <c r="I163" s="39"/>
      <c r="J163" s="39"/>
      <c r="K163" s="35"/>
      <c r="L163" s="107"/>
      <c r="M163" s="40"/>
      <c r="O163" s="107"/>
      <c r="P163" s="22"/>
      <c r="Q163" s="23"/>
      <c r="R163" s="107"/>
      <c r="S163" s="107"/>
      <c r="T163" s="107"/>
      <c r="U163" s="107"/>
      <c r="V163" s="107"/>
    </row>
    <row r="164" spans="1:22" s="12" customFormat="1" x14ac:dyDescent="0.2">
      <c r="A164" s="107"/>
      <c r="B164" s="107"/>
      <c r="C164" s="107"/>
      <c r="D164" s="107"/>
      <c r="E164" s="35"/>
      <c r="F164" s="36"/>
      <c r="G164" s="37"/>
      <c r="H164" s="38"/>
      <c r="I164" s="39"/>
      <c r="J164" s="39"/>
      <c r="K164" s="35"/>
      <c r="L164" s="107"/>
      <c r="M164" s="40"/>
      <c r="O164" s="107"/>
      <c r="P164" s="22"/>
      <c r="Q164" s="23"/>
      <c r="R164" s="107"/>
      <c r="S164" s="107"/>
      <c r="T164" s="107"/>
      <c r="U164" s="107"/>
      <c r="V164" s="107"/>
    </row>
    <row r="165" spans="1:22" s="12" customFormat="1" x14ac:dyDescent="0.2">
      <c r="A165" s="107"/>
      <c r="B165" s="107"/>
      <c r="C165" s="107"/>
      <c r="D165" s="107"/>
      <c r="E165" s="35"/>
      <c r="F165" s="36"/>
      <c r="G165" s="37"/>
      <c r="H165" s="38"/>
      <c r="I165" s="39"/>
      <c r="J165" s="39"/>
      <c r="K165" s="35"/>
      <c r="L165" s="107"/>
      <c r="M165" s="40"/>
      <c r="O165" s="107"/>
      <c r="P165" s="22"/>
      <c r="Q165" s="23"/>
      <c r="R165" s="107"/>
      <c r="S165" s="107"/>
      <c r="T165" s="107"/>
      <c r="U165" s="107"/>
      <c r="V165" s="107"/>
    </row>
    <row r="166" spans="1:22" s="12" customFormat="1" x14ac:dyDescent="0.2">
      <c r="A166" s="107"/>
      <c r="B166" s="107"/>
      <c r="C166" s="107"/>
      <c r="D166" s="107"/>
      <c r="E166" s="35"/>
      <c r="F166" s="36"/>
      <c r="G166" s="37"/>
      <c r="H166" s="38"/>
      <c r="I166" s="39"/>
      <c r="J166" s="39"/>
      <c r="K166" s="35"/>
      <c r="L166" s="107"/>
      <c r="M166" s="40"/>
      <c r="O166" s="107"/>
      <c r="P166" s="22"/>
      <c r="Q166" s="23"/>
      <c r="R166" s="107"/>
      <c r="S166" s="107"/>
      <c r="T166" s="107"/>
      <c r="U166" s="107"/>
      <c r="V166" s="107"/>
    </row>
    <row r="167" spans="1:22" s="12" customFormat="1" x14ac:dyDescent="0.2">
      <c r="A167" s="107"/>
      <c r="B167" s="107"/>
      <c r="C167" s="107"/>
      <c r="D167" s="107"/>
      <c r="E167" s="35"/>
      <c r="F167" s="36"/>
      <c r="G167" s="37"/>
      <c r="H167" s="38"/>
      <c r="I167" s="39"/>
      <c r="J167" s="39"/>
      <c r="K167" s="35"/>
      <c r="L167" s="107"/>
      <c r="M167" s="40"/>
      <c r="O167" s="107"/>
      <c r="P167" s="22"/>
      <c r="Q167" s="23"/>
      <c r="R167" s="107"/>
      <c r="S167" s="107"/>
      <c r="T167" s="107"/>
      <c r="U167" s="107"/>
      <c r="V167" s="107"/>
    </row>
    <row r="168" spans="1:22" s="12" customFormat="1" x14ac:dyDescent="0.2">
      <c r="A168" s="107"/>
      <c r="B168" s="107"/>
      <c r="C168" s="107"/>
      <c r="D168" s="107"/>
      <c r="E168" s="35"/>
      <c r="F168" s="36"/>
      <c r="G168" s="37"/>
      <c r="H168" s="38"/>
      <c r="I168" s="39"/>
      <c r="J168" s="39"/>
      <c r="K168" s="35"/>
      <c r="L168" s="107"/>
      <c r="M168" s="40"/>
      <c r="O168" s="107"/>
      <c r="P168" s="22"/>
      <c r="Q168" s="23"/>
      <c r="R168" s="81"/>
      <c r="S168" s="81"/>
      <c r="T168" s="81"/>
      <c r="U168" s="81"/>
      <c r="V168" s="107"/>
    </row>
    <row r="169" spans="1:22" s="12" customFormat="1" x14ac:dyDescent="0.2">
      <c r="A169" s="107"/>
      <c r="B169" s="107"/>
      <c r="C169" s="107"/>
      <c r="D169" s="107"/>
      <c r="E169" s="35"/>
      <c r="F169" s="36"/>
      <c r="G169" s="37"/>
      <c r="H169" s="38"/>
      <c r="I169" s="39"/>
      <c r="J169" s="39"/>
      <c r="K169" s="35"/>
      <c r="L169" s="107"/>
      <c r="M169" s="40"/>
      <c r="O169" s="107"/>
      <c r="P169" s="22"/>
      <c r="Q169" s="23"/>
      <c r="R169" s="81"/>
      <c r="S169" s="81"/>
      <c r="T169" s="81"/>
      <c r="U169" s="81"/>
      <c r="V169" s="107"/>
    </row>
    <row r="170" spans="1:22" s="12" customFormat="1" x14ac:dyDescent="0.2">
      <c r="A170" s="107"/>
      <c r="B170" s="107"/>
      <c r="C170" s="107"/>
      <c r="D170" s="107"/>
      <c r="E170" s="35"/>
      <c r="F170" s="36"/>
      <c r="G170" s="37"/>
      <c r="H170" s="38"/>
      <c r="I170" s="39"/>
      <c r="J170" s="39"/>
      <c r="K170" s="35"/>
      <c r="L170" s="107"/>
      <c r="M170" s="40"/>
      <c r="O170" s="107"/>
      <c r="P170" s="22"/>
      <c r="Q170" s="23"/>
      <c r="R170" s="81"/>
      <c r="S170" s="81"/>
      <c r="T170" s="81"/>
      <c r="U170" s="81"/>
      <c r="V170" s="107"/>
    </row>
    <row r="171" spans="1:22" s="12" customFormat="1" x14ac:dyDescent="0.2">
      <c r="A171" s="107"/>
      <c r="B171" s="107"/>
      <c r="C171" s="107"/>
      <c r="D171" s="107"/>
      <c r="E171" s="35"/>
      <c r="F171" s="36"/>
      <c r="G171" s="37"/>
      <c r="H171" s="38"/>
      <c r="I171" s="39"/>
      <c r="J171" s="39"/>
      <c r="K171" s="35"/>
      <c r="L171" s="107"/>
      <c r="M171" s="40"/>
      <c r="O171" s="107"/>
      <c r="P171" s="22"/>
      <c r="Q171" s="23"/>
      <c r="R171" s="81"/>
      <c r="S171" s="81"/>
      <c r="T171" s="81"/>
      <c r="U171" s="81"/>
      <c r="V171" s="107"/>
    </row>
    <row r="172" spans="1:22" s="12" customFormat="1" x14ac:dyDescent="0.2">
      <c r="A172" s="107"/>
      <c r="B172" s="107"/>
      <c r="C172" s="107"/>
      <c r="D172" s="107"/>
      <c r="E172" s="35"/>
      <c r="F172" s="36"/>
      <c r="G172" s="37"/>
      <c r="H172" s="38"/>
      <c r="I172" s="39"/>
      <c r="J172" s="39"/>
      <c r="K172" s="35"/>
      <c r="L172" s="107"/>
      <c r="M172" s="40"/>
      <c r="O172" s="107"/>
      <c r="P172" s="22"/>
      <c r="Q172" s="23"/>
      <c r="R172" s="81"/>
      <c r="S172" s="81"/>
      <c r="T172" s="81"/>
      <c r="U172" s="81"/>
      <c r="V172" s="107"/>
    </row>
    <row r="173" spans="1:22" s="12" customFormat="1" x14ac:dyDescent="0.2">
      <c r="A173" s="107"/>
      <c r="B173" s="107"/>
      <c r="C173" s="107"/>
      <c r="D173" s="107"/>
      <c r="E173" s="35"/>
      <c r="F173" s="36"/>
      <c r="G173" s="37"/>
      <c r="H173" s="38"/>
      <c r="I173" s="39"/>
      <c r="J173" s="39"/>
      <c r="K173" s="35"/>
      <c r="L173" s="107"/>
      <c r="M173" s="40"/>
      <c r="O173" s="107"/>
      <c r="P173" s="22"/>
      <c r="Q173" s="23"/>
      <c r="R173" s="81"/>
      <c r="S173" s="81"/>
      <c r="T173" s="81"/>
      <c r="U173" s="81"/>
      <c r="V173" s="107"/>
    </row>
    <row r="174" spans="1:22" s="12" customFormat="1" x14ac:dyDescent="0.2">
      <c r="A174" s="107"/>
      <c r="B174" s="107"/>
      <c r="C174" s="107"/>
      <c r="D174" s="107"/>
      <c r="E174" s="35"/>
      <c r="F174" s="36"/>
      <c r="G174" s="37"/>
      <c r="H174" s="38"/>
      <c r="I174" s="39"/>
      <c r="J174" s="39"/>
      <c r="K174" s="35"/>
      <c r="L174" s="107"/>
      <c r="M174" s="40"/>
      <c r="O174" s="107"/>
      <c r="P174" s="22"/>
      <c r="Q174" s="23"/>
      <c r="R174" s="81"/>
      <c r="S174" s="81"/>
      <c r="T174" s="81"/>
      <c r="U174" s="81"/>
      <c r="V174" s="107"/>
    </row>
    <row r="175" spans="1:22" s="12" customFormat="1" x14ac:dyDescent="0.2">
      <c r="A175" s="107"/>
      <c r="B175" s="107"/>
      <c r="C175" s="107"/>
      <c r="D175" s="107"/>
      <c r="E175" s="35"/>
      <c r="F175" s="36"/>
      <c r="G175" s="37"/>
      <c r="H175" s="38"/>
      <c r="I175" s="39"/>
      <c r="J175" s="39"/>
      <c r="K175" s="35"/>
      <c r="L175" s="107"/>
      <c r="M175" s="40"/>
      <c r="O175" s="107"/>
      <c r="P175" s="22"/>
      <c r="Q175" s="23"/>
      <c r="R175" s="81"/>
      <c r="S175" s="81"/>
      <c r="T175" s="81"/>
      <c r="U175" s="81"/>
      <c r="V175" s="107"/>
    </row>
    <row r="176" spans="1:22" s="12" customFormat="1" x14ac:dyDescent="0.2">
      <c r="A176" s="107"/>
      <c r="B176" s="107"/>
      <c r="C176" s="107"/>
      <c r="D176" s="107"/>
      <c r="E176" s="35"/>
      <c r="F176" s="36"/>
      <c r="G176" s="37"/>
      <c r="H176" s="38"/>
      <c r="I176" s="39"/>
      <c r="J176" s="39"/>
      <c r="K176" s="35"/>
      <c r="L176" s="107"/>
      <c r="M176" s="40"/>
      <c r="O176" s="107"/>
      <c r="P176" s="22"/>
      <c r="Q176" s="23"/>
      <c r="R176" s="81"/>
      <c r="S176" s="81"/>
      <c r="T176" s="81"/>
      <c r="U176" s="81"/>
      <c r="V176" s="107"/>
    </row>
    <row r="177" spans="1:22" s="12" customFormat="1" x14ac:dyDescent="0.2">
      <c r="A177" s="107"/>
      <c r="B177" s="28"/>
      <c r="C177" s="107"/>
      <c r="D177" s="107"/>
      <c r="E177" s="35"/>
      <c r="F177" s="36"/>
      <c r="G177" s="37"/>
      <c r="H177" s="38"/>
      <c r="I177" s="39"/>
      <c r="J177" s="39"/>
      <c r="K177" s="35"/>
      <c r="L177" s="107"/>
      <c r="M177" s="40"/>
      <c r="O177" s="107"/>
      <c r="P177" s="22"/>
      <c r="Q177" s="23"/>
      <c r="R177" s="81"/>
      <c r="S177" s="81"/>
      <c r="T177" s="81"/>
      <c r="U177" s="81"/>
      <c r="V177" s="107"/>
    </row>
    <row r="178" spans="1:22" s="12" customFormat="1" x14ac:dyDescent="0.2">
      <c r="A178" s="107"/>
      <c r="B178" s="107"/>
      <c r="C178" s="107"/>
      <c r="D178" s="107"/>
      <c r="E178" s="35"/>
      <c r="F178" s="36"/>
      <c r="G178" s="37"/>
      <c r="H178" s="38"/>
      <c r="I178" s="39"/>
      <c r="J178" s="39"/>
      <c r="K178" s="35"/>
      <c r="L178" s="107"/>
      <c r="M178" s="40"/>
      <c r="O178" s="107"/>
      <c r="P178" s="22"/>
      <c r="Q178" s="23"/>
      <c r="R178" s="81"/>
      <c r="S178" s="81"/>
      <c r="T178" s="81"/>
      <c r="U178" s="81"/>
      <c r="V178" s="107"/>
    </row>
    <row r="179" spans="1:22" s="12" customFormat="1" x14ac:dyDescent="0.2">
      <c r="A179" s="107"/>
      <c r="B179" s="107"/>
      <c r="C179" s="107"/>
      <c r="D179" s="107"/>
      <c r="E179" s="35"/>
      <c r="F179" s="36"/>
      <c r="G179" s="37"/>
      <c r="H179" s="38"/>
      <c r="I179" s="39"/>
      <c r="J179" s="39"/>
      <c r="K179" s="35"/>
      <c r="L179" s="107"/>
      <c r="M179" s="40"/>
      <c r="O179" s="107"/>
      <c r="P179" s="22"/>
      <c r="Q179" s="23"/>
      <c r="R179" s="81"/>
      <c r="S179" s="81"/>
      <c r="T179" s="81"/>
      <c r="U179" s="81"/>
      <c r="V179" s="107"/>
    </row>
    <row r="180" spans="1:22" s="12" customFormat="1" x14ac:dyDescent="0.2">
      <c r="A180" s="107"/>
      <c r="B180" s="107"/>
      <c r="C180" s="107"/>
      <c r="D180" s="107"/>
      <c r="E180" s="35"/>
      <c r="F180" s="36"/>
      <c r="G180" s="37"/>
      <c r="H180" s="38"/>
      <c r="I180" s="39"/>
      <c r="J180" s="39"/>
      <c r="K180" s="35"/>
      <c r="L180" s="107"/>
      <c r="M180" s="40"/>
      <c r="O180" s="107"/>
      <c r="P180" s="22"/>
      <c r="R180" s="81"/>
      <c r="S180" s="81"/>
      <c r="T180" s="81"/>
      <c r="U180" s="81"/>
      <c r="V180" s="107"/>
    </row>
    <row r="181" spans="1:22" s="12" customFormat="1" x14ac:dyDescent="0.2">
      <c r="A181" s="107"/>
      <c r="B181" s="107"/>
      <c r="C181" s="107"/>
      <c r="D181" s="107"/>
      <c r="E181" s="35"/>
      <c r="F181" s="36"/>
      <c r="G181" s="37"/>
      <c r="H181" s="38"/>
      <c r="I181" s="39"/>
      <c r="J181" s="39"/>
      <c r="K181" s="35"/>
      <c r="L181" s="107"/>
      <c r="M181" s="40"/>
      <c r="O181" s="107"/>
      <c r="P181" s="22"/>
      <c r="R181" s="81"/>
      <c r="S181" s="81"/>
      <c r="T181" s="81"/>
      <c r="U181" s="81"/>
      <c r="V181" s="107"/>
    </row>
    <row r="182" spans="1:22" s="12" customFormat="1" x14ac:dyDescent="0.2">
      <c r="A182" s="107"/>
      <c r="B182" s="107"/>
      <c r="C182" s="107"/>
      <c r="D182" s="107"/>
      <c r="E182" s="35"/>
      <c r="F182" s="36"/>
      <c r="G182" s="37"/>
      <c r="H182" s="38"/>
      <c r="I182" s="39"/>
      <c r="J182" s="39"/>
      <c r="K182" s="35"/>
      <c r="L182" s="107"/>
      <c r="M182" s="40"/>
      <c r="O182" s="107"/>
      <c r="P182" s="22"/>
      <c r="R182" s="81"/>
      <c r="S182" s="81"/>
      <c r="T182" s="81"/>
      <c r="U182" s="81"/>
      <c r="V182" s="107"/>
    </row>
    <row r="183" spans="1:22" s="12" customFormat="1" x14ac:dyDescent="0.2">
      <c r="A183" s="107"/>
      <c r="B183" s="107"/>
      <c r="C183" s="107"/>
      <c r="D183" s="107"/>
      <c r="E183" s="35"/>
      <c r="F183" s="36"/>
      <c r="G183" s="37"/>
      <c r="H183" s="38"/>
      <c r="I183" s="39"/>
      <c r="J183" s="39"/>
      <c r="K183" s="35"/>
      <c r="L183" s="107"/>
      <c r="M183" s="40"/>
      <c r="O183" s="107"/>
      <c r="P183" s="22"/>
      <c r="R183" s="81"/>
      <c r="S183" s="81"/>
      <c r="T183" s="81"/>
      <c r="U183" s="81"/>
      <c r="V183" s="107"/>
    </row>
    <row r="184" spans="1:22" s="12" customFormat="1" x14ac:dyDescent="0.2">
      <c r="A184" s="107"/>
      <c r="B184" s="107"/>
      <c r="C184" s="107"/>
      <c r="D184" s="107"/>
      <c r="E184" s="35"/>
      <c r="F184" s="36"/>
      <c r="G184" s="37"/>
      <c r="H184" s="38"/>
      <c r="I184" s="39"/>
      <c r="J184" s="39"/>
      <c r="K184" s="35"/>
      <c r="L184" s="107"/>
      <c r="M184" s="40"/>
      <c r="O184" s="107"/>
      <c r="P184" s="22"/>
      <c r="R184" s="81"/>
      <c r="S184" s="81"/>
      <c r="T184" s="81"/>
      <c r="U184" s="81"/>
      <c r="V184" s="107"/>
    </row>
    <row r="185" spans="1:22" s="12" customFormat="1" x14ac:dyDescent="0.2">
      <c r="A185" s="107"/>
      <c r="B185" s="107"/>
      <c r="C185" s="107"/>
      <c r="D185" s="107"/>
      <c r="E185" s="35"/>
      <c r="F185" s="36"/>
      <c r="G185" s="37"/>
      <c r="H185" s="38"/>
      <c r="I185" s="39"/>
      <c r="J185" s="39"/>
      <c r="K185" s="35"/>
      <c r="L185" s="107"/>
      <c r="M185" s="40"/>
      <c r="O185" s="107"/>
      <c r="P185" s="22"/>
      <c r="R185" s="81"/>
      <c r="S185" s="81"/>
      <c r="T185" s="81"/>
      <c r="U185" s="81"/>
      <c r="V185" s="107"/>
    </row>
    <row r="186" spans="1:22" s="12" customFormat="1" x14ac:dyDescent="0.2">
      <c r="A186" s="107"/>
      <c r="B186" s="107"/>
      <c r="C186" s="107"/>
      <c r="D186" s="107"/>
      <c r="E186" s="35"/>
      <c r="F186" s="36"/>
      <c r="G186" s="37"/>
      <c r="H186" s="38"/>
      <c r="I186" s="39"/>
      <c r="J186" s="39"/>
      <c r="K186" s="35"/>
      <c r="L186" s="107"/>
      <c r="M186" s="40"/>
      <c r="O186" s="107"/>
      <c r="P186" s="22"/>
      <c r="R186" s="81"/>
      <c r="S186" s="81"/>
      <c r="T186" s="81"/>
      <c r="U186" s="81"/>
      <c r="V186" s="107"/>
    </row>
    <row r="187" spans="1:22" s="12" customFormat="1" x14ac:dyDescent="0.2">
      <c r="A187" s="107"/>
      <c r="B187" s="107"/>
      <c r="C187" s="107"/>
      <c r="D187" s="107"/>
      <c r="E187" s="35"/>
      <c r="F187" s="36"/>
      <c r="G187" s="37"/>
      <c r="H187" s="38"/>
      <c r="I187" s="39"/>
      <c r="J187" s="39"/>
      <c r="K187" s="35"/>
      <c r="L187" s="107"/>
      <c r="M187" s="40"/>
      <c r="O187" s="107"/>
      <c r="P187" s="22"/>
      <c r="R187" s="81"/>
      <c r="S187" s="81"/>
      <c r="T187" s="81"/>
      <c r="U187" s="81"/>
      <c r="V187" s="107"/>
    </row>
    <row r="188" spans="1:22" s="12" customFormat="1" x14ac:dyDescent="0.2">
      <c r="A188" s="107"/>
      <c r="B188" s="107"/>
      <c r="C188" s="107"/>
      <c r="D188" s="107"/>
      <c r="E188" s="35"/>
      <c r="F188" s="36"/>
      <c r="G188" s="37"/>
      <c r="H188" s="38"/>
      <c r="I188" s="39"/>
      <c r="J188" s="39"/>
      <c r="K188" s="35"/>
      <c r="L188" s="107"/>
      <c r="M188" s="40"/>
      <c r="O188" s="107"/>
      <c r="P188" s="22"/>
      <c r="R188" s="81"/>
      <c r="S188" s="81"/>
      <c r="T188" s="81"/>
      <c r="U188" s="81"/>
      <c r="V188" s="107"/>
    </row>
    <row r="189" spans="1:22" s="12" customFormat="1" x14ac:dyDescent="0.2">
      <c r="A189" s="107"/>
      <c r="B189" s="107"/>
      <c r="C189" s="107"/>
      <c r="D189" s="107"/>
      <c r="E189" s="35"/>
      <c r="F189" s="36"/>
      <c r="G189" s="37"/>
      <c r="H189" s="38"/>
      <c r="I189" s="39"/>
      <c r="J189" s="39"/>
      <c r="K189" s="35"/>
      <c r="L189" s="107"/>
      <c r="M189" s="40"/>
      <c r="O189" s="107"/>
      <c r="P189" s="22"/>
      <c r="R189" s="81"/>
      <c r="S189" s="81"/>
      <c r="T189" s="81"/>
      <c r="U189" s="81"/>
      <c r="V189" s="107"/>
    </row>
    <row r="190" spans="1:22" s="12" customFormat="1" x14ac:dyDescent="0.2">
      <c r="A190" s="107"/>
      <c r="B190" s="107"/>
      <c r="C190" s="107"/>
      <c r="D190" s="107"/>
      <c r="E190" s="35"/>
      <c r="F190" s="36"/>
      <c r="G190" s="37"/>
      <c r="H190" s="38"/>
      <c r="I190" s="39"/>
      <c r="J190" s="39"/>
      <c r="K190" s="35"/>
      <c r="L190" s="107"/>
      <c r="M190" s="40"/>
      <c r="O190" s="107"/>
      <c r="P190" s="22"/>
      <c r="R190" s="81"/>
      <c r="S190" s="81"/>
      <c r="T190" s="81"/>
      <c r="U190" s="81"/>
      <c r="V190" s="107"/>
    </row>
    <row r="191" spans="1:22" s="12" customFormat="1" x14ac:dyDescent="0.2">
      <c r="A191" s="107"/>
      <c r="B191" s="107"/>
      <c r="C191" s="107"/>
      <c r="D191" s="107"/>
      <c r="E191" s="35"/>
      <c r="F191" s="36"/>
      <c r="G191" s="37"/>
      <c r="H191" s="38"/>
      <c r="I191" s="39"/>
      <c r="J191" s="39"/>
      <c r="K191" s="35"/>
      <c r="L191" s="107"/>
      <c r="M191" s="40"/>
      <c r="O191" s="107"/>
      <c r="P191" s="22"/>
      <c r="R191" s="81"/>
      <c r="S191" s="81"/>
      <c r="T191" s="81"/>
      <c r="U191" s="81"/>
      <c r="V191" s="107"/>
    </row>
    <row r="192" spans="1:22" s="12" customFormat="1" x14ac:dyDescent="0.2">
      <c r="A192" s="107"/>
      <c r="B192" s="107"/>
      <c r="C192" s="107"/>
      <c r="D192" s="107"/>
      <c r="E192" s="35"/>
      <c r="F192" s="36"/>
      <c r="G192" s="37"/>
      <c r="H192" s="38"/>
      <c r="I192" s="39"/>
      <c r="J192" s="39"/>
      <c r="K192" s="35"/>
      <c r="L192" s="107"/>
      <c r="M192" s="40"/>
      <c r="O192" s="107"/>
      <c r="P192" s="22"/>
      <c r="R192" s="81"/>
      <c r="S192" s="81"/>
      <c r="T192" s="81"/>
      <c r="U192" s="81"/>
      <c r="V192" s="107"/>
    </row>
    <row r="193" spans="1:22" s="12" customFormat="1" x14ac:dyDescent="0.2">
      <c r="A193" s="107"/>
      <c r="B193" s="107"/>
      <c r="C193" s="107"/>
      <c r="D193" s="107"/>
      <c r="E193" s="35"/>
      <c r="F193" s="36"/>
      <c r="G193" s="37"/>
      <c r="H193" s="38"/>
      <c r="I193" s="39"/>
      <c r="J193" s="39"/>
      <c r="K193" s="35"/>
      <c r="L193" s="107"/>
      <c r="M193" s="40"/>
      <c r="O193" s="107"/>
      <c r="P193" s="22"/>
      <c r="R193" s="81"/>
      <c r="S193" s="81"/>
      <c r="T193" s="81"/>
      <c r="U193" s="81"/>
      <c r="V193" s="107"/>
    </row>
    <row r="194" spans="1:22" s="12" customFormat="1" x14ac:dyDescent="0.2">
      <c r="A194" s="107"/>
      <c r="B194" s="107"/>
      <c r="C194" s="107"/>
      <c r="D194" s="107"/>
      <c r="E194" s="35"/>
      <c r="F194" s="36"/>
      <c r="G194" s="37"/>
      <c r="H194" s="38"/>
      <c r="I194" s="39"/>
      <c r="J194" s="39"/>
      <c r="K194" s="35"/>
      <c r="L194" s="107"/>
      <c r="M194" s="40"/>
      <c r="O194" s="107"/>
      <c r="P194" s="22"/>
      <c r="R194" s="81"/>
      <c r="S194" s="81"/>
      <c r="T194" s="81"/>
      <c r="U194" s="81"/>
      <c r="V194" s="107"/>
    </row>
    <row r="195" spans="1:22" s="12" customFormat="1" x14ac:dyDescent="0.2">
      <c r="A195" s="107"/>
      <c r="B195" s="107"/>
      <c r="C195" s="107"/>
      <c r="D195" s="107"/>
      <c r="E195" s="35"/>
      <c r="F195" s="36"/>
      <c r="G195" s="37"/>
      <c r="H195" s="38"/>
      <c r="I195" s="39"/>
      <c r="J195" s="39"/>
      <c r="K195" s="35"/>
      <c r="L195" s="107"/>
      <c r="M195" s="40"/>
      <c r="O195" s="107"/>
      <c r="P195" s="22"/>
      <c r="R195" s="81"/>
      <c r="S195" s="81"/>
      <c r="T195" s="81"/>
      <c r="U195" s="81"/>
      <c r="V195" s="107"/>
    </row>
    <row r="196" spans="1:22" s="12" customFormat="1" x14ac:dyDescent="0.2">
      <c r="A196" s="107"/>
      <c r="B196" s="107"/>
      <c r="C196" s="107"/>
      <c r="D196" s="107"/>
      <c r="E196" s="35"/>
      <c r="F196" s="36"/>
      <c r="G196" s="37"/>
      <c r="H196" s="38"/>
      <c r="I196" s="39"/>
      <c r="J196" s="39"/>
      <c r="K196" s="35"/>
      <c r="L196" s="107"/>
      <c r="M196" s="40"/>
      <c r="O196" s="107"/>
      <c r="P196" s="22"/>
      <c r="R196" s="81"/>
      <c r="S196" s="81"/>
      <c r="T196" s="81"/>
      <c r="U196" s="81"/>
      <c r="V196" s="107"/>
    </row>
    <row r="197" spans="1:22" s="12" customFormat="1" x14ac:dyDescent="0.2">
      <c r="A197" s="107"/>
      <c r="B197" s="107"/>
      <c r="C197" s="107"/>
      <c r="D197" s="107"/>
      <c r="E197" s="35"/>
      <c r="F197" s="36"/>
      <c r="G197" s="37"/>
      <c r="H197" s="38"/>
      <c r="I197" s="39"/>
      <c r="J197" s="39"/>
      <c r="K197" s="35"/>
      <c r="L197" s="107"/>
      <c r="M197" s="40"/>
      <c r="O197" s="107"/>
      <c r="P197" s="22"/>
      <c r="R197" s="81"/>
      <c r="S197" s="81"/>
      <c r="T197" s="81"/>
      <c r="U197" s="81"/>
      <c r="V197" s="107"/>
    </row>
    <row r="198" spans="1:22" s="12" customFormat="1" x14ac:dyDescent="0.2">
      <c r="A198" s="107"/>
      <c r="B198" s="28"/>
      <c r="C198" s="107"/>
      <c r="D198" s="107"/>
      <c r="E198" s="35"/>
      <c r="F198" s="36"/>
      <c r="G198" s="37"/>
      <c r="H198" s="38"/>
      <c r="I198" s="39"/>
      <c r="J198" s="39"/>
      <c r="K198" s="35"/>
      <c r="L198" s="107"/>
      <c r="M198" s="40"/>
      <c r="O198" s="107"/>
      <c r="P198" s="22"/>
      <c r="R198" s="81"/>
      <c r="S198" s="81"/>
      <c r="T198" s="81"/>
      <c r="U198" s="81"/>
      <c r="V198" s="107"/>
    </row>
    <row r="199" spans="1:22" s="12" customFormat="1" x14ac:dyDescent="0.2">
      <c r="A199" s="107"/>
      <c r="B199" s="107"/>
      <c r="C199" s="107"/>
      <c r="D199" s="107"/>
      <c r="E199" s="35"/>
      <c r="F199" s="36"/>
      <c r="G199" s="37"/>
      <c r="H199" s="38"/>
      <c r="I199" s="39"/>
      <c r="J199" s="39"/>
      <c r="K199" s="35"/>
      <c r="L199" s="107"/>
      <c r="M199" s="40"/>
      <c r="O199" s="107"/>
      <c r="P199" s="22"/>
      <c r="R199" s="81"/>
      <c r="S199" s="81"/>
      <c r="T199" s="81"/>
      <c r="U199" s="81"/>
      <c r="V199" s="107"/>
    </row>
    <row r="200" spans="1:22" s="12" customFormat="1" x14ac:dyDescent="0.2">
      <c r="A200" s="107"/>
      <c r="B200" s="107"/>
      <c r="C200" s="107"/>
      <c r="D200" s="107"/>
      <c r="E200" s="35"/>
      <c r="F200" s="36"/>
      <c r="G200" s="37"/>
      <c r="H200" s="38"/>
      <c r="I200" s="39"/>
      <c r="J200" s="39"/>
      <c r="K200" s="35"/>
      <c r="L200" s="107"/>
      <c r="M200" s="40"/>
      <c r="O200" s="107"/>
      <c r="P200" s="22"/>
      <c r="R200" s="81"/>
      <c r="S200" s="81"/>
      <c r="T200" s="81"/>
      <c r="U200" s="81"/>
      <c r="V200" s="107"/>
    </row>
    <row r="201" spans="1:22" s="12" customFormat="1" x14ac:dyDescent="0.2">
      <c r="A201" s="107"/>
      <c r="B201" s="107"/>
      <c r="C201" s="107"/>
      <c r="D201" s="107"/>
      <c r="E201" s="35"/>
      <c r="F201" s="36"/>
      <c r="G201" s="37"/>
      <c r="H201" s="38"/>
      <c r="I201" s="39"/>
      <c r="J201" s="39"/>
      <c r="K201" s="35"/>
      <c r="L201" s="107"/>
      <c r="M201" s="40"/>
      <c r="O201" s="107"/>
      <c r="P201" s="22"/>
      <c r="R201" s="81"/>
      <c r="S201" s="81"/>
      <c r="T201" s="81"/>
      <c r="U201" s="81"/>
      <c r="V201" s="107"/>
    </row>
    <row r="202" spans="1:22" s="12" customFormat="1" x14ac:dyDescent="0.2">
      <c r="A202" s="107"/>
      <c r="B202" s="107"/>
      <c r="C202" s="107"/>
      <c r="D202" s="107"/>
      <c r="E202" s="35"/>
      <c r="F202" s="36"/>
      <c r="G202" s="37"/>
      <c r="H202" s="38"/>
      <c r="I202" s="39"/>
      <c r="J202" s="39"/>
      <c r="K202" s="35"/>
      <c r="L202" s="107"/>
      <c r="M202" s="40"/>
      <c r="O202" s="107"/>
      <c r="P202" s="22"/>
      <c r="R202" s="81"/>
      <c r="S202" s="81"/>
      <c r="T202" s="81"/>
      <c r="U202" s="81"/>
      <c r="V202" s="107"/>
    </row>
    <row r="203" spans="1:22" s="12" customFormat="1" x14ac:dyDescent="0.2">
      <c r="D203" s="107"/>
      <c r="E203" s="35"/>
      <c r="F203" s="36"/>
      <c r="G203" s="37"/>
      <c r="H203" s="38"/>
      <c r="I203" s="39"/>
      <c r="J203" s="39"/>
      <c r="K203" s="35"/>
      <c r="L203" s="107"/>
      <c r="M203" s="40"/>
      <c r="O203" s="107"/>
      <c r="P203" s="22"/>
      <c r="R203" s="81"/>
      <c r="S203" s="81"/>
      <c r="T203" s="81"/>
      <c r="U203" s="81"/>
      <c r="V203" s="107"/>
    </row>
    <row r="204" spans="1:22" s="12" customFormat="1" x14ac:dyDescent="0.2">
      <c r="D204" s="107"/>
      <c r="E204" s="35"/>
      <c r="F204" s="36"/>
      <c r="G204" s="37"/>
      <c r="H204" s="38"/>
      <c r="I204" s="39"/>
      <c r="J204" s="39"/>
      <c r="K204" s="35"/>
      <c r="L204" s="107"/>
      <c r="M204" s="40"/>
      <c r="O204" s="107"/>
      <c r="P204" s="22"/>
      <c r="R204" s="81"/>
      <c r="S204" s="81"/>
      <c r="T204" s="81"/>
      <c r="U204" s="81"/>
      <c r="V204" s="107"/>
    </row>
    <row r="205" spans="1:22" s="12" customFormat="1" x14ac:dyDescent="0.2">
      <c r="D205" s="107"/>
      <c r="E205" s="35"/>
      <c r="F205" s="36"/>
      <c r="G205" s="37"/>
      <c r="H205" s="38"/>
      <c r="I205" s="39"/>
      <c r="J205" s="39"/>
      <c r="K205" s="35"/>
      <c r="L205" s="107"/>
      <c r="M205" s="40"/>
      <c r="O205" s="107"/>
      <c r="P205" s="22"/>
      <c r="R205" s="81"/>
      <c r="S205" s="81"/>
      <c r="T205" s="81"/>
      <c r="U205" s="81"/>
      <c r="V205" s="107"/>
    </row>
    <row r="206" spans="1:22" s="12" customFormat="1" x14ac:dyDescent="0.2">
      <c r="D206" s="107"/>
      <c r="E206" s="35"/>
      <c r="F206" s="36"/>
      <c r="G206" s="37"/>
      <c r="H206" s="38"/>
      <c r="I206" s="39"/>
      <c r="J206" s="39"/>
      <c r="K206" s="35"/>
      <c r="L206" s="107"/>
      <c r="M206" s="40"/>
      <c r="O206" s="107"/>
      <c r="P206" s="22"/>
      <c r="R206" s="81"/>
      <c r="S206" s="81"/>
      <c r="T206" s="81"/>
      <c r="U206" s="81"/>
      <c r="V206" s="107"/>
    </row>
    <row r="207" spans="1:22" s="12" customFormat="1" x14ac:dyDescent="0.2">
      <c r="D207" s="107"/>
      <c r="E207" s="35"/>
      <c r="F207" s="36"/>
      <c r="G207" s="37"/>
      <c r="H207" s="38"/>
      <c r="I207" s="39"/>
      <c r="J207" s="39"/>
      <c r="K207" s="35"/>
      <c r="L207" s="107"/>
      <c r="M207" s="40"/>
      <c r="O207" s="107"/>
      <c r="P207" s="22"/>
      <c r="R207" s="81"/>
      <c r="S207" s="81"/>
      <c r="T207" s="81"/>
      <c r="U207" s="81"/>
      <c r="V207" s="107"/>
    </row>
    <row r="208" spans="1:22" s="12" customFormat="1" x14ac:dyDescent="0.2">
      <c r="D208" s="107"/>
      <c r="E208" s="35"/>
      <c r="F208" s="36"/>
      <c r="G208" s="37"/>
      <c r="H208" s="38"/>
      <c r="I208" s="39"/>
      <c r="J208" s="39"/>
      <c r="K208" s="35"/>
      <c r="L208" s="107"/>
      <c r="M208" s="40"/>
      <c r="O208" s="107"/>
      <c r="P208" s="22"/>
      <c r="R208" s="81"/>
      <c r="S208" s="81"/>
      <c r="T208" s="81"/>
      <c r="U208" s="81"/>
      <c r="V208" s="107"/>
    </row>
    <row r="209" spans="4:22" s="12" customFormat="1" x14ac:dyDescent="0.2">
      <c r="D209" s="107"/>
      <c r="E209" s="35"/>
      <c r="F209" s="36"/>
      <c r="G209" s="37"/>
      <c r="H209" s="38"/>
      <c r="I209" s="39"/>
      <c r="J209" s="39"/>
      <c r="K209" s="35"/>
      <c r="L209" s="107"/>
      <c r="M209" s="40"/>
      <c r="O209" s="107"/>
      <c r="P209" s="22"/>
      <c r="R209" s="81"/>
      <c r="S209" s="81"/>
      <c r="T209" s="81"/>
      <c r="U209" s="81"/>
      <c r="V209" s="107"/>
    </row>
    <row r="210" spans="4:22" s="12" customFormat="1" x14ac:dyDescent="0.2">
      <c r="D210" s="107"/>
      <c r="E210" s="35"/>
      <c r="F210" s="36"/>
      <c r="G210" s="37"/>
      <c r="H210" s="38"/>
      <c r="I210" s="39"/>
      <c r="J210" s="39"/>
      <c r="K210" s="35"/>
      <c r="L210" s="107"/>
      <c r="M210" s="40"/>
      <c r="O210" s="107"/>
      <c r="P210" s="22"/>
      <c r="R210" s="81"/>
      <c r="S210" s="81"/>
      <c r="T210" s="81"/>
      <c r="U210" s="81"/>
      <c r="V210" s="107"/>
    </row>
    <row r="211" spans="4:22" s="12" customFormat="1" x14ac:dyDescent="0.2">
      <c r="D211" s="107"/>
      <c r="E211" s="35"/>
      <c r="F211" s="36"/>
      <c r="G211" s="37"/>
      <c r="H211" s="38"/>
      <c r="I211" s="39"/>
      <c r="J211" s="39"/>
      <c r="K211" s="35"/>
      <c r="L211" s="107"/>
      <c r="M211" s="40"/>
      <c r="O211" s="107"/>
      <c r="P211" s="22"/>
      <c r="R211" s="81"/>
      <c r="S211" s="81"/>
      <c r="T211" s="81"/>
      <c r="U211" s="81"/>
      <c r="V211" s="107"/>
    </row>
    <row r="212" spans="4:22" s="12" customFormat="1" x14ac:dyDescent="0.2">
      <c r="D212" s="107"/>
      <c r="E212" s="35"/>
      <c r="F212" s="36"/>
      <c r="G212" s="37"/>
      <c r="H212" s="38"/>
      <c r="I212" s="39"/>
      <c r="J212" s="39"/>
      <c r="K212" s="35"/>
      <c r="L212" s="107"/>
      <c r="M212" s="40"/>
      <c r="O212" s="107"/>
      <c r="P212" s="22"/>
      <c r="R212" s="81"/>
      <c r="S212" s="81"/>
      <c r="T212" s="81"/>
      <c r="U212" s="81"/>
      <c r="V212" s="107"/>
    </row>
    <row r="213" spans="4:22" s="12" customFormat="1" x14ac:dyDescent="0.2">
      <c r="D213" s="107"/>
      <c r="E213" s="35"/>
      <c r="F213" s="36"/>
      <c r="G213" s="37"/>
      <c r="H213" s="38"/>
      <c r="I213" s="39"/>
      <c r="J213" s="39"/>
      <c r="K213" s="35"/>
      <c r="L213" s="107"/>
      <c r="M213" s="40"/>
      <c r="O213" s="107"/>
      <c r="P213" s="22"/>
      <c r="R213" s="81"/>
      <c r="S213" s="81"/>
      <c r="T213" s="81"/>
      <c r="U213" s="81"/>
      <c r="V213" s="107"/>
    </row>
    <row r="214" spans="4:22" s="12" customFormat="1" x14ac:dyDescent="0.2">
      <c r="D214" s="107"/>
      <c r="E214" s="35"/>
      <c r="F214" s="36"/>
      <c r="G214" s="37"/>
      <c r="H214" s="38"/>
      <c r="I214" s="39"/>
      <c r="J214" s="39"/>
      <c r="K214" s="35"/>
      <c r="L214" s="107"/>
      <c r="M214" s="40"/>
      <c r="O214" s="107"/>
      <c r="P214" s="22"/>
      <c r="R214" s="81"/>
      <c r="S214" s="81"/>
      <c r="T214" s="81"/>
      <c r="U214" s="81"/>
      <c r="V214" s="107"/>
    </row>
    <row r="215" spans="4:22" s="12" customFormat="1" x14ac:dyDescent="0.2">
      <c r="D215" s="107"/>
      <c r="E215" s="35"/>
      <c r="F215" s="36"/>
      <c r="G215" s="37"/>
      <c r="H215" s="38"/>
      <c r="I215" s="39"/>
      <c r="J215" s="39"/>
      <c r="K215" s="35"/>
      <c r="L215" s="107"/>
      <c r="M215" s="40"/>
      <c r="O215" s="107"/>
      <c r="P215" s="22"/>
      <c r="R215" s="81"/>
      <c r="S215" s="81"/>
      <c r="T215" s="81"/>
      <c r="U215" s="81"/>
      <c r="V215" s="107"/>
    </row>
    <row r="216" spans="4:22" s="12" customFormat="1" x14ac:dyDescent="0.2">
      <c r="D216" s="107"/>
      <c r="E216" s="35"/>
      <c r="F216" s="36"/>
      <c r="G216" s="37"/>
      <c r="H216" s="38"/>
      <c r="I216" s="39"/>
      <c r="J216" s="39"/>
      <c r="K216" s="35"/>
      <c r="L216" s="107"/>
      <c r="M216" s="40"/>
      <c r="O216" s="107"/>
      <c r="P216" s="22"/>
      <c r="R216" s="81"/>
      <c r="S216" s="81"/>
      <c r="T216" s="81"/>
      <c r="U216" s="81"/>
      <c r="V216" s="107"/>
    </row>
    <row r="217" spans="4:22" s="12" customFormat="1" x14ac:dyDescent="0.2">
      <c r="D217" s="107"/>
      <c r="E217" s="35"/>
      <c r="F217" s="36"/>
      <c r="G217" s="37"/>
      <c r="H217" s="38"/>
      <c r="I217" s="39"/>
      <c r="J217" s="39"/>
      <c r="K217" s="35"/>
      <c r="L217" s="107"/>
      <c r="M217" s="40"/>
      <c r="O217" s="107"/>
      <c r="P217" s="22"/>
      <c r="R217" s="81"/>
      <c r="S217" s="81"/>
      <c r="T217" s="81"/>
      <c r="U217" s="81"/>
      <c r="V217" s="107"/>
    </row>
    <row r="218" spans="4:22" s="12" customFormat="1" x14ac:dyDescent="0.2">
      <c r="D218" s="107"/>
      <c r="E218" s="35"/>
      <c r="F218" s="36"/>
      <c r="G218" s="37"/>
      <c r="H218" s="38"/>
      <c r="I218" s="39"/>
      <c r="J218" s="39"/>
      <c r="K218" s="35"/>
      <c r="L218" s="107"/>
      <c r="M218" s="40"/>
      <c r="O218" s="107"/>
      <c r="P218" s="22"/>
      <c r="R218" s="81"/>
      <c r="S218" s="81"/>
      <c r="T218" s="81"/>
      <c r="U218" s="81"/>
      <c r="V218" s="107"/>
    </row>
    <row r="219" spans="4:22" s="12" customFormat="1" x14ac:dyDescent="0.2">
      <c r="D219" s="107"/>
      <c r="E219" s="35"/>
      <c r="F219" s="36"/>
      <c r="G219" s="37"/>
      <c r="H219" s="38"/>
      <c r="I219" s="39"/>
      <c r="J219" s="39"/>
      <c r="K219" s="35"/>
      <c r="L219" s="107"/>
      <c r="M219" s="40"/>
      <c r="O219" s="107"/>
      <c r="P219" s="22"/>
      <c r="R219" s="81"/>
      <c r="S219" s="81"/>
      <c r="T219" s="81"/>
      <c r="U219" s="81"/>
      <c r="V219" s="107"/>
    </row>
    <row r="220" spans="4:22" s="12" customFormat="1" x14ac:dyDescent="0.2">
      <c r="D220" s="107"/>
      <c r="E220" s="35"/>
      <c r="F220" s="36"/>
      <c r="G220" s="37"/>
      <c r="H220" s="38"/>
      <c r="I220" s="39"/>
      <c r="J220" s="39"/>
      <c r="K220" s="35"/>
      <c r="L220" s="107"/>
      <c r="M220" s="40"/>
      <c r="O220" s="107"/>
      <c r="P220" s="22"/>
      <c r="R220" s="81"/>
      <c r="S220" s="81"/>
      <c r="T220" s="81"/>
      <c r="U220" s="81"/>
      <c r="V220" s="107"/>
    </row>
    <row r="221" spans="4:22" s="12" customFormat="1" x14ac:dyDescent="0.2">
      <c r="D221" s="107"/>
      <c r="E221" s="35"/>
      <c r="F221" s="36"/>
      <c r="G221" s="37"/>
      <c r="H221" s="38"/>
      <c r="I221" s="39"/>
      <c r="J221" s="39"/>
      <c r="K221" s="35"/>
      <c r="L221" s="107"/>
      <c r="M221" s="40"/>
      <c r="O221" s="107"/>
      <c r="P221" s="22"/>
      <c r="R221" s="81"/>
      <c r="S221" s="81"/>
      <c r="T221" s="81"/>
      <c r="U221" s="81"/>
      <c r="V221" s="107"/>
    </row>
    <row r="222" spans="4:22" s="12" customFormat="1" x14ac:dyDescent="0.2">
      <c r="D222" s="107"/>
      <c r="E222" s="35"/>
      <c r="F222" s="36"/>
      <c r="G222" s="37"/>
      <c r="H222" s="38"/>
      <c r="I222" s="39"/>
      <c r="J222" s="39"/>
      <c r="K222" s="35"/>
      <c r="L222" s="107"/>
      <c r="M222" s="40"/>
      <c r="O222" s="107"/>
      <c r="P222" s="22"/>
      <c r="R222" s="81"/>
      <c r="S222" s="81"/>
      <c r="T222" s="81"/>
      <c r="U222" s="81"/>
      <c r="V222" s="107"/>
    </row>
    <row r="223" spans="4:22" s="12" customFormat="1" x14ac:dyDescent="0.2">
      <c r="D223" s="107"/>
      <c r="E223" s="35"/>
      <c r="F223" s="36"/>
      <c r="G223" s="37"/>
      <c r="H223" s="38"/>
      <c r="I223" s="39"/>
      <c r="J223" s="39"/>
      <c r="K223" s="35"/>
      <c r="L223" s="107"/>
      <c r="M223" s="40"/>
      <c r="O223" s="107"/>
      <c r="P223" s="22"/>
      <c r="R223" s="81"/>
      <c r="S223" s="81"/>
      <c r="T223" s="81"/>
      <c r="U223" s="81"/>
      <c r="V223" s="107"/>
    </row>
    <row r="224" spans="4:22" s="12" customFormat="1" x14ac:dyDescent="0.2">
      <c r="D224" s="107"/>
      <c r="E224" s="35"/>
      <c r="F224" s="36"/>
      <c r="G224" s="37"/>
      <c r="H224" s="38"/>
      <c r="I224" s="39"/>
      <c r="J224" s="39"/>
      <c r="K224" s="35"/>
      <c r="L224" s="107"/>
      <c r="M224" s="40"/>
      <c r="O224" s="107"/>
      <c r="P224" s="22"/>
      <c r="R224" s="81"/>
      <c r="S224" s="81"/>
      <c r="T224" s="81"/>
      <c r="U224" s="81"/>
      <c r="V224" s="107"/>
    </row>
    <row r="225" spans="4:22" s="12" customFormat="1" x14ac:dyDescent="0.2">
      <c r="D225" s="107"/>
      <c r="E225" s="35"/>
      <c r="F225" s="36"/>
      <c r="G225" s="37"/>
      <c r="H225" s="38"/>
      <c r="I225" s="39"/>
      <c r="J225" s="39"/>
      <c r="K225" s="35"/>
      <c r="L225" s="107"/>
      <c r="M225" s="40"/>
      <c r="O225" s="107"/>
      <c r="P225" s="22"/>
      <c r="R225" s="81"/>
      <c r="S225" s="81"/>
      <c r="T225" s="81"/>
      <c r="U225" s="81"/>
      <c r="V225" s="107"/>
    </row>
    <row r="226" spans="4:22" s="12" customFormat="1" x14ac:dyDescent="0.2">
      <c r="D226" s="107"/>
      <c r="E226" s="35"/>
      <c r="F226" s="36"/>
      <c r="G226" s="37"/>
      <c r="H226" s="38"/>
      <c r="I226" s="39"/>
      <c r="J226" s="39"/>
      <c r="K226" s="35"/>
      <c r="L226" s="107"/>
      <c r="M226" s="40"/>
      <c r="O226" s="107"/>
      <c r="P226" s="22"/>
      <c r="R226" s="81"/>
      <c r="S226" s="81"/>
      <c r="T226" s="81"/>
      <c r="U226" s="81"/>
      <c r="V226" s="107"/>
    </row>
    <row r="227" spans="4:22" s="12" customFormat="1" x14ac:dyDescent="0.2">
      <c r="D227" s="107"/>
      <c r="E227" s="35"/>
      <c r="F227" s="36"/>
      <c r="G227" s="37"/>
      <c r="H227" s="38"/>
      <c r="I227" s="39"/>
      <c r="J227" s="39"/>
      <c r="K227" s="35"/>
      <c r="L227" s="107"/>
      <c r="M227" s="40"/>
      <c r="O227" s="107"/>
      <c r="P227" s="22"/>
      <c r="R227" s="81"/>
      <c r="S227" s="81"/>
      <c r="T227" s="81"/>
      <c r="U227" s="81"/>
      <c r="V227" s="107"/>
    </row>
    <row r="228" spans="4:22" s="12" customFormat="1" x14ac:dyDescent="0.2">
      <c r="D228" s="107"/>
      <c r="E228" s="35"/>
      <c r="F228" s="36"/>
      <c r="G228" s="37"/>
      <c r="H228" s="38"/>
      <c r="I228" s="39"/>
      <c r="J228" s="39"/>
      <c r="K228" s="35"/>
      <c r="L228" s="107"/>
      <c r="M228" s="40"/>
      <c r="O228" s="107"/>
      <c r="P228" s="22"/>
      <c r="R228" s="81"/>
      <c r="S228" s="81"/>
      <c r="T228" s="81"/>
      <c r="U228" s="81"/>
      <c r="V228" s="107"/>
    </row>
    <row r="229" spans="4:22" s="12" customFormat="1" x14ac:dyDescent="0.2">
      <c r="D229" s="107"/>
      <c r="E229" s="35"/>
      <c r="F229" s="36"/>
      <c r="G229" s="37"/>
      <c r="H229" s="38"/>
      <c r="I229" s="39"/>
      <c r="J229" s="39"/>
      <c r="K229" s="35"/>
      <c r="L229" s="107"/>
      <c r="M229" s="40"/>
      <c r="O229" s="107"/>
      <c r="P229" s="22"/>
      <c r="R229" s="81"/>
      <c r="S229" s="81"/>
      <c r="T229" s="81"/>
      <c r="U229" s="81"/>
      <c r="V229" s="107"/>
    </row>
    <row r="230" spans="4:22" s="12" customFormat="1" x14ac:dyDescent="0.2">
      <c r="D230" s="107"/>
      <c r="E230" s="35"/>
      <c r="F230" s="36"/>
      <c r="G230" s="37"/>
      <c r="H230" s="38"/>
      <c r="I230" s="39"/>
      <c r="J230" s="39"/>
      <c r="K230" s="35"/>
      <c r="L230" s="107"/>
      <c r="M230" s="40"/>
      <c r="O230" s="107"/>
      <c r="P230" s="22"/>
      <c r="R230" s="81"/>
      <c r="S230" s="81"/>
      <c r="T230" s="81"/>
      <c r="U230" s="81"/>
      <c r="V230" s="107"/>
    </row>
    <row r="231" spans="4:22" s="12" customFormat="1" x14ac:dyDescent="0.2">
      <c r="D231" s="107"/>
      <c r="E231" s="35"/>
      <c r="F231" s="36"/>
      <c r="G231" s="37"/>
      <c r="H231" s="38"/>
      <c r="I231" s="39"/>
      <c r="J231" s="39"/>
      <c r="K231" s="35"/>
      <c r="L231" s="107"/>
      <c r="M231" s="40"/>
      <c r="O231" s="107"/>
      <c r="P231" s="22"/>
      <c r="R231" s="81"/>
      <c r="S231" s="81"/>
      <c r="T231" s="81"/>
      <c r="U231" s="81"/>
      <c r="V231" s="107"/>
    </row>
    <row r="232" spans="4:22" s="12" customFormat="1" x14ac:dyDescent="0.2">
      <c r="D232" s="107"/>
      <c r="E232" s="35"/>
      <c r="F232" s="36"/>
      <c r="G232" s="37"/>
      <c r="H232" s="38"/>
      <c r="I232" s="39"/>
      <c r="J232" s="39"/>
      <c r="K232" s="35"/>
      <c r="L232" s="107"/>
      <c r="M232" s="40"/>
      <c r="O232" s="107"/>
      <c r="P232" s="22"/>
      <c r="R232" s="81"/>
      <c r="S232" s="81"/>
      <c r="T232" s="81"/>
      <c r="U232" s="81"/>
      <c r="V232" s="107"/>
    </row>
    <row r="233" spans="4:22" s="12" customFormat="1" x14ac:dyDescent="0.2">
      <c r="D233" s="107"/>
      <c r="E233" s="35"/>
      <c r="F233" s="36"/>
      <c r="G233" s="37"/>
      <c r="H233" s="38"/>
      <c r="I233" s="39"/>
      <c r="J233" s="39"/>
      <c r="K233" s="35"/>
      <c r="L233" s="107"/>
      <c r="M233" s="40"/>
      <c r="O233" s="107"/>
      <c r="P233" s="22"/>
      <c r="R233" s="81"/>
      <c r="S233" s="81"/>
      <c r="T233" s="81"/>
      <c r="U233" s="81"/>
      <c r="V233" s="107"/>
    </row>
    <row r="234" spans="4:22" s="12" customFormat="1" x14ac:dyDescent="0.2">
      <c r="D234" s="107"/>
      <c r="E234" s="35"/>
      <c r="F234" s="36"/>
      <c r="G234" s="37"/>
      <c r="H234" s="38"/>
      <c r="I234" s="39"/>
      <c r="J234" s="39"/>
      <c r="K234" s="35"/>
      <c r="L234" s="107"/>
      <c r="M234" s="40"/>
      <c r="O234" s="107"/>
      <c r="P234" s="22"/>
      <c r="R234" s="81"/>
      <c r="S234" s="81"/>
      <c r="T234" s="81"/>
      <c r="U234" s="81"/>
      <c r="V234" s="107"/>
    </row>
    <row r="235" spans="4:22" s="12" customFormat="1" x14ac:dyDescent="0.2">
      <c r="D235" s="107"/>
      <c r="E235" s="35"/>
      <c r="F235" s="36"/>
      <c r="G235" s="37"/>
      <c r="H235" s="38"/>
      <c r="I235" s="39"/>
      <c r="J235" s="39"/>
      <c r="K235" s="35"/>
      <c r="L235" s="107"/>
      <c r="M235" s="40"/>
      <c r="O235" s="107"/>
      <c r="P235" s="22"/>
      <c r="R235" s="81"/>
      <c r="S235" s="81"/>
      <c r="T235" s="81"/>
      <c r="U235" s="81"/>
      <c r="V235" s="107"/>
    </row>
    <row r="236" spans="4:22" s="12" customFormat="1" x14ac:dyDescent="0.2">
      <c r="D236" s="107"/>
      <c r="E236" s="35"/>
      <c r="F236" s="36"/>
      <c r="G236" s="37"/>
      <c r="H236" s="38"/>
      <c r="I236" s="39"/>
      <c r="J236" s="39"/>
      <c r="K236" s="35"/>
      <c r="L236" s="107"/>
      <c r="M236" s="40"/>
      <c r="O236" s="107"/>
      <c r="P236" s="22"/>
      <c r="R236" s="81"/>
      <c r="S236" s="81"/>
      <c r="T236" s="81"/>
      <c r="U236" s="81"/>
      <c r="V236" s="107"/>
    </row>
    <row r="237" spans="4:22" s="12" customFormat="1" x14ac:dyDescent="0.2">
      <c r="D237" s="107"/>
      <c r="E237" s="35"/>
      <c r="F237" s="36"/>
      <c r="G237" s="37"/>
      <c r="H237" s="38"/>
      <c r="I237" s="39"/>
      <c r="J237" s="39"/>
      <c r="K237" s="35"/>
      <c r="L237" s="107"/>
      <c r="M237" s="40"/>
      <c r="O237" s="107"/>
      <c r="P237" s="22"/>
      <c r="R237" s="81"/>
      <c r="S237" s="81"/>
      <c r="T237" s="81"/>
      <c r="U237" s="81"/>
      <c r="V237" s="107"/>
    </row>
    <row r="238" spans="4:22" s="12" customFormat="1" x14ac:dyDescent="0.2">
      <c r="D238" s="107"/>
      <c r="E238" s="35"/>
      <c r="F238" s="36"/>
      <c r="G238" s="37"/>
      <c r="H238" s="38"/>
      <c r="I238" s="39"/>
      <c r="J238" s="39"/>
      <c r="K238" s="35"/>
      <c r="L238" s="107"/>
      <c r="M238" s="40"/>
      <c r="O238" s="107"/>
      <c r="P238" s="22"/>
      <c r="R238" s="81"/>
      <c r="S238" s="81"/>
      <c r="T238" s="81"/>
      <c r="U238" s="81"/>
      <c r="V238" s="107"/>
    </row>
    <row r="239" spans="4:22" s="12" customFormat="1" x14ac:dyDescent="0.2">
      <c r="D239" s="107"/>
      <c r="E239" s="35"/>
      <c r="F239" s="36"/>
      <c r="G239" s="37"/>
      <c r="H239" s="38"/>
      <c r="I239" s="39"/>
      <c r="J239" s="39"/>
      <c r="K239" s="35"/>
      <c r="L239" s="107"/>
      <c r="M239" s="40"/>
      <c r="O239" s="107"/>
      <c r="P239" s="22"/>
      <c r="R239" s="81"/>
      <c r="S239" s="81"/>
      <c r="T239" s="81"/>
      <c r="U239" s="81"/>
      <c r="V239" s="107"/>
    </row>
    <row r="240" spans="4:22" s="12" customFormat="1" x14ac:dyDescent="0.2">
      <c r="D240" s="107"/>
      <c r="E240" s="35"/>
      <c r="F240" s="36"/>
      <c r="G240" s="37"/>
      <c r="H240" s="38"/>
      <c r="I240" s="39"/>
      <c r="J240" s="39"/>
      <c r="K240" s="35"/>
      <c r="L240" s="107"/>
      <c r="M240" s="40"/>
      <c r="O240" s="107"/>
      <c r="P240" s="22"/>
      <c r="R240" s="81"/>
      <c r="S240" s="81"/>
      <c r="T240" s="81"/>
      <c r="U240" s="81"/>
      <c r="V240" s="107"/>
    </row>
    <row r="241" spans="4:22" s="12" customFormat="1" x14ac:dyDescent="0.2">
      <c r="D241" s="107"/>
      <c r="E241" s="35"/>
      <c r="F241" s="36"/>
      <c r="G241" s="37"/>
      <c r="H241" s="38"/>
      <c r="I241" s="39"/>
      <c r="J241" s="39"/>
      <c r="K241" s="35"/>
      <c r="L241" s="107"/>
      <c r="M241" s="40"/>
      <c r="O241" s="107"/>
      <c r="P241" s="22"/>
      <c r="R241" s="81"/>
      <c r="S241" s="81"/>
      <c r="T241" s="81"/>
      <c r="U241" s="81"/>
      <c r="V241" s="107"/>
    </row>
    <row r="242" spans="4:22" s="12" customFormat="1" x14ac:dyDescent="0.2">
      <c r="D242" s="107"/>
      <c r="E242" s="35"/>
      <c r="F242" s="36"/>
      <c r="G242" s="37"/>
      <c r="H242" s="38"/>
      <c r="I242" s="39"/>
      <c r="J242" s="39"/>
      <c r="K242" s="35"/>
      <c r="L242" s="107"/>
      <c r="M242" s="40"/>
      <c r="O242" s="107"/>
      <c r="P242" s="22"/>
      <c r="R242" s="81"/>
      <c r="S242" s="81"/>
      <c r="T242" s="81"/>
      <c r="U242" s="81"/>
      <c r="V242" s="107"/>
    </row>
    <row r="243" spans="4:22" s="12" customFormat="1" x14ac:dyDescent="0.2">
      <c r="D243" s="107"/>
      <c r="E243" s="35"/>
      <c r="F243" s="36"/>
      <c r="G243" s="37"/>
      <c r="H243" s="38"/>
      <c r="I243" s="39"/>
      <c r="J243" s="39"/>
      <c r="K243" s="35"/>
      <c r="L243" s="107"/>
      <c r="M243" s="40"/>
      <c r="O243" s="107"/>
      <c r="P243" s="22"/>
      <c r="R243" s="81"/>
      <c r="S243" s="81"/>
      <c r="T243" s="81"/>
      <c r="U243" s="81"/>
      <c r="V243" s="107"/>
    </row>
    <row r="244" spans="4:22" s="12" customFormat="1" x14ac:dyDescent="0.2">
      <c r="D244" s="107"/>
      <c r="E244" s="35"/>
      <c r="F244" s="36"/>
      <c r="G244" s="37"/>
      <c r="H244" s="38"/>
      <c r="I244" s="39"/>
      <c r="J244" s="39"/>
      <c r="K244" s="35"/>
      <c r="L244" s="107"/>
      <c r="M244" s="40"/>
      <c r="O244" s="107"/>
      <c r="P244" s="22"/>
      <c r="R244" s="81"/>
      <c r="S244" s="81"/>
      <c r="T244" s="81"/>
      <c r="U244" s="81"/>
      <c r="V244" s="107"/>
    </row>
    <row r="245" spans="4:22" s="12" customFormat="1" x14ac:dyDescent="0.2">
      <c r="D245" s="107"/>
      <c r="E245" s="35"/>
      <c r="F245" s="36"/>
      <c r="G245" s="37"/>
      <c r="H245" s="38"/>
      <c r="I245" s="39"/>
      <c r="J245" s="39"/>
      <c r="K245" s="35"/>
      <c r="L245" s="107"/>
      <c r="M245" s="40"/>
      <c r="O245" s="107"/>
      <c r="P245" s="22"/>
      <c r="R245" s="81"/>
      <c r="S245" s="81"/>
      <c r="T245" s="81"/>
      <c r="U245" s="81"/>
      <c r="V245" s="107"/>
    </row>
    <row r="246" spans="4:22" s="12" customFormat="1" x14ac:dyDescent="0.2">
      <c r="D246" s="107"/>
      <c r="E246" s="35"/>
      <c r="F246" s="36"/>
      <c r="G246" s="37"/>
      <c r="H246" s="38"/>
      <c r="I246" s="39"/>
      <c r="J246" s="39"/>
      <c r="K246" s="35"/>
      <c r="L246" s="107"/>
      <c r="M246" s="40"/>
      <c r="O246" s="107"/>
      <c r="P246" s="22"/>
      <c r="R246" s="81"/>
      <c r="S246" s="81"/>
      <c r="T246" s="81"/>
      <c r="U246" s="81"/>
      <c r="V246" s="107"/>
    </row>
    <row r="247" spans="4:22" s="12" customFormat="1" x14ac:dyDescent="0.2">
      <c r="D247" s="107"/>
      <c r="E247" s="35"/>
      <c r="F247" s="36"/>
      <c r="G247" s="37"/>
      <c r="H247" s="38"/>
      <c r="I247" s="39"/>
      <c r="J247" s="39"/>
      <c r="K247" s="35"/>
      <c r="L247" s="107"/>
      <c r="M247" s="40"/>
      <c r="O247" s="107"/>
      <c r="P247" s="22"/>
      <c r="R247" s="81"/>
      <c r="S247" s="81"/>
      <c r="T247" s="81"/>
      <c r="U247" s="81"/>
      <c r="V247" s="107"/>
    </row>
    <row r="248" spans="4:22" s="12" customFormat="1" x14ac:dyDescent="0.2">
      <c r="D248" s="107"/>
      <c r="E248" s="35"/>
      <c r="F248" s="36"/>
      <c r="G248" s="37"/>
      <c r="H248" s="38"/>
      <c r="I248" s="39"/>
      <c r="J248" s="39"/>
      <c r="K248" s="35"/>
      <c r="L248" s="107"/>
      <c r="M248" s="40"/>
      <c r="O248" s="107"/>
      <c r="P248" s="22"/>
      <c r="R248" s="81"/>
      <c r="S248" s="81"/>
      <c r="T248" s="81"/>
      <c r="U248" s="81"/>
      <c r="V248" s="107"/>
    </row>
    <row r="249" spans="4:22" s="12" customFormat="1" x14ac:dyDescent="0.2">
      <c r="D249" s="107"/>
      <c r="E249" s="35"/>
      <c r="F249" s="36"/>
      <c r="G249" s="37"/>
      <c r="H249" s="38"/>
      <c r="I249" s="39"/>
      <c r="J249" s="39"/>
      <c r="K249" s="35"/>
      <c r="L249" s="107"/>
      <c r="M249" s="40"/>
      <c r="O249" s="107"/>
      <c r="P249" s="22"/>
      <c r="R249" s="81"/>
      <c r="S249" s="81"/>
      <c r="T249" s="81"/>
      <c r="U249" s="81"/>
      <c r="V249" s="107"/>
    </row>
    <row r="250" spans="4:22" s="12" customFormat="1" x14ac:dyDescent="0.2">
      <c r="D250" s="107"/>
      <c r="E250" s="35"/>
      <c r="F250" s="36"/>
      <c r="G250" s="37"/>
      <c r="H250" s="38"/>
      <c r="I250" s="39"/>
      <c r="J250" s="39"/>
      <c r="K250" s="35"/>
      <c r="L250" s="107"/>
      <c r="M250" s="40"/>
      <c r="O250" s="107"/>
      <c r="P250" s="22"/>
      <c r="R250" s="81"/>
      <c r="S250" s="81"/>
      <c r="T250" s="81"/>
      <c r="U250" s="81"/>
      <c r="V250" s="107"/>
    </row>
    <row r="251" spans="4:22" s="12" customFormat="1" x14ac:dyDescent="0.2">
      <c r="D251" s="107"/>
      <c r="E251" s="35"/>
      <c r="F251" s="36"/>
      <c r="G251" s="37"/>
      <c r="H251" s="38"/>
      <c r="I251" s="39"/>
      <c r="J251" s="39"/>
      <c r="K251" s="35"/>
      <c r="L251" s="107"/>
      <c r="M251" s="40"/>
      <c r="O251" s="107"/>
      <c r="P251" s="22"/>
      <c r="R251" s="81"/>
      <c r="S251" s="81"/>
      <c r="T251" s="81"/>
      <c r="U251" s="81"/>
      <c r="V251" s="107"/>
    </row>
    <row r="252" spans="4:22" s="12" customFormat="1" x14ac:dyDescent="0.2">
      <c r="D252" s="107"/>
      <c r="E252" s="35"/>
      <c r="F252" s="36"/>
      <c r="G252" s="37"/>
      <c r="H252" s="38"/>
      <c r="I252" s="39"/>
      <c r="J252" s="39"/>
      <c r="K252" s="35"/>
      <c r="L252" s="107"/>
      <c r="M252" s="40"/>
      <c r="O252" s="107"/>
      <c r="P252" s="22"/>
      <c r="R252" s="81"/>
      <c r="S252" s="81"/>
      <c r="T252" s="81"/>
      <c r="U252" s="81"/>
      <c r="V252" s="107"/>
    </row>
    <row r="253" spans="4:22" s="12" customFormat="1" x14ac:dyDescent="0.2">
      <c r="D253" s="107"/>
      <c r="E253" s="35"/>
      <c r="F253" s="36"/>
      <c r="G253" s="37"/>
      <c r="H253" s="38"/>
      <c r="I253" s="39"/>
      <c r="J253" s="39"/>
      <c r="K253" s="35"/>
      <c r="L253" s="107"/>
      <c r="M253" s="40"/>
      <c r="O253" s="107"/>
      <c r="P253" s="22"/>
      <c r="R253" s="81"/>
      <c r="S253" s="81"/>
      <c r="T253" s="81"/>
      <c r="U253" s="81"/>
      <c r="V253" s="107"/>
    </row>
    <row r="254" spans="4:22" s="12" customFormat="1" x14ac:dyDescent="0.2">
      <c r="D254" s="107"/>
      <c r="E254" s="35"/>
      <c r="F254" s="36"/>
      <c r="G254" s="37"/>
      <c r="H254" s="38"/>
      <c r="I254" s="39"/>
      <c r="J254" s="39"/>
      <c r="K254" s="35"/>
      <c r="L254" s="107"/>
      <c r="M254" s="40"/>
      <c r="O254" s="107"/>
      <c r="P254" s="22"/>
      <c r="R254" s="81"/>
      <c r="S254" s="81"/>
      <c r="T254" s="81"/>
      <c r="U254" s="81"/>
      <c r="V254" s="107"/>
    </row>
    <row r="255" spans="4:22" s="12" customFormat="1" x14ac:dyDescent="0.2">
      <c r="D255" s="107"/>
      <c r="E255" s="35"/>
      <c r="F255" s="36"/>
      <c r="G255" s="37"/>
      <c r="H255" s="38"/>
      <c r="I255" s="39"/>
      <c r="J255" s="39"/>
      <c r="K255" s="35"/>
      <c r="L255" s="107"/>
      <c r="M255" s="40"/>
      <c r="O255" s="107"/>
      <c r="P255" s="22"/>
      <c r="R255" s="81"/>
      <c r="S255" s="81"/>
      <c r="T255" s="81"/>
      <c r="U255" s="81"/>
      <c r="V255" s="107"/>
    </row>
    <row r="256" spans="4:22" s="12" customFormat="1" x14ac:dyDescent="0.2">
      <c r="D256" s="107"/>
      <c r="E256" s="35"/>
      <c r="F256" s="36"/>
      <c r="G256" s="37"/>
      <c r="H256" s="38"/>
      <c r="I256" s="39"/>
      <c r="J256" s="39"/>
      <c r="K256" s="35"/>
      <c r="L256" s="107"/>
      <c r="M256" s="40"/>
      <c r="O256" s="107"/>
      <c r="P256" s="22"/>
      <c r="R256" s="81"/>
      <c r="S256" s="81"/>
      <c r="T256" s="81"/>
      <c r="U256" s="81"/>
      <c r="V256" s="107"/>
    </row>
    <row r="257" spans="4:22" s="12" customFormat="1" x14ac:dyDescent="0.2">
      <c r="D257" s="107"/>
      <c r="E257" s="35"/>
      <c r="F257" s="36"/>
      <c r="G257" s="37"/>
      <c r="H257" s="38"/>
      <c r="I257" s="39"/>
      <c r="J257" s="39"/>
      <c r="K257" s="35"/>
      <c r="L257" s="107"/>
      <c r="M257" s="40"/>
      <c r="O257" s="107"/>
      <c r="P257" s="22"/>
      <c r="R257" s="81"/>
      <c r="S257" s="81"/>
      <c r="T257" s="81"/>
      <c r="U257" s="81"/>
      <c r="V257" s="107"/>
    </row>
    <row r="258" spans="4:22" s="12" customFormat="1" x14ac:dyDescent="0.2">
      <c r="D258" s="107"/>
      <c r="E258" s="35"/>
      <c r="F258" s="36"/>
      <c r="G258" s="37"/>
      <c r="H258" s="38"/>
      <c r="I258" s="39"/>
      <c r="J258" s="39"/>
      <c r="K258" s="35"/>
      <c r="L258" s="107"/>
      <c r="M258" s="40"/>
      <c r="O258" s="107"/>
      <c r="P258" s="22"/>
      <c r="R258" s="81"/>
      <c r="S258" s="81"/>
      <c r="T258" s="81"/>
      <c r="U258" s="81"/>
      <c r="V258" s="107"/>
    </row>
    <row r="259" spans="4:22" s="12" customFormat="1" x14ac:dyDescent="0.2">
      <c r="D259" s="107"/>
      <c r="E259" s="35"/>
      <c r="F259" s="36"/>
      <c r="G259" s="37"/>
      <c r="H259" s="38"/>
      <c r="I259" s="39"/>
      <c r="J259" s="39"/>
      <c r="K259" s="35"/>
      <c r="L259" s="107"/>
      <c r="M259" s="40"/>
      <c r="O259" s="107"/>
      <c r="P259" s="22"/>
      <c r="R259" s="81"/>
      <c r="S259" s="81"/>
      <c r="T259" s="81"/>
      <c r="U259" s="81"/>
      <c r="V259" s="107"/>
    </row>
    <row r="260" spans="4:22" s="12" customFormat="1" x14ac:dyDescent="0.2">
      <c r="D260" s="107"/>
      <c r="E260" s="35"/>
      <c r="F260" s="36"/>
      <c r="G260" s="37"/>
      <c r="H260" s="38"/>
      <c r="I260" s="39"/>
      <c r="J260" s="39"/>
      <c r="K260" s="35"/>
      <c r="L260" s="107"/>
      <c r="M260" s="40"/>
      <c r="O260" s="107"/>
      <c r="P260" s="22"/>
      <c r="R260" s="81"/>
      <c r="S260" s="81"/>
      <c r="T260" s="81"/>
      <c r="U260" s="81"/>
      <c r="V260" s="107"/>
    </row>
    <row r="261" spans="4:22" s="12" customFormat="1" x14ac:dyDescent="0.2">
      <c r="D261" s="107"/>
      <c r="E261" s="35"/>
      <c r="F261" s="36"/>
      <c r="G261" s="37"/>
      <c r="H261" s="38"/>
      <c r="I261" s="39"/>
      <c r="J261" s="39"/>
      <c r="K261" s="35"/>
      <c r="L261" s="107"/>
      <c r="M261" s="40"/>
      <c r="O261" s="107"/>
      <c r="P261" s="22"/>
      <c r="R261" s="81"/>
      <c r="S261" s="81"/>
      <c r="T261" s="81"/>
      <c r="U261" s="81"/>
      <c r="V261" s="107"/>
    </row>
    <row r="262" spans="4:22" s="12" customFormat="1" x14ac:dyDescent="0.2">
      <c r="D262" s="107"/>
      <c r="E262" s="35"/>
      <c r="F262" s="36"/>
      <c r="G262" s="37"/>
      <c r="H262" s="38"/>
      <c r="I262" s="39"/>
      <c r="J262" s="39"/>
      <c r="K262" s="35"/>
      <c r="L262" s="107"/>
      <c r="M262" s="40"/>
      <c r="O262" s="107"/>
      <c r="P262" s="22"/>
      <c r="R262" s="81"/>
      <c r="S262" s="81"/>
      <c r="T262" s="81"/>
      <c r="U262" s="81"/>
      <c r="V262" s="107"/>
    </row>
    <row r="263" spans="4:22" s="12" customFormat="1" x14ac:dyDescent="0.2">
      <c r="D263" s="107"/>
      <c r="E263" s="35"/>
      <c r="F263" s="36"/>
      <c r="G263" s="37"/>
      <c r="H263" s="38"/>
      <c r="I263" s="39"/>
      <c r="J263" s="39"/>
      <c r="K263" s="35"/>
      <c r="L263" s="107"/>
      <c r="M263" s="40"/>
      <c r="O263" s="107"/>
      <c r="P263" s="22"/>
      <c r="R263" s="81"/>
      <c r="S263" s="81"/>
      <c r="T263" s="81"/>
      <c r="U263" s="81"/>
      <c r="V263" s="107"/>
    </row>
    <row r="264" spans="4:22" s="12" customFormat="1" x14ac:dyDescent="0.2">
      <c r="D264" s="107"/>
      <c r="E264" s="35"/>
      <c r="F264" s="36"/>
      <c r="G264" s="37"/>
      <c r="H264" s="38"/>
      <c r="I264" s="39"/>
      <c r="J264" s="39"/>
      <c r="K264" s="35"/>
      <c r="L264" s="107"/>
      <c r="M264" s="40"/>
      <c r="O264" s="107"/>
      <c r="P264" s="22"/>
      <c r="R264" s="81"/>
      <c r="S264" s="81"/>
      <c r="T264" s="81"/>
      <c r="U264" s="81"/>
      <c r="V264" s="107"/>
    </row>
    <row r="265" spans="4:22" s="12" customFormat="1" x14ac:dyDescent="0.2">
      <c r="D265" s="107"/>
      <c r="E265" s="35"/>
      <c r="F265" s="36"/>
      <c r="G265" s="37"/>
      <c r="H265" s="38"/>
      <c r="I265" s="39"/>
      <c r="J265" s="39"/>
      <c r="K265" s="35"/>
      <c r="L265" s="107"/>
      <c r="M265" s="40"/>
      <c r="O265" s="107"/>
      <c r="P265" s="22"/>
      <c r="R265" s="81"/>
      <c r="S265" s="81"/>
      <c r="T265" s="81"/>
      <c r="U265" s="81"/>
      <c r="V265" s="107"/>
    </row>
    <row r="266" spans="4:22" s="12" customFormat="1" x14ac:dyDescent="0.2">
      <c r="D266" s="107"/>
      <c r="E266" s="35"/>
      <c r="F266" s="36"/>
      <c r="G266" s="37"/>
      <c r="H266" s="38"/>
      <c r="I266" s="39"/>
      <c r="J266" s="39"/>
      <c r="K266" s="35"/>
      <c r="L266" s="107"/>
      <c r="M266" s="40"/>
      <c r="O266" s="107"/>
      <c r="P266" s="22"/>
      <c r="R266" s="81"/>
      <c r="S266" s="81"/>
      <c r="T266" s="81"/>
      <c r="U266" s="81"/>
      <c r="V266" s="107"/>
    </row>
    <row r="267" spans="4:22" s="12" customFormat="1" x14ac:dyDescent="0.2">
      <c r="D267" s="107"/>
      <c r="E267" s="35"/>
      <c r="F267" s="36"/>
      <c r="G267" s="37"/>
      <c r="H267" s="38"/>
      <c r="I267" s="39"/>
      <c r="J267" s="39"/>
      <c r="K267" s="35"/>
      <c r="L267" s="107"/>
      <c r="M267" s="40"/>
      <c r="O267" s="107"/>
      <c r="P267" s="22"/>
      <c r="R267" s="81"/>
      <c r="S267" s="81"/>
      <c r="T267" s="81"/>
      <c r="U267" s="81"/>
      <c r="V267" s="107"/>
    </row>
    <row r="268" spans="4:22" s="12" customFormat="1" x14ac:dyDescent="0.2">
      <c r="D268" s="107"/>
      <c r="E268" s="35"/>
      <c r="F268" s="36"/>
      <c r="G268" s="37"/>
      <c r="H268" s="38"/>
      <c r="I268" s="39"/>
      <c r="J268" s="39"/>
      <c r="K268" s="35"/>
      <c r="L268" s="107"/>
      <c r="M268" s="40"/>
      <c r="O268" s="107"/>
      <c r="P268" s="22"/>
      <c r="R268" s="81"/>
      <c r="S268" s="81"/>
      <c r="T268" s="81"/>
      <c r="U268" s="81"/>
      <c r="V268" s="107"/>
    </row>
    <row r="269" spans="4:22" s="12" customFormat="1" x14ac:dyDescent="0.2">
      <c r="D269" s="107"/>
      <c r="E269" s="35"/>
      <c r="F269" s="36"/>
      <c r="G269" s="37"/>
      <c r="H269" s="38"/>
      <c r="I269" s="39"/>
      <c r="J269" s="39"/>
      <c r="K269" s="35"/>
      <c r="L269" s="107"/>
      <c r="M269" s="40"/>
      <c r="O269" s="107"/>
      <c r="P269" s="22"/>
      <c r="R269" s="81"/>
      <c r="S269" s="81"/>
      <c r="T269" s="81"/>
      <c r="U269" s="81"/>
      <c r="V269" s="107"/>
    </row>
    <row r="270" spans="4:22" s="12" customFormat="1" x14ac:dyDescent="0.2">
      <c r="D270" s="107"/>
      <c r="E270" s="35"/>
      <c r="F270" s="36"/>
      <c r="G270" s="37"/>
      <c r="H270" s="38"/>
      <c r="I270" s="39"/>
      <c r="J270" s="39"/>
      <c r="K270" s="35"/>
      <c r="L270" s="107"/>
      <c r="M270" s="40"/>
      <c r="O270" s="107"/>
      <c r="P270" s="22"/>
      <c r="R270" s="81"/>
      <c r="S270" s="81"/>
      <c r="T270" s="81"/>
      <c r="U270" s="81"/>
      <c r="V270" s="107"/>
    </row>
    <row r="271" spans="4:22" s="12" customFormat="1" x14ac:dyDescent="0.2">
      <c r="D271" s="107"/>
      <c r="E271" s="35"/>
      <c r="F271" s="36"/>
      <c r="G271" s="37"/>
      <c r="H271" s="38"/>
      <c r="I271" s="39"/>
      <c r="J271" s="39"/>
      <c r="K271" s="35"/>
      <c r="L271" s="107"/>
      <c r="M271" s="40"/>
      <c r="O271" s="107"/>
      <c r="P271" s="22"/>
      <c r="R271" s="81"/>
      <c r="S271" s="81"/>
      <c r="T271" s="81"/>
      <c r="U271" s="81"/>
      <c r="V271" s="107"/>
    </row>
    <row r="272" spans="4:22" s="12" customFormat="1" x14ac:dyDescent="0.2">
      <c r="D272" s="107"/>
      <c r="E272" s="35"/>
      <c r="F272" s="36"/>
      <c r="G272" s="37"/>
      <c r="H272" s="38"/>
      <c r="I272" s="39"/>
      <c r="J272" s="39"/>
      <c r="K272" s="35"/>
      <c r="L272" s="107"/>
      <c r="M272" s="40"/>
      <c r="O272" s="107"/>
      <c r="P272" s="22"/>
      <c r="R272" s="81"/>
      <c r="S272" s="81"/>
      <c r="T272" s="81"/>
      <c r="U272" s="81"/>
      <c r="V272" s="107"/>
    </row>
    <row r="273" spans="4:22" s="12" customFormat="1" x14ac:dyDescent="0.2">
      <c r="D273" s="107"/>
      <c r="E273" s="35"/>
      <c r="F273" s="36"/>
      <c r="G273" s="37"/>
      <c r="H273" s="38"/>
      <c r="I273" s="39"/>
      <c r="J273" s="39"/>
      <c r="K273" s="35"/>
      <c r="L273" s="107"/>
      <c r="M273" s="40"/>
      <c r="O273" s="107"/>
      <c r="P273" s="22"/>
      <c r="R273" s="81"/>
      <c r="S273" s="81"/>
      <c r="T273" s="81"/>
      <c r="U273" s="81"/>
      <c r="V273" s="107"/>
    </row>
    <row r="274" spans="4:22" s="12" customFormat="1" x14ac:dyDescent="0.2">
      <c r="D274" s="107"/>
      <c r="E274" s="35"/>
      <c r="F274" s="36"/>
      <c r="G274" s="37"/>
      <c r="H274" s="38"/>
      <c r="I274" s="39"/>
      <c r="J274" s="39"/>
      <c r="K274" s="35"/>
      <c r="L274" s="107"/>
      <c r="M274" s="40"/>
      <c r="O274" s="107"/>
      <c r="P274" s="22"/>
      <c r="R274" s="81"/>
      <c r="S274" s="81"/>
      <c r="T274" s="81"/>
      <c r="U274" s="81"/>
      <c r="V274" s="107"/>
    </row>
    <row r="275" spans="4:22" s="12" customFormat="1" x14ac:dyDescent="0.2">
      <c r="D275" s="107"/>
      <c r="E275" s="35"/>
      <c r="F275" s="36"/>
      <c r="G275" s="37"/>
      <c r="H275" s="38"/>
      <c r="I275" s="39"/>
      <c r="J275" s="39"/>
      <c r="K275" s="35"/>
      <c r="L275" s="107"/>
      <c r="M275" s="40"/>
      <c r="O275" s="107"/>
      <c r="P275" s="22"/>
      <c r="R275" s="81"/>
      <c r="S275" s="81"/>
      <c r="T275" s="81"/>
      <c r="U275" s="81"/>
      <c r="V275" s="107"/>
    </row>
    <row r="276" spans="4:22" s="12" customFormat="1" x14ac:dyDescent="0.2">
      <c r="D276" s="107"/>
      <c r="E276" s="35"/>
      <c r="F276" s="36"/>
      <c r="G276" s="37"/>
      <c r="H276" s="38"/>
      <c r="I276" s="39"/>
      <c r="J276" s="39"/>
      <c r="K276" s="35"/>
      <c r="L276" s="107"/>
      <c r="M276" s="40"/>
      <c r="O276" s="107"/>
      <c r="P276" s="22"/>
      <c r="R276" s="81"/>
      <c r="S276" s="81"/>
      <c r="T276" s="81"/>
      <c r="U276" s="81"/>
      <c r="V276" s="107"/>
    </row>
    <row r="277" spans="4:22" s="12" customFormat="1" x14ac:dyDescent="0.2">
      <c r="D277" s="107"/>
      <c r="E277" s="35"/>
      <c r="F277" s="36"/>
      <c r="G277" s="37"/>
      <c r="H277" s="38"/>
      <c r="I277" s="39"/>
      <c r="J277" s="39"/>
      <c r="K277" s="35"/>
      <c r="L277" s="107"/>
      <c r="M277" s="40"/>
      <c r="O277" s="107"/>
      <c r="P277" s="22"/>
      <c r="R277" s="81"/>
      <c r="S277" s="81"/>
      <c r="T277" s="81"/>
      <c r="U277" s="81"/>
      <c r="V277" s="107"/>
    </row>
    <row r="278" spans="4:22" s="12" customFormat="1" x14ac:dyDescent="0.2">
      <c r="D278" s="107"/>
      <c r="E278" s="35"/>
      <c r="F278" s="36"/>
      <c r="G278" s="37"/>
      <c r="H278" s="38"/>
      <c r="I278" s="39"/>
      <c r="J278" s="39"/>
      <c r="K278" s="35"/>
      <c r="L278" s="107"/>
      <c r="M278" s="40"/>
      <c r="O278" s="107"/>
      <c r="P278" s="22"/>
      <c r="R278" s="81"/>
      <c r="S278" s="81"/>
      <c r="T278" s="81"/>
      <c r="U278" s="81"/>
      <c r="V278" s="107"/>
    </row>
    <row r="279" spans="4:22" s="12" customFormat="1" x14ac:dyDescent="0.2">
      <c r="D279" s="107"/>
      <c r="E279" s="35"/>
      <c r="F279" s="36"/>
      <c r="G279" s="37"/>
      <c r="H279" s="38"/>
      <c r="I279" s="39"/>
      <c r="J279" s="39"/>
      <c r="K279" s="35"/>
      <c r="L279" s="107"/>
      <c r="M279" s="40"/>
      <c r="O279" s="107"/>
      <c r="P279" s="22"/>
      <c r="R279" s="81"/>
      <c r="S279" s="81"/>
      <c r="T279" s="81"/>
      <c r="U279" s="81"/>
      <c r="V279" s="107"/>
    </row>
    <row r="280" spans="4:22" s="12" customFormat="1" x14ac:dyDescent="0.2">
      <c r="D280" s="107"/>
      <c r="E280" s="35"/>
      <c r="F280" s="36"/>
      <c r="G280" s="37"/>
      <c r="H280" s="38"/>
      <c r="I280" s="39"/>
      <c r="J280" s="39"/>
      <c r="K280" s="35"/>
      <c r="L280" s="107"/>
      <c r="M280" s="40"/>
      <c r="O280" s="107"/>
      <c r="P280" s="22"/>
      <c r="R280" s="81"/>
      <c r="S280" s="81"/>
      <c r="T280" s="81"/>
      <c r="U280" s="81"/>
      <c r="V280" s="107"/>
    </row>
    <row r="281" spans="4:22" s="12" customFormat="1" x14ac:dyDescent="0.2">
      <c r="D281" s="107"/>
      <c r="E281" s="35"/>
      <c r="F281" s="36"/>
      <c r="G281" s="37"/>
      <c r="H281" s="38"/>
      <c r="I281" s="39"/>
      <c r="J281" s="39"/>
      <c r="K281" s="35"/>
      <c r="L281" s="107"/>
      <c r="M281" s="40"/>
      <c r="O281" s="107"/>
      <c r="P281" s="22"/>
      <c r="R281" s="81"/>
      <c r="S281" s="81"/>
      <c r="T281" s="81"/>
      <c r="U281" s="81"/>
      <c r="V281" s="107"/>
    </row>
    <row r="282" spans="4:22" s="12" customFormat="1" x14ac:dyDescent="0.2">
      <c r="D282" s="107"/>
      <c r="E282" s="35"/>
      <c r="F282" s="36"/>
      <c r="G282" s="37"/>
      <c r="H282" s="38"/>
      <c r="I282" s="39"/>
      <c r="J282" s="39"/>
      <c r="K282" s="35"/>
      <c r="L282" s="107"/>
      <c r="M282" s="40"/>
      <c r="O282" s="107"/>
      <c r="P282" s="22"/>
      <c r="R282" s="81"/>
      <c r="S282" s="81"/>
      <c r="T282" s="81"/>
      <c r="U282" s="81"/>
      <c r="V282" s="107"/>
    </row>
    <row r="283" spans="4:22" s="12" customFormat="1" x14ac:dyDescent="0.2">
      <c r="D283" s="107"/>
      <c r="E283" s="35"/>
      <c r="F283" s="36"/>
      <c r="G283" s="37"/>
      <c r="H283" s="38"/>
      <c r="I283" s="39"/>
      <c r="J283" s="39"/>
      <c r="K283" s="35"/>
      <c r="L283" s="107"/>
      <c r="M283" s="40"/>
      <c r="O283" s="107"/>
      <c r="P283" s="22"/>
      <c r="R283" s="81"/>
      <c r="S283" s="81"/>
      <c r="T283" s="81"/>
      <c r="U283" s="81"/>
      <c r="V283" s="107"/>
    </row>
    <row r="284" spans="4:22" s="12" customFormat="1" x14ac:dyDescent="0.2">
      <c r="D284" s="107"/>
      <c r="E284" s="35"/>
      <c r="F284" s="36"/>
      <c r="G284" s="37"/>
      <c r="H284" s="38"/>
      <c r="I284" s="39"/>
      <c r="J284" s="39"/>
      <c r="K284" s="35"/>
      <c r="L284" s="107"/>
      <c r="M284" s="40"/>
      <c r="O284" s="107"/>
      <c r="P284" s="22"/>
      <c r="R284" s="81"/>
      <c r="S284" s="81"/>
      <c r="T284" s="81"/>
      <c r="U284" s="81"/>
      <c r="V284" s="107"/>
    </row>
    <row r="285" spans="4:22" s="12" customFormat="1" x14ac:dyDescent="0.2">
      <c r="D285" s="107"/>
      <c r="E285" s="35"/>
      <c r="F285" s="36"/>
      <c r="G285" s="37"/>
      <c r="H285" s="38"/>
      <c r="I285" s="39"/>
      <c r="J285" s="39"/>
      <c r="K285" s="35"/>
      <c r="L285" s="107"/>
      <c r="M285" s="40"/>
      <c r="O285" s="107"/>
      <c r="P285" s="22"/>
      <c r="R285" s="81"/>
      <c r="S285" s="81"/>
      <c r="T285" s="81"/>
      <c r="U285" s="81"/>
      <c r="V285" s="107"/>
    </row>
    <row r="286" spans="4:22" s="12" customFormat="1" x14ac:dyDescent="0.2">
      <c r="D286" s="107"/>
      <c r="E286" s="35"/>
      <c r="F286" s="36"/>
      <c r="G286" s="37"/>
      <c r="H286" s="38"/>
      <c r="I286" s="39"/>
      <c r="J286" s="39"/>
      <c r="K286" s="35"/>
      <c r="L286" s="107"/>
      <c r="M286" s="40"/>
      <c r="O286" s="107"/>
      <c r="P286" s="22"/>
      <c r="R286" s="81"/>
      <c r="S286" s="81"/>
      <c r="T286" s="81"/>
      <c r="U286" s="81"/>
      <c r="V286" s="107"/>
    </row>
    <row r="287" spans="4:22" s="12" customFormat="1" x14ac:dyDescent="0.2">
      <c r="D287" s="107"/>
      <c r="E287" s="35"/>
      <c r="F287" s="36"/>
      <c r="G287" s="37"/>
      <c r="H287" s="38"/>
      <c r="I287" s="39"/>
      <c r="J287" s="39"/>
      <c r="K287" s="35"/>
      <c r="L287" s="107"/>
      <c r="M287" s="40"/>
      <c r="O287" s="107"/>
      <c r="P287" s="22"/>
      <c r="R287" s="81"/>
      <c r="S287" s="81"/>
      <c r="T287" s="81"/>
      <c r="U287" s="81"/>
      <c r="V287" s="107"/>
    </row>
    <row r="288" spans="4:22" s="12" customFormat="1" x14ac:dyDescent="0.2">
      <c r="D288" s="107"/>
      <c r="E288" s="35"/>
      <c r="F288" s="36"/>
      <c r="G288" s="37"/>
      <c r="H288" s="38"/>
      <c r="I288" s="39"/>
      <c r="J288" s="39"/>
      <c r="K288" s="35"/>
      <c r="L288" s="107"/>
      <c r="M288" s="40"/>
      <c r="O288" s="107"/>
      <c r="P288" s="22"/>
      <c r="R288" s="81"/>
      <c r="S288" s="81"/>
      <c r="T288" s="81"/>
      <c r="U288" s="81"/>
      <c r="V288" s="107"/>
    </row>
    <row r="289" spans="4:22" s="12" customFormat="1" x14ac:dyDescent="0.2">
      <c r="D289" s="107"/>
      <c r="E289" s="35"/>
      <c r="F289" s="36"/>
      <c r="G289" s="37"/>
      <c r="H289" s="38"/>
      <c r="I289" s="39"/>
      <c r="J289" s="39"/>
      <c r="K289" s="35"/>
      <c r="L289" s="107"/>
      <c r="M289" s="40"/>
      <c r="O289" s="107"/>
      <c r="P289" s="22"/>
      <c r="R289" s="81"/>
      <c r="S289" s="81"/>
      <c r="T289" s="81"/>
      <c r="U289" s="81"/>
      <c r="V289" s="107"/>
    </row>
    <row r="290" spans="4:22" s="12" customFormat="1" x14ac:dyDescent="0.2">
      <c r="D290" s="107"/>
      <c r="E290" s="35"/>
      <c r="F290" s="36"/>
      <c r="G290" s="37"/>
      <c r="H290" s="38"/>
      <c r="I290" s="39"/>
      <c r="J290" s="39"/>
      <c r="K290" s="35"/>
      <c r="L290" s="107"/>
      <c r="M290" s="40"/>
      <c r="O290" s="107"/>
      <c r="P290" s="22"/>
      <c r="R290" s="81"/>
      <c r="S290" s="81"/>
      <c r="T290" s="81"/>
      <c r="U290" s="81"/>
      <c r="V290" s="107"/>
    </row>
    <row r="291" spans="4:22" s="12" customFormat="1" x14ac:dyDescent="0.2">
      <c r="D291" s="107"/>
      <c r="E291" s="35"/>
      <c r="F291" s="36"/>
      <c r="G291" s="37"/>
      <c r="H291" s="38"/>
      <c r="I291" s="39"/>
      <c r="J291" s="39"/>
      <c r="K291" s="35"/>
      <c r="L291" s="107"/>
      <c r="M291" s="40"/>
      <c r="O291" s="107"/>
      <c r="P291" s="22"/>
      <c r="R291" s="81"/>
      <c r="S291" s="81"/>
      <c r="T291" s="81"/>
      <c r="U291" s="81"/>
      <c r="V291" s="107"/>
    </row>
    <row r="292" spans="4:22" s="12" customFormat="1" x14ac:dyDescent="0.2">
      <c r="D292" s="107"/>
      <c r="E292" s="35"/>
      <c r="F292" s="36"/>
      <c r="G292" s="37"/>
      <c r="H292" s="38"/>
      <c r="I292" s="39"/>
      <c r="J292" s="39"/>
      <c r="K292" s="35"/>
      <c r="L292" s="107"/>
      <c r="M292" s="40"/>
      <c r="O292" s="107"/>
      <c r="P292" s="22"/>
      <c r="R292" s="81"/>
      <c r="S292" s="81"/>
      <c r="T292" s="81"/>
      <c r="U292" s="81"/>
      <c r="V292" s="107"/>
    </row>
    <row r="293" spans="4:22" s="12" customFormat="1" x14ac:dyDescent="0.2">
      <c r="D293" s="107"/>
      <c r="E293" s="35"/>
      <c r="F293" s="36"/>
      <c r="G293" s="37"/>
      <c r="H293" s="38"/>
      <c r="I293" s="39"/>
      <c r="J293" s="39"/>
      <c r="K293" s="35"/>
      <c r="L293" s="107"/>
      <c r="M293" s="40"/>
      <c r="O293" s="107"/>
      <c r="P293" s="22"/>
      <c r="R293" s="81"/>
      <c r="S293" s="81"/>
      <c r="T293" s="81"/>
      <c r="U293" s="81"/>
      <c r="V293" s="107"/>
    </row>
    <row r="294" spans="4:22" s="12" customFormat="1" x14ac:dyDescent="0.2">
      <c r="D294" s="107"/>
      <c r="E294" s="35"/>
      <c r="F294" s="36"/>
      <c r="G294" s="37"/>
      <c r="H294" s="38"/>
      <c r="I294" s="39"/>
      <c r="J294" s="39"/>
      <c r="K294" s="35"/>
      <c r="L294" s="107"/>
      <c r="M294" s="40"/>
      <c r="O294" s="107"/>
      <c r="P294" s="22"/>
      <c r="R294" s="81"/>
      <c r="S294" s="81"/>
      <c r="T294" s="81"/>
      <c r="U294" s="81"/>
      <c r="V294" s="107"/>
    </row>
    <row r="295" spans="4:22" s="12" customFormat="1" x14ac:dyDescent="0.2">
      <c r="D295" s="107"/>
      <c r="E295" s="35"/>
      <c r="F295" s="36"/>
      <c r="G295" s="37"/>
      <c r="H295" s="38"/>
      <c r="I295" s="39"/>
      <c r="J295" s="39"/>
      <c r="K295" s="35"/>
      <c r="L295" s="107"/>
      <c r="M295" s="40"/>
      <c r="O295" s="107"/>
      <c r="P295" s="22"/>
      <c r="R295" s="81"/>
      <c r="S295" s="81"/>
      <c r="T295" s="81"/>
      <c r="U295" s="81"/>
      <c r="V295" s="107"/>
    </row>
    <row r="296" spans="4:22" s="12" customFormat="1" x14ac:dyDescent="0.2">
      <c r="D296" s="107"/>
      <c r="E296" s="35"/>
      <c r="F296" s="36"/>
      <c r="G296" s="37"/>
      <c r="H296" s="38"/>
      <c r="I296" s="39"/>
      <c r="J296" s="39"/>
      <c r="K296" s="35"/>
      <c r="L296" s="107"/>
      <c r="M296" s="40"/>
      <c r="O296" s="107"/>
      <c r="P296" s="22"/>
      <c r="R296" s="81"/>
      <c r="S296" s="81"/>
      <c r="T296" s="81"/>
      <c r="U296" s="81"/>
      <c r="V296" s="107"/>
    </row>
    <row r="297" spans="4:22" s="12" customFormat="1" x14ac:dyDescent="0.2">
      <c r="D297" s="107"/>
      <c r="E297" s="35"/>
      <c r="F297" s="36"/>
      <c r="G297" s="37"/>
      <c r="H297" s="38"/>
      <c r="I297" s="39"/>
      <c r="J297" s="39"/>
      <c r="K297" s="35"/>
      <c r="L297" s="107"/>
      <c r="M297" s="40"/>
      <c r="O297" s="107"/>
      <c r="P297" s="22"/>
      <c r="R297" s="81"/>
      <c r="S297" s="81"/>
      <c r="T297" s="81"/>
      <c r="U297" s="81"/>
      <c r="V297" s="107"/>
    </row>
    <row r="298" spans="4:22" s="12" customFormat="1" x14ac:dyDescent="0.2">
      <c r="D298" s="107"/>
      <c r="E298" s="35"/>
      <c r="F298" s="36"/>
      <c r="G298" s="37"/>
      <c r="H298" s="38"/>
      <c r="I298" s="39"/>
      <c r="J298" s="39"/>
      <c r="K298" s="35"/>
      <c r="L298" s="107"/>
      <c r="M298" s="40"/>
      <c r="O298" s="107"/>
      <c r="P298" s="22"/>
      <c r="R298" s="81"/>
      <c r="S298" s="81"/>
      <c r="T298" s="81"/>
      <c r="U298" s="81"/>
      <c r="V298" s="107"/>
    </row>
    <row r="299" spans="4:22" s="12" customFormat="1" x14ac:dyDescent="0.2">
      <c r="D299" s="107"/>
      <c r="E299" s="35"/>
      <c r="F299" s="36"/>
      <c r="G299" s="37"/>
      <c r="H299" s="38"/>
      <c r="I299" s="39"/>
      <c r="J299" s="39"/>
      <c r="K299" s="35"/>
      <c r="L299" s="107"/>
      <c r="M299" s="40"/>
      <c r="O299" s="107"/>
      <c r="P299" s="22"/>
      <c r="R299" s="81"/>
      <c r="S299" s="81"/>
      <c r="T299" s="81"/>
      <c r="U299" s="81"/>
      <c r="V299" s="107"/>
    </row>
    <row r="300" spans="4:22" s="12" customFormat="1" x14ac:dyDescent="0.2">
      <c r="D300" s="107"/>
      <c r="E300" s="35"/>
      <c r="F300" s="36"/>
      <c r="G300" s="37"/>
      <c r="H300" s="38"/>
      <c r="I300" s="39"/>
      <c r="J300" s="39"/>
      <c r="K300" s="35"/>
      <c r="L300" s="107"/>
      <c r="M300" s="40"/>
      <c r="O300" s="107"/>
      <c r="P300" s="22"/>
      <c r="R300" s="81"/>
      <c r="S300" s="81"/>
      <c r="T300" s="81"/>
      <c r="U300" s="81"/>
      <c r="V300" s="107"/>
    </row>
    <row r="301" spans="4:22" s="12" customFormat="1" x14ac:dyDescent="0.2">
      <c r="D301" s="107"/>
      <c r="E301" s="35"/>
      <c r="F301" s="36"/>
      <c r="G301" s="37"/>
      <c r="H301" s="38"/>
      <c r="I301" s="39"/>
      <c r="J301" s="39"/>
      <c r="K301" s="35"/>
      <c r="L301" s="107"/>
      <c r="M301" s="40"/>
      <c r="O301" s="107"/>
      <c r="P301" s="22"/>
      <c r="R301" s="81"/>
      <c r="S301" s="81"/>
      <c r="T301" s="81"/>
      <c r="U301" s="81"/>
      <c r="V301" s="107"/>
    </row>
    <row r="302" spans="4:22" s="12" customFormat="1" x14ac:dyDescent="0.2">
      <c r="D302" s="107"/>
      <c r="E302" s="35"/>
      <c r="F302" s="36"/>
      <c r="G302" s="37"/>
      <c r="H302" s="38"/>
      <c r="I302" s="39"/>
      <c r="J302" s="39"/>
      <c r="K302" s="35"/>
      <c r="L302" s="107"/>
      <c r="M302" s="40"/>
      <c r="O302" s="107"/>
      <c r="P302" s="22"/>
      <c r="R302" s="81"/>
      <c r="S302" s="81"/>
      <c r="T302" s="81"/>
      <c r="U302" s="81"/>
      <c r="V302" s="107"/>
    </row>
    <row r="303" spans="4:22" s="12" customFormat="1" x14ac:dyDescent="0.2">
      <c r="D303" s="107"/>
      <c r="E303" s="35"/>
      <c r="F303" s="36"/>
      <c r="G303" s="37"/>
      <c r="H303" s="38"/>
      <c r="I303" s="39"/>
      <c r="J303" s="39"/>
      <c r="K303" s="35"/>
      <c r="L303" s="107"/>
      <c r="M303" s="40"/>
      <c r="O303" s="107"/>
      <c r="P303" s="22"/>
      <c r="R303" s="81"/>
      <c r="S303" s="81"/>
      <c r="T303" s="81"/>
      <c r="U303" s="81"/>
      <c r="V303" s="107"/>
    </row>
    <row r="304" spans="4:22" s="12" customFormat="1" x14ac:dyDescent="0.2">
      <c r="D304" s="107"/>
      <c r="E304" s="35"/>
      <c r="F304" s="36"/>
      <c r="G304" s="37"/>
      <c r="H304" s="38"/>
      <c r="I304" s="39"/>
      <c r="J304" s="39"/>
      <c r="K304" s="35"/>
      <c r="L304" s="107"/>
      <c r="M304" s="40"/>
      <c r="O304" s="107"/>
      <c r="P304" s="22"/>
      <c r="R304" s="81"/>
      <c r="S304" s="81"/>
      <c r="T304" s="81"/>
      <c r="U304" s="81"/>
      <c r="V304" s="107"/>
    </row>
    <row r="305" spans="4:22" s="12" customFormat="1" x14ac:dyDescent="0.2">
      <c r="D305" s="107"/>
      <c r="E305" s="35"/>
      <c r="F305" s="36"/>
      <c r="G305" s="37"/>
      <c r="H305" s="38"/>
      <c r="I305" s="39"/>
      <c r="J305" s="39"/>
      <c r="K305" s="35"/>
      <c r="L305" s="107"/>
      <c r="M305" s="40"/>
      <c r="O305" s="107"/>
      <c r="P305" s="22"/>
      <c r="R305" s="81"/>
      <c r="S305" s="81"/>
      <c r="T305" s="81"/>
      <c r="U305" s="81"/>
      <c r="V305" s="107"/>
    </row>
    <row r="306" spans="4:22" s="12" customFormat="1" x14ac:dyDescent="0.2">
      <c r="D306" s="107"/>
      <c r="E306" s="35"/>
      <c r="F306" s="36"/>
      <c r="G306" s="37"/>
      <c r="H306" s="38"/>
      <c r="I306" s="39"/>
      <c r="J306" s="39"/>
      <c r="K306" s="35"/>
      <c r="L306" s="107"/>
      <c r="M306" s="40"/>
      <c r="O306" s="107"/>
      <c r="P306" s="22"/>
      <c r="R306" s="81"/>
      <c r="S306" s="81"/>
      <c r="T306" s="81"/>
      <c r="U306" s="81"/>
      <c r="V306" s="107"/>
    </row>
    <row r="307" spans="4:22" s="12" customFormat="1" x14ac:dyDescent="0.2">
      <c r="D307" s="107"/>
      <c r="E307" s="35"/>
      <c r="F307" s="36"/>
      <c r="G307" s="37"/>
      <c r="H307" s="38"/>
      <c r="I307" s="39"/>
      <c r="J307" s="39"/>
      <c r="K307" s="35"/>
      <c r="L307" s="107"/>
      <c r="M307" s="40"/>
      <c r="O307" s="107"/>
      <c r="P307" s="22"/>
      <c r="R307" s="81"/>
      <c r="S307" s="81"/>
      <c r="T307" s="81"/>
      <c r="U307" s="81"/>
      <c r="V307" s="107"/>
    </row>
    <row r="308" spans="4:22" s="12" customFormat="1" x14ac:dyDescent="0.2">
      <c r="D308" s="107"/>
      <c r="E308" s="35"/>
      <c r="F308" s="36"/>
      <c r="G308" s="37"/>
      <c r="H308" s="38"/>
      <c r="I308" s="39"/>
      <c r="J308" s="39"/>
      <c r="K308" s="35"/>
      <c r="L308" s="107"/>
      <c r="M308" s="40"/>
      <c r="O308" s="107"/>
      <c r="P308" s="22"/>
      <c r="R308" s="81"/>
      <c r="S308" s="81"/>
      <c r="T308" s="81"/>
      <c r="U308" s="81"/>
      <c r="V308" s="107"/>
    </row>
    <row r="309" spans="4:22" s="12" customFormat="1" x14ac:dyDescent="0.2">
      <c r="D309" s="107"/>
      <c r="E309" s="35"/>
      <c r="F309" s="36"/>
      <c r="G309" s="37"/>
      <c r="H309" s="38"/>
      <c r="I309" s="39"/>
      <c r="J309" s="39"/>
      <c r="K309" s="35"/>
      <c r="L309" s="107"/>
      <c r="M309" s="40"/>
      <c r="O309" s="107"/>
      <c r="P309" s="22"/>
      <c r="R309" s="81"/>
      <c r="S309" s="81"/>
      <c r="T309" s="81"/>
      <c r="U309" s="81"/>
      <c r="V309" s="107"/>
    </row>
    <row r="310" spans="4:22" s="12" customFormat="1" x14ac:dyDescent="0.2">
      <c r="D310" s="107"/>
      <c r="E310" s="35"/>
      <c r="F310" s="36"/>
      <c r="G310" s="37"/>
      <c r="H310" s="38"/>
      <c r="I310" s="39"/>
      <c r="J310" s="39"/>
      <c r="K310" s="35"/>
      <c r="L310" s="107"/>
      <c r="M310" s="40"/>
      <c r="O310" s="107"/>
      <c r="P310" s="22"/>
      <c r="R310" s="81"/>
      <c r="S310" s="81"/>
      <c r="T310" s="81"/>
      <c r="U310" s="81"/>
      <c r="V310" s="107"/>
    </row>
    <row r="311" spans="4:22" s="12" customFormat="1" x14ac:dyDescent="0.2">
      <c r="D311" s="107"/>
      <c r="E311" s="35"/>
      <c r="F311" s="36"/>
      <c r="G311" s="37"/>
      <c r="H311" s="38"/>
      <c r="I311" s="39"/>
      <c r="J311" s="39"/>
      <c r="K311" s="35"/>
      <c r="L311" s="107"/>
      <c r="M311" s="40"/>
      <c r="O311" s="107"/>
      <c r="P311" s="22"/>
      <c r="R311" s="81"/>
      <c r="S311" s="81"/>
      <c r="T311" s="81"/>
      <c r="U311" s="81"/>
      <c r="V311" s="107"/>
    </row>
    <row r="312" spans="4:22" s="12" customFormat="1" x14ac:dyDescent="0.2">
      <c r="D312" s="107"/>
      <c r="E312" s="35"/>
      <c r="F312" s="36"/>
      <c r="G312" s="37"/>
      <c r="H312" s="38"/>
      <c r="I312" s="39"/>
      <c r="J312" s="39"/>
      <c r="K312" s="35"/>
      <c r="L312" s="107"/>
      <c r="M312" s="40"/>
      <c r="O312" s="107"/>
      <c r="P312" s="22"/>
      <c r="R312" s="81"/>
      <c r="S312" s="81"/>
      <c r="T312" s="81"/>
      <c r="U312" s="81"/>
      <c r="V312" s="107"/>
    </row>
    <row r="313" spans="4:22" s="12" customFormat="1" x14ac:dyDescent="0.2">
      <c r="D313" s="107"/>
      <c r="E313" s="35"/>
      <c r="F313" s="36"/>
      <c r="G313" s="37"/>
      <c r="H313" s="38"/>
      <c r="I313" s="39"/>
      <c r="J313" s="39"/>
      <c r="K313" s="35"/>
      <c r="L313" s="107"/>
      <c r="M313" s="40"/>
      <c r="O313" s="107"/>
      <c r="P313" s="22"/>
      <c r="R313" s="81"/>
      <c r="S313" s="81"/>
      <c r="T313" s="81"/>
      <c r="U313" s="81"/>
      <c r="V313" s="107"/>
    </row>
    <row r="314" spans="4:22" s="12" customFormat="1" x14ac:dyDescent="0.2">
      <c r="D314" s="107"/>
      <c r="E314" s="35"/>
      <c r="F314" s="36"/>
      <c r="G314" s="37"/>
      <c r="H314" s="38"/>
      <c r="I314" s="39"/>
      <c r="J314" s="39"/>
      <c r="K314" s="35"/>
      <c r="L314" s="107"/>
      <c r="M314" s="40"/>
      <c r="O314" s="107"/>
      <c r="P314" s="22"/>
      <c r="R314" s="81"/>
      <c r="S314" s="81"/>
      <c r="T314" s="81"/>
      <c r="U314" s="81"/>
      <c r="V314" s="107"/>
    </row>
    <row r="315" spans="4:22" s="12" customFormat="1" x14ac:dyDescent="0.2">
      <c r="D315" s="107"/>
      <c r="E315" s="35"/>
      <c r="F315" s="36"/>
      <c r="G315" s="37"/>
      <c r="H315" s="38"/>
      <c r="I315" s="39"/>
      <c r="J315" s="39"/>
      <c r="K315" s="35"/>
      <c r="L315" s="107"/>
      <c r="M315" s="40"/>
      <c r="O315" s="107"/>
      <c r="P315" s="22"/>
      <c r="R315" s="81"/>
      <c r="S315" s="81"/>
      <c r="T315" s="81"/>
      <c r="U315" s="81"/>
      <c r="V315" s="107"/>
    </row>
    <row r="316" spans="4:22" s="12" customFormat="1" x14ac:dyDescent="0.2">
      <c r="D316" s="107"/>
      <c r="E316" s="35"/>
      <c r="F316" s="36"/>
      <c r="G316" s="37"/>
      <c r="H316" s="38"/>
      <c r="I316" s="39"/>
      <c r="J316" s="39"/>
      <c r="K316" s="35"/>
      <c r="L316" s="107"/>
      <c r="M316" s="40"/>
      <c r="O316" s="107"/>
      <c r="P316" s="22"/>
      <c r="R316" s="81"/>
      <c r="S316" s="81"/>
      <c r="T316" s="81"/>
      <c r="U316" s="81"/>
      <c r="V316" s="107"/>
    </row>
    <row r="317" spans="4:22" s="12" customFormat="1" x14ac:dyDescent="0.2">
      <c r="D317" s="107"/>
      <c r="E317" s="35"/>
      <c r="F317" s="36"/>
      <c r="G317" s="37"/>
      <c r="H317" s="38"/>
      <c r="I317" s="39"/>
      <c r="J317" s="39"/>
      <c r="K317" s="35"/>
      <c r="L317" s="107"/>
      <c r="M317" s="40"/>
      <c r="O317" s="107"/>
      <c r="P317" s="22"/>
      <c r="R317" s="81"/>
      <c r="S317" s="81"/>
      <c r="T317" s="81"/>
      <c r="U317" s="81"/>
      <c r="V317" s="107"/>
    </row>
    <row r="318" spans="4:22" s="12" customFormat="1" x14ac:dyDescent="0.2">
      <c r="D318" s="107"/>
      <c r="E318" s="35"/>
      <c r="F318" s="36"/>
      <c r="G318" s="37"/>
      <c r="H318" s="38"/>
      <c r="I318" s="39"/>
      <c r="J318" s="39"/>
      <c r="K318" s="35"/>
      <c r="L318" s="107"/>
      <c r="M318" s="40"/>
      <c r="O318" s="107"/>
      <c r="P318" s="22"/>
      <c r="R318" s="81"/>
      <c r="S318" s="81"/>
      <c r="T318" s="81"/>
      <c r="U318" s="81"/>
      <c r="V318" s="107"/>
    </row>
    <row r="319" spans="4:22" s="12" customFormat="1" x14ac:dyDescent="0.2">
      <c r="D319" s="107"/>
      <c r="E319" s="35"/>
      <c r="F319" s="36"/>
      <c r="G319" s="37"/>
      <c r="H319" s="38"/>
      <c r="I319" s="39"/>
      <c r="J319" s="39"/>
      <c r="K319" s="35"/>
      <c r="L319" s="107"/>
      <c r="M319" s="40"/>
      <c r="O319" s="107"/>
      <c r="P319" s="22"/>
      <c r="R319" s="81"/>
      <c r="S319" s="81"/>
      <c r="T319" s="81"/>
      <c r="U319" s="81"/>
      <c r="V319" s="107"/>
    </row>
    <row r="320" spans="4:22" s="12" customFormat="1" x14ac:dyDescent="0.2">
      <c r="D320" s="107"/>
      <c r="E320" s="35"/>
      <c r="F320" s="36"/>
      <c r="G320" s="37"/>
      <c r="H320" s="38"/>
      <c r="I320" s="39"/>
      <c r="J320" s="39"/>
      <c r="K320" s="35"/>
      <c r="L320" s="107"/>
      <c r="M320" s="40"/>
      <c r="O320" s="107"/>
      <c r="P320" s="22"/>
      <c r="R320" s="81"/>
      <c r="S320" s="81"/>
      <c r="T320" s="81"/>
      <c r="U320" s="81"/>
      <c r="V320" s="107"/>
    </row>
    <row r="321" spans="4:22" s="12" customFormat="1" x14ac:dyDescent="0.2">
      <c r="D321" s="107"/>
      <c r="E321" s="35"/>
      <c r="F321" s="36"/>
      <c r="G321" s="37"/>
      <c r="H321" s="38"/>
      <c r="I321" s="39"/>
      <c r="J321" s="39"/>
      <c r="K321" s="35"/>
      <c r="L321" s="107"/>
      <c r="M321" s="40"/>
      <c r="O321" s="107"/>
      <c r="P321" s="22"/>
      <c r="R321" s="81"/>
      <c r="S321" s="81"/>
      <c r="T321" s="81"/>
      <c r="U321" s="81"/>
      <c r="V321" s="107"/>
    </row>
    <row r="322" spans="4:22" s="12" customFormat="1" x14ac:dyDescent="0.2">
      <c r="D322" s="107"/>
      <c r="E322" s="35"/>
      <c r="F322" s="36"/>
      <c r="G322" s="37"/>
      <c r="H322" s="38"/>
      <c r="I322" s="39"/>
      <c r="J322" s="39"/>
      <c r="K322" s="35"/>
      <c r="L322" s="107"/>
      <c r="M322" s="40"/>
      <c r="O322" s="107"/>
      <c r="P322" s="22"/>
      <c r="R322" s="81"/>
      <c r="S322" s="81"/>
      <c r="T322" s="81"/>
      <c r="U322" s="81"/>
      <c r="V322" s="107"/>
    </row>
    <row r="323" spans="4:22" s="12" customFormat="1" x14ac:dyDescent="0.2">
      <c r="D323" s="107"/>
      <c r="E323" s="35"/>
      <c r="F323" s="36"/>
      <c r="G323" s="37"/>
      <c r="H323" s="38"/>
      <c r="I323" s="39"/>
      <c r="J323" s="39"/>
      <c r="K323" s="35"/>
      <c r="L323" s="107"/>
      <c r="M323" s="40"/>
      <c r="O323" s="107"/>
      <c r="P323" s="22"/>
      <c r="R323" s="81"/>
      <c r="S323" s="81"/>
      <c r="T323" s="81"/>
      <c r="U323" s="81"/>
      <c r="V323" s="107"/>
    </row>
    <row r="324" spans="4:22" s="12" customFormat="1" x14ac:dyDescent="0.2">
      <c r="D324" s="107"/>
      <c r="E324" s="35"/>
      <c r="F324" s="36"/>
      <c r="G324" s="37"/>
      <c r="H324" s="38"/>
      <c r="I324" s="39"/>
      <c r="J324" s="39"/>
      <c r="K324" s="35"/>
      <c r="L324" s="107"/>
      <c r="M324" s="40"/>
      <c r="O324" s="107"/>
      <c r="P324" s="22"/>
      <c r="R324" s="81"/>
      <c r="S324" s="81"/>
      <c r="T324" s="81"/>
      <c r="U324" s="81"/>
      <c r="V324" s="107"/>
    </row>
    <row r="325" spans="4:22" s="12" customFormat="1" x14ac:dyDescent="0.2">
      <c r="D325" s="107"/>
      <c r="E325" s="35"/>
      <c r="F325" s="36"/>
      <c r="G325" s="37"/>
      <c r="H325" s="38"/>
      <c r="I325" s="39"/>
      <c r="J325" s="39"/>
      <c r="K325" s="35"/>
      <c r="L325" s="107"/>
      <c r="M325" s="40"/>
      <c r="O325" s="107"/>
      <c r="P325" s="22"/>
      <c r="R325" s="81"/>
      <c r="S325" s="81"/>
      <c r="T325" s="81"/>
      <c r="U325" s="81"/>
      <c r="V325" s="107"/>
    </row>
    <row r="326" spans="4:22" s="12" customFormat="1" x14ac:dyDescent="0.2">
      <c r="D326" s="107"/>
      <c r="E326" s="35"/>
      <c r="F326" s="36"/>
      <c r="G326" s="37"/>
      <c r="H326" s="38"/>
      <c r="I326" s="39"/>
      <c r="J326" s="39"/>
      <c r="K326" s="35"/>
      <c r="L326" s="107"/>
      <c r="M326" s="40"/>
      <c r="O326" s="107"/>
      <c r="P326" s="22"/>
      <c r="R326" s="81"/>
      <c r="S326" s="81"/>
      <c r="T326" s="81"/>
      <c r="U326" s="81"/>
      <c r="V326" s="107"/>
    </row>
    <row r="327" spans="4:22" s="12" customFormat="1" x14ac:dyDescent="0.2">
      <c r="D327" s="107"/>
      <c r="E327" s="35"/>
      <c r="F327" s="36"/>
      <c r="G327" s="37"/>
      <c r="H327" s="38"/>
      <c r="I327" s="39"/>
      <c r="J327" s="39"/>
      <c r="K327" s="35"/>
      <c r="L327" s="107"/>
      <c r="M327" s="40"/>
      <c r="O327" s="107"/>
      <c r="P327" s="22"/>
      <c r="R327" s="81"/>
      <c r="S327" s="81"/>
      <c r="T327" s="81"/>
      <c r="U327" s="81"/>
      <c r="V327" s="107"/>
    </row>
    <row r="328" spans="4:22" s="12" customFormat="1" x14ac:dyDescent="0.2">
      <c r="D328" s="107"/>
      <c r="E328" s="35"/>
      <c r="F328" s="36"/>
      <c r="G328" s="37"/>
      <c r="H328" s="38"/>
      <c r="I328" s="39"/>
      <c r="J328" s="39"/>
      <c r="K328" s="35"/>
      <c r="L328" s="107"/>
      <c r="M328" s="40"/>
      <c r="O328" s="107"/>
      <c r="P328" s="22"/>
      <c r="R328" s="81"/>
      <c r="S328" s="81"/>
      <c r="T328" s="81"/>
      <c r="U328" s="81"/>
      <c r="V328" s="107"/>
    </row>
    <row r="329" spans="4:22" s="12" customFormat="1" x14ac:dyDescent="0.2">
      <c r="D329" s="107"/>
      <c r="E329" s="35"/>
      <c r="F329" s="36"/>
      <c r="G329" s="37"/>
      <c r="H329" s="38"/>
      <c r="I329" s="39"/>
      <c r="J329" s="39"/>
      <c r="K329" s="35"/>
      <c r="L329" s="107"/>
      <c r="M329" s="40"/>
      <c r="O329" s="107"/>
      <c r="P329" s="22"/>
      <c r="R329" s="81"/>
      <c r="S329" s="81"/>
      <c r="T329" s="81"/>
      <c r="U329" s="81"/>
      <c r="V329" s="107"/>
    </row>
    <row r="330" spans="4:22" s="12" customFormat="1" x14ac:dyDescent="0.2">
      <c r="D330" s="107"/>
      <c r="E330" s="35"/>
      <c r="F330" s="36"/>
      <c r="G330" s="37"/>
      <c r="H330" s="38"/>
      <c r="I330" s="39"/>
      <c r="J330" s="39"/>
      <c r="K330" s="35"/>
      <c r="L330" s="107"/>
      <c r="M330" s="40"/>
      <c r="O330" s="107"/>
      <c r="P330" s="22"/>
      <c r="R330" s="81"/>
      <c r="S330" s="81"/>
      <c r="T330" s="81"/>
      <c r="U330" s="81"/>
      <c r="V330" s="107"/>
    </row>
    <row r="331" spans="4:22" s="12" customFormat="1" x14ac:dyDescent="0.2">
      <c r="D331" s="107"/>
      <c r="E331" s="35"/>
      <c r="F331" s="36"/>
      <c r="G331" s="37"/>
      <c r="H331" s="38"/>
      <c r="I331" s="39"/>
      <c r="J331" s="39"/>
      <c r="K331" s="35"/>
      <c r="L331" s="107"/>
      <c r="M331" s="40"/>
      <c r="O331" s="107"/>
      <c r="P331" s="22"/>
      <c r="R331" s="81"/>
      <c r="S331" s="81"/>
      <c r="T331" s="81"/>
      <c r="U331" s="81"/>
      <c r="V331" s="107"/>
    </row>
    <row r="332" spans="4:22" s="12" customFormat="1" x14ac:dyDescent="0.2">
      <c r="D332" s="107"/>
      <c r="E332" s="35"/>
      <c r="F332" s="36"/>
      <c r="G332" s="37"/>
      <c r="H332" s="38"/>
      <c r="I332" s="39"/>
      <c r="J332" s="39"/>
      <c r="K332" s="35"/>
      <c r="L332" s="107"/>
      <c r="M332" s="40"/>
      <c r="O332" s="107"/>
      <c r="P332" s="22"/>
      <c r="R332" s="81"/>
      <c r="S332" s="81"/>
      <c r="T332" s="81"/>
      <c r="U332" s="81"/>
      <c r="V332" s="107"/>
    </row>
    <row r="333" spans="4:22" s="12" customFormat="1" x14ac:dyDescent="0.2">
      <c r="D333" s="107"/>
      <c r="E333" s="35"/>
      <c r="F333" s="36"/>
      <c r="G333" s="37"/>
      <c r="H333" s="38"/>
      <c r="I333" s="39"/>
      <c r="J333" s="39"/>
      <c r="K333" s="35"/>
      <c r="L333" s="107"/>
      <c r="M333" s="40"/>
      <c r="O333" s="107"/>
      <c r="P333" s="22"/>
      <c r="R333" s="81"/>
      <c r="S333" s="81"/>
      <c r="T333" s="81"/>
      <c r="U333" s="81"/>
      <c r="V333" s="107"/>
    </row>
    <row r="334" spans="4:22" s="12" customFormat="1" x14ac:dyDescent="0.2">
      <c r="D334" s="107"/>
      <c r="E334" s="35"/>
      <c r="F334" s="36"/>
      <c r="G334" s="37"/>
      <c r="H334" s="38"/>
      <c r="I334" s="39"/>
      <c r="J334" s="39"/>
      <c r="K334" s="35"/>
      <c r="L334" s="107"/>
      <c r="M334" s="40"/>
      <c r="O334" s="107"/>
      <c r="P334" s="22"/>
      <c r="R334" s="81"/>
      <c r="S334" s="81"/>
      <c r="T334" s="81"/>
      <c r="U334" s="81"/>
      <c r="V334" s="107"/>
    </row>
    <row r="335" spans="4:22" s="12" customFormat="1" x14ac:dyDescent="0.2">
      <c r="D335" s="107"/>
      <c r="E335" s="35"/>
      <c r="F335" s="36"/>
      <c r="G335" s="37"/>
      <c r="H335" s="38"/>
      <c r="I335" s="39"/>
      <c r="J335" s="39"/>
      <c r="K335" s="35"/>
      <c r="L335" s="107"/>
      <c r="M335" s="40"/>
      <c r="O335" s="107"/>
      <c r="P335" s="22"/>
      <c r="R335" s="81"/>
      <c r="S335" s="81"/>
      <c r="T335" s="81"/>
      <c r="U335" s="81"/>
      <c r="V335" s="107"/>
    </row>
    <row r="336" spans="4:22" s="12" customFormat="1" x14ac:dyDescent="0.2">
      <c r="D336" s="107"/>
      <c r="E336" s="35"/>
      <c r="F336" s="36"/>
      <c r="G336" s="37"/>
      <c r="H336" s="38"/>
      <c r="I336" s="39"/>
      <c r="J336" s="39"/>
      <c r="K336" s="35"/>
      <c r="L336" s="107"/>
      <c r="M336" s="40"/>
      <c r="O336" s="107"/>
      <c r="P336" s="22"/>
      <c r="R336" s="81"/>
      <c r="S336" s="81"/>
      <c r="T336" s="81"/>
      <c r="U336" s="81"/>
      <c r="V336" s="107"/>
    </row>
    <row r="337" spans="4:22" s="12" customFormat="1" x14ac:dyDescent="0.2">
      <c r="D337" s="107"/>
      <c r="E337" s="35"/>
      <c r="F337" s="36"/>
      <c r="G337" s="37"/>
      <c r="H337" s="38"/>
      <c r="I337" s="39"/>
      <c r="J337" s="39"/>
      <c r="K337" s="35"/>
      <c r="L337" s="107"/>
      <c r="M337" s="40"/>
      <c r="O337" s="107"/>
      <c r="P337" s="22"/>
      <c r="R337" s="81"/>
      <c r="S337" s="81"/>
      <c r="T337" s="81"/>
      <c r="U337" s="81"/>
      <c r="V337" s="107"/>
    </row>
    <row r="338" spans="4:22" s="12" customFormat="1" x14ac:dyDescent="0.2">
      <c r="D338" s="107"/>
      <c r="E338" s="35"/>
      <c r="F338" s="36"/>
      <c r="G338" s="37"/>
      <c r="H338" s="38"/>
      <c r="I338" s="39"/>
      <c r="J338" s="39"/>
      <c r="K338" s="35"/>
      <c r="L338" s="107"/>
      <c r="M338" s="40"/>
      <c r="O338" s="107"/>
      <c r="P338" s="22"/>
      <c r="R338" s="81"/>
      <c r="S338" s="81"/>
      <c r="T338" s="81"/>
      <c r="U338" s="81"/>
      <c r="V338" s="107"/>
    </row>
    <row r="339" spans="4:22" s="12" customFormat="1" x14ac:dyDescent="0.2">
      <c r="D339" s="107"/>
      <c r="E339" s="35"/>
      <c r="F339" s="36"/>
      <c r="G339" s="37"/>
      <c r="H339" s="38"/>
      <c r="I339" s="39"/>
      <c r="J339" s="39"/>
      <c r="K339" s="35"/>
      <c r="L339" s="107"/>
      <c r="M339" s="40"/>
      <c r="O339" s="107"/>
      <c r="P339" s="22"/>
      <c r="R339" s="81"/>
      <c r="S339" s="81"/>
      <c r="T339" s="81"/>
      <c r="U339" s="81"/>
      <c r="V339" s="107"/>
    </row>
    <row r="340" spans="4:22" s="12" customFormat="1" x14ac:dyDescent="0.2">
      <c r="D340" s="107"/>
      <c r="E340" s="35"/>
      <c r="F340" s="36"/>
      <c r="G340" s="37"/>
      <c r="H340" s="38"/>
      <c r="I340" s="39"/>
      <c r="J340" s="39"/>
      <c r="K340" s="35"/>
      <c r="L340" s="107"/>
      <c r="M340" s="40"/>
      <c r="O340" s="107"/>
      <c r="P340" s="22"/>
      <c r="R340" s="81"/>
      <c r="S340" s="81"/>
      <c r="T340" s="81"/>
      <c r="U340" s="81"/>
      <c r="V340" s="107"/>
    </row>
    <row r="341" spans="4:22" s="12" customFormat="1" x14ac:dyDescent="0.2">
      <c r="D341" s="107"/>
      <c r="E341" s="35"/>
      <c r="F341" s="36"/>
      <c r="G341" s="37"/>
      <c r="H341" s="38"/>
      <c r="I341" s="39"/>
      <c r="J341" s="39"/>
      <c r="K341" s="35"/>
      <c r="L341" s="107"/>
      <c r="M341" s="40"/>
      <c r="O341" s="107"/>
      <c r="P341" s="22"/>
      <c r="R341" s="81"/>
      <c r="S341" s="81"/>
      <c r="T341" s="81"/>
      <c r="U341" s="81"/>
      <c r="V341" s="107"/>
    </row>
    <row r="342" spans="4:22" s="12" customFormat="1" x14ac:dyDescent="0.2">
      <c r="D342" s="107"/>
      <c r="E342" s="35"/>
      <c r="F342" s="36"/>
      <c r="G342" s="37"/>
      <c r="H342" s="38"/>
      <c r="I342" s="39"/>
      <c r="J342" s="39"/>
      <c r="K342" s="35"/>
      <c r="L342" s="107"/>
      <c r="M342" s="40"/>
      <c r="O342" s="107"/>
      <c r="P342" s="22"/>
      <c r="R342" s="81"/>
      <c r="S342" s="81"/>
      <c r="T342" s="81"/>
      <c r="U342" s="81"/>
      <c r="V342" s="107"/>
    </row>
    <row r="343" spans="4:22" s="12" customFormat="1" x14ac:dyDescent="0.2">
      <c r="D343" s="107"/>
      <c r="E343" s="35"/>
      <c r="F343" s="36"/>
      <c r="G343" s="37"/>
      <c r="H343" s="38"/>
      <c r="I343" s="39"/>
      <c r="J343" s="39"/>
      <c r="K343" s="35"/>
      <c r="L343" s="107"/>
      <c r="M343" s="40"/>
      <c r="O343" s="107"/>
      <c r="P343" s="22"/>
      <c r="R343" s="81"/>
      <c r="S343" s="81"/>
      <c r="T343" s="81"/>
      <c r="U343" s="81"/>
      <c r="V343" s="107"/>
    </row>
    <row r="344" spans="4:22" s="12" customFormat="1" x14ac:dyDescent="0.2">
      <c r="D344" s="107"/>
      <c r="E344" s="35"/>
      <c r="F344" s="36"/>
      <c r="G344" s="37"/>
      <c r="H344" s="38"/>
      <c r="I344" s="39"/>
      <c r="J344" s="39"/>
      <c r="K344" s="35"/>
      <c r="L344" s="107"/>
      <c r="M344" s="40"/>
      <c r="O344" s="107"/>
      <c r="P344" s="22"/>
      <c r="R344" s="81"/>
      <c r="S344" s="81"/>
      <c r="T344" s="81"/>
      <c r="U344" s="81"/>
      <c r="V344" s="107"/>
    </row>
    <row r="345" spans="4:22" s="12" customFormat="1" x14ac:dyDescent="0.2">
      <c r="D345" s="107"/>
      <c r="E345" s="35"/>
      <c r="F345" s="36"/>
      <c r="G345" s="37"/>
      <c r="H345" s="38"/>
      <c r="I345" s="39"/>
      <c r="J345" s="39"/>
      <c r="K345" s="35"/>
      <c r="L345" s="107"/>
      <c r="M345" s="40"/>
      <c r="O345" s="107"/>
      <c r="P345" s="22"/>
      <c r="R345" s="81"/>
      <c r="S345" s="81"/>
      <c r="T345" s="81"/>
      <c r="U345" s="81"/>
      <c r="V345" s="107"/>
    </row>
    <row r="346" spans="4:22" s="12" customFormat="1" x14ac:dyDescent="0.2">
      <c r="D346" s="107"/>
      <c r="E346" s="35"/>
      <c r="F346" s="36"/>
      <c r="G346" s="37"/>
      <c r="H346" s="38"/>
      <c r="I346" s="39"/>
      <c r="J346" s="39"/>
      <c r="K346" s="35"/>
      <c r="L346" s="107"/>
      <c r="M346" s="40"/>
      <c r="O346" s="107"/>
      <c r="P346" s="22"/>
      <c r="R346" s="81"/>
      <c r="S346" s="81"/>
      <c r="T346" s="81"/>
      <c r="U346" s="81"/>
      <c r="V346" s="107"/>
    </row>
    <row r="347" spans="4:22" s="12" customFormat="1" x14ac:dyDescent="0.2">
      <c r="D347" s="107"/>
      <c r="E347" s="35"/>
      <c r="F347" s="36"/>
      <c r="G347" s="37"/>
      <c r="H347" s="38"/>
      <c r="I347" s="39"/>
      <c r="J347" s="39"/>
      <c r="K347" s="35"/>
      <c r="L347" s="107"/>
      <c r="M347" s="40"/>
      <c r="O347" s="107"/>
      <c r="P347" s="22"/>
      <c r="R347" s="81"/>
      <c r="S347" s="81"/>
      <c r="T347" s="81"/>
      <c r="U347" s="81"/>
      <c r="V347" s="107"/>
    </row>
    <row r="348" spans="4:22" s="12" customFormat="1" x14ac:dyDescent="0.2">
      <c r="D348" s="107"/>
      <c r="E348" s="35"/>
      <c r="F348" s="36"/>
      <c r="G348" s="37"/>
      <c r="H348" s="38"/>
      <c r="I348" s="39"/>
      <c r="J348" s="39"/>
      <c r="K348" s="35"/>
      <c r="L348" s="107"/>
      <c r="M348" s="40"/>
      <c r="O348" s="107"/>
      <c r="P348" s="22"/>
      <c r="R348" s="81"/>
      <c r="S348" s="81"/>
      <c r="T348" s="81"/>
      <c r="U348" s="81"/>
      <c r="V348" s="107"/>
    </row>
    <row r="349" spans="4:22" s="12" customFormat="1" x14ac:dyDescent="0.2">
      <c r="D349" s="107"/>
      <c r="E349" s="35"/>
      <c r="F349" s="36"/>
      <c r="G349" s="37"/>
      <c r="H349" s="38"/>
      <c r="I349" s="39"/>
      <c r="J349" s="39"/>
      <c r="K349" s="35"/>
      <c r="L349" s="107"/>
      <c r="M349" s="40"/>
      <c r="O349" s="107"/>
      <c r="P349" s="22"/>
      <c r="R349" s="81"/>
      <c r="S349" s="81"/>
      <c r="T349" s="81"/>
      <c r="U349" s="81"/>
      <c r="V349" s="107"/>
    </row>
    <row r="350" spans="4:22" s="12" customFormat="1" x14ac:dyDescent="0.2">
      <c r="D350" s="107"/>
      <c r="E350" s="35"/>
      <c r="F350" s="36"/>
      <c r="G350" s="37"/>
      <c r="H350" s="38"/>
      <c r="I350" s="39"/>
      <c r="J350" s="39"/>
      <c r="K350" s="35"/>
      <c r="L350" s="107"/>
      <c r="M350" s="40"/>
      <c r="O350" s="107"/>
      <c r="P350" s="22"/>
      <c r="R350" s="81"/>
      <c r="S350" s="81"/>
      <c r="T350" s="81"/>
      <c r="U350" s="81"/>
      <c r="V350" s="107"/>
    </row>
    <row r="351" spans="4:22" s="12" customFormat="1" x14ac:dyDescent="0.2">
      <c r="D351" s="107"/>
      <c r="E351" s="35"/>
      <c r="F351" s="36"/>
      <c r="G351" s="37"/>
      <c r="H351" s="38"/>
      <c r="I351" s="39"/>
      <c r="J351" s="39"/>
      <c r="K351" s="35"/>
      <c r="L351" s="107"/>
      <c r="M351" s="40"/>
      <c r="O351" s="107"/>
      <c r="P351" s="22"/>
      <c r="R351" s="81"/>
      <c r="S351" s="81"/>
      <c r="T351" s="81"/>
      <c r="U351" s="81"/>
      <c r="V351" s="107"/>
    </row>
    <row r="352" spans="4:22" s="12" customFormat="1" x14ac:dyDescent="0.2">
      <c r="D352" s="107"/>
      <c r="E352" s="35"/>
      <c r="F352" s="36"/>
      <c r="G352" s="37"/>
      <c r="H352" s="38"/>
      <c r="I352" s="39"/>
      <c r="J352" s="39"/>
      <c r="K352" s="35"/>
      <c r="L352" s="107"/>
      <c r="M352" s="40"/>
      <c r="O352" s="107"/>
      <c r="P352" s="22"/>
      <c r="R352" s="81"/>
      <c r="S352" s="81"/>
      <c r="T352" s="81"/>
      <c r="U352" s="81"/>
      <c r="V352" s="107"/>
    </row>
    <row r="353" spans="4:22" s="12" customFormat="1" x14ac:dyDescent="0.2">
      <c r="D353" s="107"/>
      <c r="E353" s="35"/>
      <c r="F353" s="36"/>
      <c r="G353" s="37"/>
      <c r="H353" s="38"/>
      <c r="I353" s="39"/>
      <c r="J353" s="39"/>
      <c r="K353" s="35"/>
      <c r="L353" s="107"/>
      <c r="M353" s="40"/>
      <c r="O353" s="107"/>
      <c r="P353" s="22"/>
      <c r="R353" s="81"/>
      <c r="S353" s="81"/>
      <c r="T353" s="81"/>
      <c r="U353" s="81"/>
      <c r="V353" s="107"/>
    </row>
    <row r="354" spans="4:22" s="12" customFormat="1" x14ac:dyDescent="0.2">
      <c r="D354" s="107"/>
      <c r="E354" s="35"/>
      <c r="F354" s="36"/>
      <c r="G354" s="37"/>
      <c r="H354" s="38"/>
      <c r="I354" s="39"/>
      <c r="J354" s="39"/>
      <c r="K354" s="35"/>
      <c r="L354" s="107"/>
      <c r="M354" s="40"/>
      <c r="O354" s="107"/>
      <c r="P354" s="22"/>
      <c r="R354" s="81"/>
      <c r="S354" s="81"/>
      <c r="T354" s="81"/>
      <c r="U354" s="81"/>
      <c r="V354" s="107"/>
    </row>
    <row r="355" spans="4:22" s="12" customFormat="1" x14ac:dyDescent="0.2">
      <c r="D355" s="107"/>
      <c r="E355" s="35"/>
      <c r="F355" s="36"/>
      <c r="G355" s="37"/>
      <c r="H355" s="38"/>
      <c r="I355" s="39"/>
      <c r="J355" s="39"/>
      <c r="K355" s="35"/>
      <c r="L355" s="107"/>
      <c r="M355" s="40"/>
      <c r="O355" s="107"/>
      <c r="P355" s="22"/>
      <c r="R355" s="81"/>
      <c r="S355" s="81"/>
      <c r="T355" s="81"/>
      <c r="U355" s="81"/>
      <c r="V355" s="107"/>
    </row>
    <row r="356" spans="4:22" s="12" customFormat="1" x14ac:dyDescent="0.2">
      <c r="D356" s="107"/>
      <c r="E356" s="35"/>
      <c r="F356" s="36"/>
      <c r="G356" s="37"/>
      <c r="H356" s="38"/>
      <c r="I356" s="39"/>
      <c r="J356" s="39"/>
      <c r="K356" s="35"/>
      <c r="L356" s="107"/>
      <c r="M356" s="40"/>
      <c r="O356" s="107"/>
      <c r="P356" s="22"/>
      <c r="R356" s="81"/>
      <c r="S356" s="81"/>
      <c r="T356" s="81"/>
      <c r="U356" s="81"/>
      <c r="V356" s="107"/>
    </row>
    <row r="357" spans="4:22" s="12" customFormat="1" x14ac:dyDescent="0.2">
      <c r="D357" s="107"/>
      <c r="E357" s="35"/>
      <c r="F357" s="36"/>
      <c r="G357" s="37"/>
      <c r="H357" s="38"/>
      <c r="I357" s="39"/>
      <c r="J357" s="39"/>
      <c r="K357" s="35"/>
      <c r="L357" s="107"/>
      <c r="M357" s="40"/>
      <c r="O357" s="107"/>
      <c r="P357" s="22"/>
      <c r="R357" s="81"/>
      <c r="S357" s="81"/>
      <c r="T357" s="81"/>
      <c r="U357" s="81"/>
      <c r="V357" s="107"/>
    </row>
    <row r="358" spans="4:22" s="12" customFormat="1" x14ac:dyDescent="0.2">
      <c r="D358" s="107"/>
      <c r="E358" s="35"/>
      <c r="F358" s="36"/>
      <c r="G358" s="37"/>
      <c r="H358" s="38"/>
      <c r="I358" s="39"/>
      <c r="J358" s="39"/>
      <c r="K358" s="35"/>
      <c r="L358" s="107"/>
      <c r="M358" s="40"/>
      <c r="O358" s="107"/>
      <c r="P358" s="22"/>
      <c r="R358" s="81"/>
      <c r="S358" s="81"/>
      <c r="T358" s="81"/>
      <c r="U358" s="81"/>
      <c r="V358" s="107"/>
    </row>
    <row r="359" spans="4:22" s="12" customFormat="1" x14ac:dyDescent="0.2">
      <c r="D359" s="107"/>
      <c r="E359" s="35"/>
      <c r="F359" s="36"/>
      <c r="G359" s="37"/>
      <c r="H359" s="38"/>
      <c r="I359" s="39"/>
      <c r="J359" s="39"/>
      <c r="K359" s="35"/>
      <c r="L359" s="107"/>
      <c r="M359" s="40"/>
      <c r="O359" s="107"/>
      <c r="P359" s="22"/>
      <c r="R359" s="81"/>
      <c r="S359" s="81"/>
      <c r="T359" s="81"/>
      <c r="U359" s="81"/>
      <c r="V359" s="107"/>
    </row>
    <row r="360" spans="4:22" s="12" customFormat="1" x14ac:dyDescent="0.2">
      <c r="D360" s="107"/>
      <c r="E360" s="35"/>
      <c r="F360" s="36"/>
      <c r="G360" s="37"/>
      <c r="H360" s="38"/>
      <c r="I360" s="39"/>
      <c r="J360" s="39"/>
      <c r="K360" s="35"/>
      <c r="L360" s="107"/>
      <c r="M360" s="40"/>
      <c r="O360" s="107"/>
      <c r="P360" s="22"/>
      <c r="R360" s="81"/>
      <c r="S360" s="81"/>
      <c r="T360" s="81"/>
      <c r="U360" s="81"/>
      <c r="V360" s="107"/>
    </row>
    <row r="361" spans="4:22" s="12" customFormat="1" x14ac:dyDescent="0.2">
      <c r="D361" s="107"/>
      <c r="E361" s="35"/>
      <c r="F361" s="36"/>
      <c r="G361" s="37"/>
      <c r="H361" s="38"/>
      <c r="I361" s="39"/>
      <c r="J361" s="39"/>
      <c r="K361" s="35"/>
      <c r="L361" s="107"/>
      <c r="M361" s="40"/>
      <c r="O361" s="107"/>
      <c r="P361" s="22"/>
      <c r="R361" s="81"/>
      <c r="S361" s="81"/>
      <c r="T361" s="81"/>
      <c r="U361" s="81"/>
      <c r="V361" s="107"/>
    </row>
    <row r="362" spans="4:22" s="12" customFormat="1" x14ac:dyDescent="0.2">
      <c r="D362" s="107"/>
      <c r="E362" s="35"/>
      <c r="F362" s="36"/>
      <c r="G362" s="37"/>
      <c r="H362" s="38"/>
      <c r="I362" s="39"/>
      <c r="J362" s="39"/>
      <c r="K362" s="35"/>
      <c r="L362" s="107"/>
      <c r="M362" s="40"/>
      <c r="O362" s="107"/>
      <c r="P362" s="22"/>
      <c r="R362" s="81"/>
      <c r="S362" s="81"/>
      <c r="T362" s="81"/>
      <c r="U362" s="81"/>
      <c r="V362" s="107"/>
    </row>
    <row r="363" spans="4:22" s="12" customFormat="1" x14ac:dyDescent="0.2">
      <c r="D363" s="107"/>
      <c r="E363" s="35"/>
      <c r="F363" s="36"/>
      <c r="G363" s="37"/>
      <c r="H363" s="38"/>
      <c r="I363" s="39"/>
      <c r="J363" s="39"/>
      <c r="K363" s="35"/>
      <c r="L363" s="107"/>
      <c r="M363" s="40"/>
      <c r="O363" s="107"/>
      <c r="P363" s="22"/>
      <c r="R363" s="81"/>
      <c r="S363" s="81"/>
      <c r="T363" s="81"/>
      <c r="U363" s="81"/>
      <c r="V363" s="107"/>
    </row>
    <row r="364" spans="4:22" s="12" customFormat="1" x14ac:dyDescent="0.2">
      <c r="D364" s="107"/>
      <c r="E364" s="35"/>
      <c r="F364" s="36"/>
      <c r="G364" s="37"/>
      <c r="H364" s="38"/>
      <c r="I364" s="39"/>
      <c r="J364" s="39"/>
      <c r="K364" s="35"/>
      <c r="L364" s="107"/>
      <c r="M364" s="40"/>
      <c r="O364" s="107"/>
      <c r="P364" s="22"/>
      <c r="R364" s="81"/>
      <c r="S364" s="81"/>
      <c r="T364" s="81"/>
      <c r="U364" s="81"/>
      <c r="V364" s="107"/>
    </row>
    <row r="365" spans="4:22" s="12" customFormat="1" x14ac:dyDescent="0.2">
      <c r="D365" s="107"/>
      <c r="E365" s="35"/>
      <c r="F365" s="36"/>
      <c r="G365" s="37"/>
      <c r="H365" s="38"/>
      <c r="I365" s="39"/>
      <c r="J365" s="39"/>
      <c r="K365" s="35"/>
      <c r="L365" s="107"/>
      <c r="M365" s="40"/>
      <c r="O365" s="107"/>
      <c r="P365" s="22"/>
      <c r="R365" s="81"/>
      <c r="S365" s="81"/>
      <c r="T365" s="81"/>
      <c r="U365" s="81"/>
      <c r="V365" s="107"/>
    </row>
    <row r="366" spans="4:22" s="12" customFormat="1" x14ac:dyDescent="0.2">
      <c r="D366" s="107"/>
      <c r="E366" s="35"/>
      <c r="F366" s="36"/>
      <c r="G366" s="37"/>
      <c r="H366" s="38"/>
      <c r="I366" s="39"/>
      <c r="J366" s="39"/>
      <c r="K366" s="35"/>
      <c r="L366" s="107"/>
      <c r="M366" s="40"/>
      <c r="O366" s="107"/>
      <c r="P366" s="22"/>
      <c r="R366" s="81"/>
      <c r="S366" s="81"/>
      <c r="T366" s="81"/>
      <c r="U366" s="81"/>
      <c r="V366" s="107"/>
    </row>
    <row r="367" spans="4:22" s="12" customFormat="1" x14ac:dyDescent="0.2">
      <c r="D367" s="107"/>
      <c r="E367" s="35"/>
      <c r="F367" s="36"/>
      <c r="G367" s="37"/>
      <c r="H367" s="38"/>
      <c r="I367" s="39"/>
      <c r="J367" s="39"/>
      <c r="K367" s="35"/>
      <c r="L367" s="107"/>
      <c r="M367" s="40"/>
      <c r="O367" s="107"/>
      <c r="P367" s="22"/>
      <c r="R367" s="81"/>
      <c r="S367" s="81"/>
      <c r="T367" s="81"/>
      <c r="U367" s="81"/>
      <c r="V367" s="107"/>
    </row>
    <row r="368" spans="4:22" s="12" customFormat="1" x14ac:dyDescent="0.2">
      <c r="D368" s="107"/>
      <c r="E368" s="35"/>
      <c r="F368" s="36"/>
      <c r="G368" s="37"/>
      <c r="H368" s="38"/>
      <c r="I368" s="39"/>
      <c r="J368" s="39"/>
      <c r="K368" s="35"/>
      <c r="L368" s="107"/>
      <c r="M368" s="40"/>
      <c r="O368" s="107"/>
      <c r="P368" s="22"/>
      <c r="R368" s="81"/>
      <c r="S368" s="81"/>
      <c r="T368" s="81"/>
      <c r="U368" s="81"/>
      <c r="V368" s="107"/>
    </row>
    <row r="369" spans="4:22" s="12" customFormat="1" x14ac:dyDescent="0.2">
      <c r="D369" s="107"/>
      <c r="E369" s="35"/>
      <c r="F369" s="36"/>
      <c r="G369" s="37"/>
      <c r="H369" s="38"/>
      <c r="I369" s="39"/>
      <c r="J369" s="39"/>
      <c r="K369" s="35"/>
      <c r="L369" s="107"/>
      <c r="M369" s="40"/>
      <c r="O369" s="107"/>
      <c r="P369" s="22"/>
      <c r="R369" s="81"/>
      <c r="S369" s="81"/>
      <c r="T369" s="81"/>
      <c r="U369" s="81"/>
      <c r="V369" s="107"/>
    </row>
    <row r="370" spans="4:22" s="12" customFormat="1" x14ac:dyDescent="0.2">
      <c r="D370" s="107"/>
      <c r="E370" s="35"/>
      <c r="F370" s="36"/>
      <c r="G370" s="37"/>
      <c r="H370" s="38"/>
      <c r="I370" s="39"/>
      <c r="J370" s="39"/>
      <c r="K370" s="35"/>
      <c r="L370" s="107"/>
      <c r="M370" s="40"/>
      <c r="O370" s="107"/>
      <c r="P370" s="22"/>
      <c r="R370" s="81"/>
      <c r="S370" s="81"/>
      <c r="T370" s="81"/>
      <c r="U370" s="81"/>
      <c r="V370" s="107"/>
    </row>
    <row r="371" spans="4:22" s="12" customFormat="1" x14ac:dyDescent="0.2">
      <c r="D371" s="107"/>
      <c r="E371" s="35"/>
      <c r="F371" s="36"/>
      <c r="G371" s="37"/>
      <c r="H371" s="38"/>
      <c r="I371" s="39"/>
      <c r="J371" s="39"/>
      <c r="K371" s="35"/>
      <c r="L371" s="107"/>
      <c r="M371" s="40"/>
      <c r="O371" s="107"/>
      <c r="P371" s="22"/>
      <c r="R371" s="81"/>
      <c r="S371" s="81"/>
      <c r="T371" s="81"/>
      <c r="U371" s="81"/>
      <c r="V371" s="107"/>
    </row>
    <row r="372" spans="4:22" s="12" customFormat="1" x14ac:dyDescent="0.2">
      <c r="D372" s="107"/>
      <c r="E372" s="35"/>
      <c r="F372" s="36"/>
      <c r="G372" s="37"/>
      <c r="H372" s="38"/>
      <c r="I372" s="39"/>
      <c r="J372" s="39"/>
      <c r="K372" s="35"/>
      <c r="L372" s="107"/>
      <c r="M372" s="40"/>
      <c r="O372" s="107"/>
      <c r="P372" s="22"/>
      <c r="R372" s="81"/>
      <c r="S372" s="81"/>
      <c r="T372" s="81"/>
      <c r="U372" s="81"/>
      <c r="V372" s="107"/>
    </row>
    <row r="373" spans="4:22" s="12" customFormat="1" x14ac:dyDescent="0.2">
      <c r="D373" s="107"/>
      <c r="E373" s="35"/>
      <c r="F373" s="36"/>
      <c r="G373" s="37"/>
      <c r="H373" s="38"/>
      <c r="I373" s="39"/>
      <c r="J373" s="39"/>
      <c r="K373" s="35"/>
      <c r="L373" s="107"/>
      <c r="M373" s="40"/>
      <c r="O373" s="107"/>
      <c r="P373" s="22"/>
      <c r="R373" s="81"/>
      <c r="S373" s="81"/>
      <c r="T373" s="81"/>
      <c r="U373" s="81"/>
      <c r="V373" s="107"/>
    </row>
    <row r="374" spans="4:22" s="12" customFormat="1" x14ac:dyDescent="0.2">
      <c r="D374" s="107"/>
      <c r="E374" s="35"/>
      <c r="F374" s="36"/>
      <c r="G374" s="37"/>
      <c r="H374" s="38"/>
      <c r="I374" s="39"/>
      <c r="J374" s="39"/>
      <c r="K374" s="35"/>
      <c r="L374" s="107"/>
      <c r="M374" s="40"/>
      <c r="O374" s="107"/>
      <c r="P374" s="22"/>
      <c r="R374" s="81"/>
      <c r="S374" s="81"/>
      <c r="T374" s="81"/>
      <c r="U374" s="81"/>
      <c r="V374" s="107"/>
    </row>
    <row r="375" spans="4:22" s="12" customFormat="1" x14ac:dyDescent="0.2">
      <c r="D375" s="107"/>
      <c r="E375" s="35"/>
      <c r="F375" s="36"/>
      <c r="G375" s="37"/>
      <c r="H375" s="38"/>
      <c r="I375" s="39"/>
      <c r="J375" s="39"/>
      <c r="K375" s="35"/>
      <c r="L375" s="107"/>
      <c r="M375" s="40"/>
      <c r="O375" s="107"/>
      <c r="P375" s="22"/>
      <c r="R375" s="81"/>
      <c r="S375" s="81"/>
      <c r="T375" s="81"/>
      <c r="U375" s="81"/>
      <c r="V375" s="107"/>
    </row>
    <row r="376" spans="4:22" s="12" customFormat="1" x14ac:dyDescent="0.2">
      <c r="D376" s="107"/>
      <c r="E376" s="35"/>
      <c r="F376" s="36"/>
      <c r="G376" s="37"/>
      <c r="H376" s="38"/>
      <c r="I376" s="39"/>
      <c r="J376" s="39"/>
      <c r="K376" s="35"/>
      <c r="L376" s="107"/>
      <c r="M376" s="40"/>
      <c r="O376" s="107"/>
      <c r="P376" s="22"/>
      <c r="R376" s="81"/>
      <c r="S376" s="81"/>
      <c r="T376" s="81"/>
      <c r="U376" s="81"/>
      <c r="V376" s="107"/>
    </row>
    <row r="377" spans="4:22" s="12" customFormat="1" x14ac:dyDescent="0.2">
      <c r="D377" s="107"/>
      <c r="E377" s="35"/>
      <c r="F377" s="36"/>
      <c r="G377" s="37"/>
      <c r="H377" s="38"/>
      <c r="I377" s="39"/>
      <c r="J377" s="39"/>
      <c r="K377" s="35"/>
      <c r="L377" s="107"/>
      <c r="M377" s="40"/>
      <c r="O377" s="107"/>
      <c r="P377" s="22"/>
      <c r="R377" s="81"/>
      <c r="S377" s="81"/>
      <c r="T377" s="81"/>
      <c r="U377" s="81"/>
      <c r="V377" s="107"/>
    </row>
    <row r="378" spans="4:22" s="12" customFormat="1" x14ac:dyDescent="0.2">
      <c r="D378" s="107"/>
      <c r="E378" s="35"/>
      <c r="F378" s="36"/>
      <c r="G378" s="37"/>
      <c r="H378" s="38"/>
      <c r="I378" s="39"/>
      <c r="J378" s="39"/>
      <c r="K378" s="35"/>
      <c r="L378" s="107"/>
      <c r="M378" s="40"/>
      <c r="O378" s="107"/>
      <c r="P378" s="22"/>
      <c r="R378" s="81"/>
      <c r="S378" s="81"/>
      <c r="T378" s="81"/>
      <c r="U378" s="81"/>
      <c r="V378" s="107"/>
    </row>
    <row r="379" spans="4:22" s="12" customFormat="1" x14ac:dyDescent="0.2">
      <c r="D379" s="107"/>
      <c r="E379" s="35"/>
      <c r="F379" s="36"/>
      <c r="G379" s="37"/>
      <c r="H379" s="38"/>
      <c r="I379" s="39"/>
      <c r="J379" s="39"/>
      <c r="K379" s="35"/>
      <c r="L379" s="107"/>
      <c r="M379" s="40"/>
      <c r="O379" s="107"/>
      <c r="P379" s="22"/>
      <c r="R379" s="81"/>
      <c r="S379" s="81"/>
      <c r="T379" s="81"/>
      <c r="U379" s="81"/>
      <c r="V379" s="107"/>
    </row>
    <row r="380" spans="4:22" s="12" customFormat="1" x14ac:dyDescent="0.2">
      <c r="D380" s="107"/>
      <c r="E380" s="35"/>
      <c r="F380" s="36"/>
      <c r="G380" s="37"/>
      <c r="H380" s="38"/>
      <c r="I380" s="39"/>
      <c r="J380" s="39"/>
      <c r="K380" s="35"/>
      <c r="L380" s="107"/>
      <c r="M380" s="40"/>
      <c r="O380" s="107"/>
      <c r="P380" s="22"/>
      <c r="R380" s="81"/>
      <c r="S380" s="81"/>
      <c r="T380" s="81"/>
      <c r="U380" s="81"/>
      <c r="V380" s="107"/>
    </row>
    <row r="381" spans="4:22" s="12" customFormat="1" x14ac:dyDescent="0.2">
      <c r="D381" s="107"/>
      <c r="E381" s="35"/>
      <c r="F381" s="36"/>
      <c r="G381" s="37"/>
      <c r="H381" s="38"/>
      <c r="I381" s="39"/>
      <c r="J381" s="39"/>
      <c r="K381" s="35"/>
      <c r="L381" s="107"/>
      <c r="M381" s="40"/>
      <c r="O381" s="107"/>
      <c r="P381" s="22"/>
      <c r="R381" s="81"/>
      <c r="S381" s="81"/>
      <c r="T381" s="81"/>
      <c r="U381" s="81"/>
      <c r="V381" s="107"/>
    </row>
    <row r="382" spans="4:22" s="12" customFormat="1" x14ac:dyDescent="0.2">
      <c r="D382" s="107"/>
      <c r="E382" s="35"/>
      <c r="F382" s="36"/>
      <c r="G382" s="37"/>
      <c r="H382" s="38"/>
      <c r="I382" s="39"/>
      <c r="J382" s="39"/>
      <c r="K382" s="35"/>
      <c r="L382" s="107"/>
      <c r="M382" s="40"/>
      <c r="O382" s="107"/>
      <c r="P382" s="22"/>
      <c r="R382" s="81"/>
      <c r="S382" s="81"/>
      <c r="T382" s="81"/>
      <c r="U382" s="81"/>
      <c r="V382" s="107"/>
    </row>
    <row r="383" spans="4:22" s="12" customFormat="1" x14ac:dyDescent="0.2">
      <c r="D383" s="107"/>
      <c r="E383" s="35"/>
      <c r="F383" s="36"/>
      <c r="G383" s="37"/>
      <c r="H383" s="38"/>
      <c r="I383" s="39"/>
      <c r="J383" s="39"/>
      <c r="K383" s="35"/>
      <c r="L383" s="107"/>
      <c r="M383" s="40"/>
      <c r="O383" s="107"/>
      <c r="P383" s="22"/>
      <c r="R383" s="81"/>
      <c r="S383" s="81"/>
      <c r="T383" s="81"/>
      <c r="U383" s="81"/>
      <c r="V383" s="107"/>
    </row>
    <row r="384" spans="4:22" s="12" customFormat="1" x14ac:dyDescent="0.2">
      <c r="D384" s="107"/>
      <c r="E384" s="35"/>
      <c r="F384" s="36"/>
      <c r="G384" s="37"/>
      <c r="H384" s="38"/>
      <c r="I384" s="39"/>
      <c r="J384" s="39"/>
      <c r="K384" s="35"/>
      <c r="L384" s="107"/>
      <c r="M384" s="40"/>
      <c r="O384" s="107"/>
      <c r="P384" s="22"/>
      <c r="R384" s="81"/>
      <c r="S384" s="81"/>
      <c r="T384" s="81"/>
      <c r="U384" s="81"/>
      <c r="V384" s="107"/>
    </row>
    <row r="385" spans="4:22" s="12" customFormat="1" x14ac:dyDescent="0.2">
      <c r="D385" s="107"/>
      <c r="E385" s="35"/>
      <c r="F385" s="36"/>
      <c r="G385" s="37"/>
      <c r="H385" s="38"/>
      <c r="I385" s="39"/>
      <c r="J385" s="39"/>
      <c r="K385" s="35"/>
      <c r="L385" s="107"/>
      <c r="M385" s="40"/>
      <c r="O385" s="107"/>
      <c r="P385" s="22"/>
      <c r="R385" s="81"/>
      <c r="S385" s="81"/>
      <c r="T385" s="81"/>
      <c r="U385" s="81"/>
      <c r="V385" s="107"/>
    </row>
    <row r="386" spans="4:22" s="12" customFormat="1" x14ac:dyDescent="0.2">
      <c r="D386" s="107"/>
      <c r="E386" s="35"/>
      <c r="F386" s="36"/>
      <c r="G386" s="37"/>
      <c r="H386" s="38"/>
      <c r="I386" s="39"/>
      <c r="J386" s="39"/>
      <c r="K386" s="35"/>
      <c r="L386" s="107"/>
      <c r="M386" s="40"/>
      <c r="O386" s="107"/>
      <c r="P386" s="22"/>
      <c r="R386" s="81"/>
      <c r="S386" s="81"/>
      <c r="T386" s="81"/>
      <c r="U386" s="81"/>
      <c r="V386" s="107"/>
    </row>
    <row r="387" spans="4:22" s="12" customFormat="1" x14ac:dyDescent="0.2">
      <c r="D387" s="107"/>
      <c r="E387" s="35"/>
      <c r="F387" s="36"/>
      <c r="G387" s="37"/>
      <c r="H387" s="38"/>
      <c r="I387" s="39"/>
      <c r="J387" s="39"/>
      <c r="K387" s="35"/>
      <c r="L387" s="107"/>
      <c r="M387" s="40"/>
      <c r="O387" s="107"/>
      <c r="P387" s="22"/>
      <c r="R387" s="81"/>
      <c r="S387" s="81"/>
      <c r="T387" s="81"/>
      <c r="U387" s="81"/>
      <c r="V387" s="107"/>
    </row>
    <row r="388" spans="4:22" s="12" customFormat="1" x14ac:dyDescent="0.2">
      <c r="D388" s="107"/>
      <c r="E388" s="35"/>
      <c r="F388" s="36"/>
      <c r="G388" s="37"/>
      <c r="H388" s="38"/>
      <c r="I388" s="39"/>
      <c r="J388" s="39"/>
      <c r="K388" s="35"/>
      <c r="L388" s="107"/>
      <c r="M388" s="40"/>
      <c r="O388" s="107"/>
      <c r="P388" s="22"/>
      <c r="R388" s="81"/>
      <c r="S388" s="81"/>
      <c r="T388" s="81"/>
      <c r="U388" s="81"/>
      <c r="V388" s="107"/>
    </row>
    <row r="389" spans="4:22" s="12" customFormat="1" x14ac:dyDescent="0.2">
      <c r="D389" s="107"/>
      <c r="E389" s="35"/>
      <c r="F389" s="36"/>
      <c r="G389" s="37"/>
      <c r="H389" s="38"/>
      <c r="I389" s="39"/>
      <c r="J389" s="39"/>
      <c r="K389" s="35"/>
      <c r="L389" s="107"/>
      <c r="M389" s="40"/>
      <c r="O389" s="107"/>
      <c r="P389" s="22"/>
      <c r="R389" s="81"/>
      <c r="S389" s="81"/>
      <c r="T389" s="81"/>
      <c r="U389" s="81"/>
      <c r="V389" s="107"/>
    </row>
    <row r="390" spans="4:22" s="12" customFormat="1" x14ac:dyDescent="0.2">
      <c r="D390" s="107"/>
      <c r="E390" s="35"/>
      <c r="F390" s="36"/>
      <c r="G390" s="37"/>
      <c r="H390" s="38"/>
      <c r="I390" s="39"/>
      <c r="J390" s="39"/>
      <c r="K390" s="35"/>
      <c r="L390" s="107"/>
      <c r="M390" s="40"/>
      <c r="O390" s="107"/>
      <c r="P390" s="22"/>
      <c r="R390" s="81"/>
      <c r="S390" s="81"/>
      <c r="T390" s="81"/>
      <c r="U390" s="81"/>
      <c r="V390" s="107"/>
    </row>
    <row r="391" spans="4:22" s="12" customFormat="1" x14ac:dyDescent="0.2">
      <c r="D391" s="107"/>
      <c r="E391" s="35"/>
      <c r="F391" s="36"/>
      <c r="G391" s="37"/>
      <c r="H391" s="38"/>
      <c r="I391" s="39"/>
      <c r="J391" s="39"/>
      <c r="K391" s="35"/>
      <c r="L391" s="107"/>
      <c r="M391" s="40"/>
      <c r="O391" s="107"/>
      <c r="P391" s="22"/>
      <c r="R391" s="81"/>
      <c r="S391" s="81"/>
      <c r="T391" s="81"/>
      <c r="U391" s="81"/>
      <c r="V391" s="107"/>
    </row>
    <row r="392" spans="4:22" s="12" customFormat="1" x14ac:dyDescent="0.2">
      <c r="D392" s="107"/>
      <c r="E392" s="35"/>
      <c r="F392" s="36"/>
      <c r="G392" s="37"/>
      <c r="H392" s="38"/>
      <c r="I392" s="39"/>
      <c r="J392" s="39"/>
      <c r="K392" s="35"/>
      <c r="L392" s="107"/>
      <c r="M392" s="40"/>
      <c r="O392" s="107"/>
      <c r="P392" s="22"/>
      <c r="R392" s="81"/>
      <c r="S392" s="81"/>
      <c r="T392" s="81"/>
      <c r="U392" s="81"/>
      <c r="V392" s="107"/>
    </row>
    <row r="393" spans="4:22" s="12" customFormat="1" x14ac:dyDescent="0.2">
      <c r="D393" s="107"/>
      <c r="E393" s="35"/>
      <c r="F393" s="36"/>
      <c r="G393" s="37"/>
      <c r="H393" s="38"/>
      <c r="I393" s="39"/>
      <c r="J393" s="39"/>
      <c r="K393" s="35"/>
      <c r="L393" s="107"/>
      <c r="M393" s="40"/>
      <c r="O393" s="107"/>
      <c r="P393" s="22"/>
      <c r="R393" s="81"/>
      <c r="S393" s="81"/>
      <c r="T393" s="81"/>
      <c r="U393" s="81"/>
      <c r="V393" s="107"/>
    </row>
    <row r="394" spans="4:22" s="12" customFormat="1" x14ac:dyDescent="0.2">
      <c r="D394" s="107"/>
      <c r="E394" s="35"/>
      <c r="F394" s="36"/>
      <c r="G394" s="37"/>
      <c r="H394" s="38"/>
      <c r="I394" s="39"/>
      <c r="J394" s="39"/>
      <c r="K394" s="35"/>
      <c r="L394" s="107"/>
      <c r="M394" s="40"/>
      <c r="O394" s="107"/>
      <c r="P394" s="22"/>
      <c r="R394" s="81"/>
      <c r="S394" s="81"/>
      <c r="T394" s="81"/>
      <c r="U394" s="81"/>
      <c r="V394" s="107"/>
    </row>
    <row r="395" spans="4:22" s="12" customFormat="1" x14ac:dyDescent="0.2">
      <c r="D395" s="107"/>
      <c r="E395" s="35"/>
      <c r="F395" s="36"/>
      <c r="G395" s="37"/>
      <c r="H395" s="38"/>
      <c r="I395" s="39"/>
      <c r="J395" s="39"/>
      <c r="K395" s="35"/>
      <c r="L395" s="107"/>
      <c r="M395" s="40"/>
      <c r="O395" s="107"/>
      <c r="P395" s="22"/>
      <c r="R395" s="81"/>
      <c r="S395" s="81"/>
      <c r="T395" s="81"/>
      <c r="U395" s="81"/>
      <c r="V395" s="107"/>
    </row>
    <row r="396" spans="4:22" s="12" customFormat="1" x14ac:dyDescent="0.2">
      <c r="D396" s="107"/>
      <c r="E396" s="35"/>
      <c r="F396" s="36"/>
      <c r="G396" s="37"/>
      <c r="H396" s="38"/>
      <c r="I396" s="39"/>
      <c r="J396" s="39"/>
      <c r="K396" s="35"/>
      <c r="L396" s="107"/>
      <c r="M396" s="40"/>
      <c r="O396" s="107"/>
      <c r="P396" s="22"/>
      <c r="R396" s="81"/>
      <c r="S396" s="81"/>
      <c r="T396" s="81"/>
      <c r="U396" s="81"/>
      <c r="V396" s="107"/>
    </row>
    <row r="397" spans="4:22" s="12" customFormat="1" x14ac:dyDescent="0.2">
      <c r="D397" s="107"/>
      <c r="E397" s="35"/>
      <c r="F397" s="36"/>
      <c r="G397" s="37"/>
      <c r="H397" s="38"/>
      <c r="I397" s="39"/>
      <c r="J397" s="39"/>
      <c r="K397" s="35"/>
      <c r="L397" s="107"/>
      <c r="M397" s="40"/>
      <c r="O397" s="107"/>
      <c r="P397" s="22"/>
      <c r="R397" s="81"/>
      <c r="S397" s="81"/>
      <c r="T397" s="81"/>
      <c r="U397" s="81"/>
      <c r="V397" s="107"/>
    </row>
    <row r="398" spans="4:22" s="12" customFormat="1" x14ac:dyDescent="0.2">
      <c r="D398" s="107"/>
      <c r="E398" s="35"/>
      <c r="F398" s="36"/>
      <c r="G398" s="37"/>
      <c r="H398" s="38"/>
      <c r="I398" s="39"/>
      <c r="J398" s="39"/>
      <c r="K398" s="35"/>
      <c r="L398" s="107"/>
      <c r="M398" s="40"/>
      <c r="O398" s="107"/>
      <c r="P398" s="22"/>
      <c r="R398" s="81"/>
      <c r="S398" s="81"/>
      <c r="T398" s="81"/>
      <c r="U398" s="81"/>
      <c r="V398" s="107"/>
    </row>
    <row r="399" spans="4:22" s="12" customFormat="1" x14ac:dyDescent="0.2">
      <c r="D399" s="107"/>
      <c r="E399" s="35"/>
      <c r="F399" s="36"/>
      <c r="G399" s="37"/>
      <c r="H399" s="38"/>
      <c r="I399" s="39"/>
      <c r="J399" s="39"/>
      <c r="K399" s="35"/>
      <c r="L399" s="107"/>
      <c r="M399" s="40"/>
      <c r="O399" s="107"/>
      <c r="P399" s="22"/>
      <c r="R399" s="81"/>
      <c r="S399" s="81"/>
      <c r="T399" s="81"/>
      <c r="U399" s="81"/>
      <c r="V399" s="107"/>
    </row>
    <row r="400" spans="4:22" s="12" customFormat="1" x14ac:dyDescent="0.2">
      <c r="D400" s="107"/>
      <c r="E400" s="35"/>
      <c r="F400" s="36"/>
      <c r="G400" s="37"/>
      <c r="H400" s="38"/>
      <c r="I400" s="39"/>
      <c r="J400" s="39"/>
      <c r="K400" s="35"/>
      <c r="L400" s="107"/>
      <c r="M400" s="40"/>
      <c r="O400" s="107"/>
      <c r="P400" s="22"/>
      <c r="R400" s="81"/>
      <c r="S400" s="81"/>
      <c r="T400" s="81"/>
      <c r="U400" s="81"/>
      <c r="V400" s="107"/>
    </row>
    <row r="401" spans="4:22" s="12" customFormat="1" x14ac:dyDescent="0.2">
      <c r="D401" s="107"/>
      <c r="E401" s="35"/>
      <c r="F401" s="36"/>
      <c r="G401" s="37"/>
      <c r="H401" s="38"/>
      <c r="I401" s="39"/>
      <c r="J401" s="39"/>
      <c r="K401" s="35"/>
      <c r="L401" s="107"/>
      <c r="M401" s="40"/>
      <c r="O401" s="107"/>
      <c r="P401" s="22"/>
      <c r="R401" s="81"/>
      <c r="S401" s="81"/>
      <c r="T401" s="81"/>
      <c r="U401" s="81"/>
      <c r="V401" s="107"/>
    </row>
    <row r="402" spans="4:22" s="12" customFormat="1" x14ac:dyDescent="0.2">
      <c r="D402" s="107"/>
      <c r="E402" s="35"/>
      <c r="F402" s="36"/>
      <c r="G402" s="37"/>
      <c r="H402" s="38"/>
      <c r="I402" s="39"/>
      <c r="J402" s="39"/>
      <c r="K402" s="35"/>
      <c r="L402" s="107"/>
      <c r="M402" s="40"/>
      <c r="O402" s="107"/>
      <c r="P402" s="22"/>
      <c r="R402" s="81"/>
      <c r="S402" s="81"/>
      <c r="T402" s="81"/>
      <c r="U402" s="81"/>
      <c r="V402" s="107"/>
    </row>
    <row r="403" spans="4:22" s="12" customFormat="1" x14ac:dyDescent="0.2">
      <c r="D403" s="107"/>
      <c r="E403" s="35"/>
      <c r="F403" s="36"/>
      <c r="G403" s="37"/>
      <c r="H403" s="38"/>
      <c r="I403" s="39"/>
      <c r="J403" s="39"/>
      <c r="K403" s="35"/>
      <c r="L403" s="107"/>
      <c r="M403" s="40"/>
      <c r="O403" s="107"/>
      <c r="P403" s="22"/>
      <c r="R403" s="81"/>
      <c r="S403" s="81"/>
      <c r="T403" s="81"/>
      <c r="U403" s="81"/>
      <c r="V403" s="107"/>
    </row>
    <row r="404" spans="4:22" s="12" customFormat="1" x14ac:dyDescent="0.2">
      <c r="D404" s="107"/>
      <c r="E404" s="35"/>
      <c r="F404" s="36"/>
      <c r="G404" s="37"/>
      <c r="H404" s="38"/>
      <c r="I404" s="39"/>
      <c r="J404" s="39"/>
      <c r="K404" s="35"/>
      <c r="L404" s="107"/>
      <c r="M404" s="40"/>
      <c r="O404" s="107"/>
      <c r="P404" s="22"/>
      <c r="R404" s="81"/>
      <c r="S404" s="81"/>
      <c r="T404" s="81"/>
      <c r="U404" s="81"/>
      <c r="V404" s="107"/>
    </row>
    <row r="405" spans="4:22" s="12" customFormat="1" x14ac:dyDescent="0.2">
      <c r="D405" s="107"/>
      <c r="E405" s="35"/>
      <c r="F405" s="36"/>
      <c r="G405" s="37"/>
      <c r="H405" s="38"/>
      <c r="I405" s="39"/>
      <c r="J405" s="39"/>
      <c r="K405" s="35"/>
      <c r="L405" s="107"/>
      <c r="M405" s="40"/>
      <c r="O405" s="107"/>
      <c r="P405" s="22"/>
      <c r="R405" s="81"/>
      <c r="S405" s="81"/>
      <c r="T405" s="81"/>
      <c r="U405" s="81"/>
      <c r="V405" s="107"/>
    </row>
    <row r="406" spans="4:22" s="12" customFormat="1" x14ac:dyDescent="0.2">
      <c r="D406" s="107"/>
      <c r="E406" s="35"/>
      <c r="F406" s="36"/>
      <c r="G406" s="37"/>
      <c r="H406" s="38"/>
      <c r="I406" s="39"/>
      <c r="J406" s="39"/>
      <c r="K406" s="35"/>
      <c r="L406" s="107"/>
      <c r="M406" s="40"/>
      <c r="O406" s="107"/>
      <c r="P406" s="22"/>
      <c r="R406" s="81"/>
      <c r="S406" s="81"/>
      <c r="T406" s="81"/>
      <c r="U406" s="81"/>
      <c r="V406" s="107"/>
    </row>
    <row r="407" spans="4:22" s="12" customFormat="1" x14ac:dyDescent="0.2">
      <c r="D407" s="107"/>
      <c r="E407" s="35"/>
      <c r="F407" s="36"/>
      <c r="G407" s="37"/>
      <c r="H407" s="38"/>
      <c r="I407" s="39"/>
      <c r="J407" s="39"/>
      <c r="K407" s="35"/>
      <c r="L407" s="107"/>
      <c r="M407" s="40"/>
      <c r="O407" s="107"/>
      <c r="P407" s="22"/>
      <c r="R407" s="81"/>
      <c r="S407" s="81"/>
      <c r="T407" s="81"/>
      <c r="U407" s="81"/>
      <c r="V407" s="107"/>
    </row>
    <row r="408" spans="4:22" s="12" customFormat="1" x14ac:dyDescent="0.2">
      <c r="D408" s="107"/>
      <c r="E408" s="35"/>
      <c r="F408" s="36"/>
      <c r="G408" s="37"/>
      <c r="H408" s="38"/>
      <c r="I408" s="39"/>
      <c r="J408" s="39"/>
      <c r="K408" s="35"/>
      <c r="L408" s="107"/>
      <c r="M408" s="40"/>
      <c r="O408" s="107"/>
      <c r="P408" s="22"/>
      <c r="R408" s="81"/>
      <c r="S408" s="81"/>
      <c r="T408" s="81"/>
      <c r="U408" s="81"/>
      <c r="V408" s="107"/>
    </row>
    <row r="409" spans="4:22" s="12" customFormat="1" x14ac:dyDescent="0.2">
      <c r="D409" s="107"/>
      <c r="E409" s="35"/>
      <c r="F409" s="36"/>
      <c r="G409" s="37"/>
      <c r="H409" s="38"/>
      <c r="I409" s="39"/>
      <c r="J409" s="39"/>
      <c r="K409" s="35"/>
      <c r="L409" s="107"/>
      <c r="M409" s="40"/>
      <c r="O409" s="107"/>
      <c r="P409" s="22"/>
      <c r="R409" s="81"/>
      <c r="S409" s="81"/>
      <c r="T409" s="81"/>
      <c r="U409" s="81"/>
      <c r="V409" s="107"/>
    </row>
    <row r="410" spans="4:22" s="12" customFormat="1" x14ac:dyDescent="0.2">
      <c r="D410" s="107"/>
      <c r="E410" s="35"/>
      <c r="F410" s="36"/>
      <c r="G410" s="37"/>
      <c r="H410" s="38"/>
      <c r="I410" s="39"/>
      <c r="J410" s="39"/>
      <c r="K410" s="35"/>
      <c r="L410" s="107"/>
      <c r="M410" s="40"/>
      <c r="O410" s="107"/>
      <c r="P410" s="22"/>
      <c r="R410" s="81"/>
      <c r="S410" s="81"/>
      <c r="T410" s="81"/>
      <c r="U410" s="81"/>
      <c r="V410" s="107"/>
    </row>
    <row r="411" spans="4:22" s="12" customFormat="1" x14ac:dyDescent="0.2">
      <c r="D411" s="107"/>
      <c r="E411" s="35"/>
      <c r="F411" s="36"/>
      <c r="G411" s="37"/>
      <c r="H411" s="38"/>
      <c r="I411" s="39"/>
      <c r="J411" s="39"/>
      <c r="K411" s="35"/>
      <c r="L411" s="107"/>
      <c r="M411" s="40"/>
      <c r="O411" s="107"/>
      <c r="P411" s="22"/>
      <c r="R411" s="81"/>
      <c r="S411" s="81"/>
      <c r="T411" s="81"/>
      <c r="U411" s="81"/>
      <c r="V411" s="107"/>
    </row>
    <row r="412" spans="4:22" s="12" customFormat="1" x14ac:dyDescent="0.2">
      <c r="D412" s="107"/>
      <c r="E412" s="35"/>
      <c r="F412" s="36"/>
      <c r="G412" s="37"/>
      <c r="H412" s="38"/>
      <c r="I412" s="39"/>
      <c r="J412" s="39"/>
      <c r="K412" s="35"/>
      <c r="L412" s="107"/>
      <c r="M412" s="40"/>
      <c r="O412" s="107"/>
      <c r="P412" s="22"/>
      <c r="R412" s="81"/>
      <c r="S412" s="81"/>
      <c r="T412" s="81"/>
      <c r="U412" s="81"/>
      <c r="V412" s="107"/>
    </row>
    <row r="413" spans="4:22" s="12" customFormat="1" x14ac:dyDescent="0.2">
      <c r="D413" s="107"/>
      <c r="E413" s="35"/>
      <c r="F413" s="36"/>
      <c r="G413" s="37"/>
      <c r="H413" s="38"/>
      <c r="I413" s="39"/>
      <c r="J413" s="39"/>
      <c r="K413" s="35"/>
      <c r="L413" s="107"/>
      <c r="M413" s="40"/>
      <c r="O413" s="107"/>
      <c r="P413" s="22"/>
      <c r="R413" s="81"/>
      <c r="S413" s="81"/>
      <c r="T413" s="81"/>
      <c r="U413" s="81"/>
      <c r="V413" s="107"/>
    </row>
    <row r="414" spans="4:22" s="12" customFormat="1" x14ac:dyDescent="0.2">
      <c r="D414" s="107"/>
      <c r="E414" s="35"/>
      <c r="F414" s="36"/>
      <c r="G414" s="37"/>
      <c r="H414" s="38"/>
      <c r="I414" s="39"/>
      <c r="J414" s="39"/>
      <c r="K414" s="35"/>
      <c r="L414" s="107"/>
      <c r="M414" s="40"/>
      <c r="O414" s="107"/>
      <c r="P414" s="22"/>
      <c r="R414" s="81"/>
      <c r="S414" s="81"/>
      <c r="T414" s="81"/>
      <c r="U414" s="81"/>
      <c r="V414" s="107"/>
    </row>
    <row r="415" spans="4:22" s="12" customFormat="1" x14ac:dyDescent="0.2">
      <c r="D415" s="107"/>
      <c r="E415" s="35"/>
      <c r="F415" s="36"/>
      <c r="G415" s="37"/>
      <c r="H415" s="38"/>
      <c r="I415" s="39"/>
      <c r="J415" s="39"/>
      <c r="K415" s="35"/>
      <c r="L415" s="107"/>
      <c r="M415" s="40"/>
      <c r="O415" s="107"/>
      <c r="P415" s="22"/>
      <c r="R415" s="81"/>
      <c r="S415" s="81"/>
      <c r="T415" s="81"/>
      <c r="U415" s="81"/>
      <c r="V415" s="107"/>
    </row>
    <row r="416" spans="4:22" s="12" customFormat="1" x14ac:dyDescent="0.2">
      <c r="D416" s="107"/>
      <c r="E416" s="35"/>
      <c r="F416" s="36"/>
      <c r="G416" s="37"/>
      <c r="H416" s="38"/>
      <c r="I416" s="39"/>
      <c r="J416" s="39"/>
      <c r="K416" s="35"/>
      <c r="L416" s="107"/>
      <c r="M416" s="40"/>
      <c r="O416" s="107"/>
      <c r="P416" s="22"/>
      <c r="R416" s="81"/>
      <c r="S416" s="81"/>
      <c r="T416" s="81"/>
      <c r="U416" s="81"/>
      <c r="V416" s="107"/>
    </row>
    <row r="417" spans="4:22" s="12" customFormat="1" x14ac:dyDescent="0.2">
      <c r="D417" s="107"/>
      <c r="E417" s="35"/>
      <c r="F417" s="36"/>
      <c r="G417" s="37"/>
      <c r="H417" s="38"/>
      <c r="I417" s="39"/>
      <c r="J417" s="39"/>
      <c r="K417" s="35"/>
      <c r="L417" s="107"/>
      <c r="M417" s="40"/>
      <c r="O417" s="107"/>
      <c r="P417" s="22"/>
      <c r="R417" s="81"/>
      <c r="S417" s="81"/>
      <c r="T417" s="81"/>
      <c r="U417" s="81"/>
      <c r="V417" s="107"/>
    </row>
    <row r="418" spans="4:22" s="12" customFormat="1" x14ac:dyDescent="0.2">
      <c r="D418" s="107"/>
      <c r="E418" s="35"/>
      <c r="F418" s="36"/>
      <c r="G418" s="37"/>
      <c r="H418" s="38"/>
      <c r="I418" s="39"/>
      <c r="J418" s="39"/>
      <c r="K418" s="35"/>
      <c r="L418" s="107"/>
      <c r="M418" s="40"/>
      <c r="O418" s="107"/>
      <c r="P418" s="22"/>
      <c r="R418" s="81"/>
      <c r="S418" s="81"/>
      <c r="T418" s="81"/>
      <c r="U418" s="81"/>
      <c r="V418" s="107"/>
    </row>
    <row r="419" spans="4:22" s="12" customFormat="1" x14ac:dyDescent="0.2">
      <c r="D419" s="107"/>
      <c r="E419" s="35"/>
      <c r="F419" s="36"/>
      <c r="G419" s="37"/>
      <c r="H419" s="38"/>
      <c r="I419" s="39"/>
      <c r="J419" s="39"/>
      <c r="K419" s="35"/>
      <c r="L419" s="107"/>
      <c r="M419" s="40"/>
      <c r="O419" s="107"/>
      <c r="P419" s="22"/>
      <c r="R419" s="81"/>
      <c r="S419" s="81"/>
      <c r="T419" s="81"/>
      <c r="U419" s="81"/>
      <c r="V419" s="107"/>
    </row>
    <row r="420" spans="4:22" s="12" customFormat="1" x14ac:dyDescent="0.2">
      <c r="D420" s="107"/>
      <c r="E420" s="35"/>
      <c r="F420" s="36"/>
      <c r="G420" s="37"/>
      <c r="H420" s="38"/>
      <c r="I420" s="39"/>
      <c r="J420" s="39"/>
      <c r="K420" s="35"/>
      <c r="L420" s="107"/>
      <c r="M420" s="40"/>
      <c r="O420" s="107"/>
      <c r="P420" s="22"/>
      <c r="R420" s="81"/>
      <c r="S420" s="81"/>
      <c r="T420" s="81"/>
      <c r="U420" s="81"/>
      <c r="V420" s="107"/>
    </row>
    <row r="421" spans="4:22" s="12" customFormat="1" x14ac:dyDescent="0.2">
      <c r="D421" s="107"/>
      <c r="E421" s="35"/>
      <c r="F421" s="36"/>
      <c r="G421" s="37"/>
      <c r="H421" s="38"/>
      <c r="I421" s="39"/>
      <c r="J421" s="39"/>
      <c r="K421" s="35"/>
      <c r="L421" s="107"/>
      <c r="M421" s="40"/>
      <c r="O421" s="107"/>
      <c r="P421" s="22"/>
      <c r="R421" s="81"/>
      <c r="S421" s="81"/>
      <c r="T421" s="81"/>
      <c r="U421" s="81"/>
      <c r="V421" s="107"/>
    </row>
    <row r="422" spans="4:22" s="12" customFormat="1" x14ac:dyDescent="0.2">
      <c r="D422" s="107"/>
      <c r="E422" s="35"/>
      <c r="F422" s="36"/>
      <c r="G422" s="37"/>
      <c r="H422" s="38"/>
      <c r="I422" s="39"/>
      <c r="J422" s="39"/>
      <c r="K422" s="35"/>
      <c r="L422" s="107"/>
      <c r="M422" s="40"/>
      <c r="O422" s="107"/>
      <c r="P422" s="22"/>
      <c r="R422" s="81"/>
      <c r="S422" s="81"/>
      <c r="T422" s="81"/>
      <c r="U422" s="81"/>
      <c r="V422" s="107"/>
    </row>
    <row r="423" spans="4:22" s="12" customFormat="1" x14ac:dyDescent="0.2">
      <c r="D423" s="107"/>
      <c r="E423" s="35"/>
      <c r="F423" s="36"/>
      <c r="G423" s="37"/>
      <c r="H423" s="38"/>
      <c r="I423" s="39"/>
      <c r="J423" s="39"/>
      <c r="K423" s="35"/>
      <c r="L423" s="107"/>
      <c r="M423" s="40"/>
      <c r="O423" s="107"/>
      <c r="P423" s="22"/>
      <c r="R423" s="81"/>
      <c r="S423" s="81"/>
      <c r="T423" s="81"/>
      <c r="U423" s="81"/>
      <c r="V423" s="107"/>
    </row>
    <row r="424" spans="4:22" s="12" customFormat="1" x14ac:dyDescent="0.2">
      <c r="D424" s="107"/>
      <c r="E424" s="35"/>
      <c r="F424" s="36"/>
      <c r="G424" s="37"/>
      <c r="H424" s="38"/>
      <c r="I424" s="39"/>
      <c r="J424" s="39"/>
      <c r="K424" s="35"/>
      <c r="L424" s="107"/>
      <c r="M424" s="40"/>
      <c r="O424" s="107"/>
      <c r="P424" s="22"/>
      <c r="R424" s="81"/>
      <c r="S424" s="81"/>
      <c r="T424" s="81"/>
      <c r="U424" s="81"/>
      <c r="V424" s="107"/>
    </row>
    <row r="425" spans="4:22" s="12" customFormat="1" x14ac:dyDescent="0.2">
      <c r="D425" s="107"/>
      <c r="E425" s="35"/>
      <c r="F425" s="36"/>
      <c r="G425" s="37"/>
      <c r="H425" s="38"/>
      <c r="I425" s="39"/>
      <c r="J425" s="39"/>
      <c r="K425" s="35"/>
      <c r="L425" s="107"/>
      <c r="M425" s="40"/>
      <c r="O425" s="107"/>
      <c r="P425" s="22"/>
      <c r="R425" s="81"/>
      <c r="S425" s="81"/>
      <c r="T425" s="81"/>
      <c r="U425" s="81"/>
      <c r="V425" s="107"/>
    </row>
    <row r="426" spans="4:22" s="12" customFormat="1" x14ac:dyDescent="0.2">
      <c r="D426" s="107"/>
      <c r="E426" s="35"/>
      <c r="F426" s="36"/>
      <c r="G426" s="37"/>
      <c r="H426" s="38"/>
      <c r="I426" s="39"/>
      <c r="J426" s="39"/>
      <c r="K426" s="35"/>
      <c r="L426" s="107"/>
      <c r="M426" s="40"/>
      <c r="O426" s="107"/>
      <c r="P426" s="22"/>
      <c r="R426" s="81"/>
      <c r="S426" s="81"/>
      <c r="T426" s="81"/>
      <c r="U426" s="81"/>
      <c r="V426" s="107"/>
    </row>
    <row r="427" spans="4:22" s="12" customFormat="1" x14ac:dyDescent="0.2">
      <c r="D427" s="107"/>
      <c r="E427" s="35"/>
      <c r="F427" s="36"/>
      <c r="G427" s="37"/>
      <c r="H427" s="38"/>
      <c r="I427" s="39"/>
      <c r="J427" s="39"/>
      <c r="K427" s="35"/>
      <c r="L427" s="107"/>
      <c r="M427" s="40"/>
      <c r="O427" s="107"/>
      <c r="P427" s="22"/>
      <c r="R427" s="81"/>
      <c r="S427" s="81"/>
      <c r="T427" s="81"/>
      <c r="U427" s="81"/>
      <c r="V427" s="107"/>
    </row>
    <row r="428" spans="4:22" s="12" customFormat="1" x14ac:dyDescent="0.2">
      <c r="D428" s="107"/>
      <c r="E428" s="35"/>
      <c r="F428" s="36"/>
      <c r="G428" s="37"/>
      <c r="H428" s="38"/>
      <c r="I428" s="39"/>
      <c r="J428" s="39"/>
      <c r="K428" s="35"/>
      <c r="L428" s="107"/>
      <c r="M428" s="40"/>
      <c r="O428" s="107"/>
      <c r="P428" s="22"/>
      <c r="R428" s="81"/>
      <c r="S428" s="81"/>
      <c r="T428" s="81"/>
      <c r="U428" s="81"/>
      <c r="V428" s="107"/>
    </row>
    <row r="429" spans="4:22" s="12" customFormat="1" x14ac:dyDescent="0.2">
      <c r="D429" s="107"/>
      <c r="E429" s="35"/>
      <c r="F429" s="36"/>
      <c r="G429" s="37"/>
      <c r="H429" s="38"/>
      <c r="I429" s="39"/>
      <c r="J429" s="39"/>
      <c r="K429" s="35"/>
      <c r="L429" s="107"/>
      <c r="M429" s="40"/>
      <c r="O429" s="107"/>
      <c r="P429" s="22"/>
      <c r="R429" s="81"/>
      <c r="S429" s="81"/>
      <c r="T429" s="81"/>
      <c r="U429" s="81"/>
      <c r="V429" s="107"/>
    </row>
    <row r="430" spans="4:22" s="12" customFormat="1" x14ac:dyDescent="0.2">
      <c r="D430" s="107"/>
      <c r="E430" s="35"/>
      <c r="F430" s="36"/>
      <c r="G430" s="37"/>
      <c r="H430" s="38"/>
      <c r="I430" s="39"/>
      <c r="J430" s="39"/>
      <c r="K430" s="35"/>
      <c r="L430" s="107"/>
      <c r="M430" s="40"/>
      <c r="O430" s="107"/>
      <c r="P430" s="22"/>
      <c r="R430" s="81"/>
      <c r="S430" s="81"/>
      <c r="T430" s="81"/>
      <c r="U430" s="81"/>
      <c r="V430" s="107"/>
    </row>
    <row r="431" spans="4:22" s="12" customFormat="1" x14ac:dyDescent="0.2">
      <c r="D431" s="107"/>
      <c r="E431" s="35"/>
      <c r="F431" s="36"/>
      <c r="G431" s="37"/>
      <c r="H431" s="38"/>
      <c r="I431" s="39"/>
      <c r="J431" s="39"/>
      <c r="K431" s="35"/>
      <c r="L431" s="107"/>
      <c r="M431" s="40"/>
      <c r="O431" s="107"/>
      <c r="P431" s="22"/>
      <c r="R431" s="81"/>
      <c r="S431" s="81"/>
      <c r="T431" s="81"/>
      <c r="U431" s="81"/>
      <c r="V431" s="107"/>
    </row>
    <row r="432" spans="4:22" s="12" customFormat="1" x14ac:dyDescent="0.2">
      <c r="D432" s="107"/>
      <c r="E432" s="35"/>
      <c r="F432" s="36"/>
      <c r="G432" s="37"/>
      <c r="H432" s="38"/>
      <c r="I432" s="39"/>
      <c r="J432" s="39"/>
      <c r="K432" s="35"/>
      <c r="L432" s="107"/>
      <c r="M432" s="40"/>
      <c r="O432" s="107"/>
      <c r="P432" s="22"/>
      <c r="R432" s="81"/>
      <c r="S432" s="81"/>
      <c r="T432" s="81"/>
      <c r="U432" s="81"/>
      <c r="V432" s="107"/>
    </row>
    <row r="433" spans="4:22" s="12" customFormat="1" x14ac:dyDescent="0.2">
      <c r="D433" s="107"/>
      <c r="E433" s="35"/>
      <c r="F433" s="36"/>
      <c r="G433" s="37"/>
      <c r="H433" s="38"/>
      <c r="I433" s="39"/>
      <c r="J433" s="39"/>
      <c r="K433" s="35"/>
      <c r="L433" s="107"/>
      <c r="M433" s="40"/>
      <c r="O433" s="107"/>
      <c r="P433" s="22"/>
      <c r="R433" s="81"/>
      <c r="S433" s="81"/>
      <c r="T433" s="81"/>
      <c r="U433" s="81"/>
      <c r="V433" s="107"/>
    </row>
    <row r="434" spans="4:22" s="12" customFormat="1" x14ac:dyDescent="0.2">
      <c r="D434" s="107"/>
      <c r="E434" s="35"/>
      <c r="F434" s="36"/>
      <c r="G434" s="37"/>
      <c r="H434" s="38"/>
      <c r="I434" s="39"/>
      <c r="J434" s="39"/>
      <c r="K434" s="35"/>
      <c r="L434" s="107"/>
      <c r="M434" s="40"/>
      <c r="O434" s="107"/>
      <c r="P434" s="22"/>
      <c r="R434" s="81"/>
      <c r="S434" s="81"/>
      <c r="T434" s="81"/>
      <c r="U434" s="81"/>
      <c r="V434" s="107"/>
    </row>
    <row r="435" spans="4:22" s="12" customFormat="1" x14ac:dyDescent="0.2">
      <c r="D435" s="107"/>
      <c r="E435" s="35"/>
      <c r="F435" s="36"/>
      <c r="G435" s="37"/>
      <c r="H435" s="38"/>
      <c r="I435" s="39"/>
      <c r="J435" s="39"/>
      <c r="K435" s="35"/>
      <c r="L435" s="107"/>
      <c r="M435" s="40"/>
      <c r="O435" s="107"/>
      <c r="P435" s="22"/>
      <c r="R435" s="81"/>
      <c r="S435" s="81"/>
      <c r="T435" s="81"/>
      <c r="U435" s="81"/>
      <c r="V435" s="107"/>
    </row>
    <row r="436" spans="4:22" s="12" customFormat="1" x14ac:dyDescent="0.2">
      <c r="D436" s="107"/>
      <c r="E436" s="35"/>
      <c r="F436" s="36"/>
      <c r="G436" s="37"/>
      <c r="H436" s="38"/>
      <c r="I436" s="39"/>
      <c r="J436" s="39"/>
      <c r="K436" s="35"/>
      <c r="L436" s="107"/>
      <c r="M436" s="40"/>
      <c r="O436" s="107"/>
      <c r="P436" s="22"/>
      <c r="R436" s="81"/>
      <c r="S436" s="81"/>
      <c r="T436" s="81"/>
      <c r="U436" s="81"/>
      <c r="V436" s="107"/>
    </row>
    <row r="437" spans="4:22" s="12" customFormat="1" x14ac:dyDescent="0.2">
      <c r="D437" s="107"/>
      <c r="E437" s="35"/>
      <c r="F437" s="36"/>
      <c r="G437" s="37"/>
      <c r="H437" s="38"/>
      <c r="I437" s="39"/>
      <c r="J437" s="39"/>
      <c r="K437" s="35"/>
      <c r="L437" s="107"/>
      <c r="M437" s="40"/>
      <c r="O437" s="107"/>
      <c r="P437" s="22"/>
      <c r="R437" s="81"/>
      <c r="S437" s="81"/>
      <c r="T437" s="81"/>
      <c r="U437" s="81"/>
      <c r="V437" s="107"/>
    </row>
    <row r="438" spans="4:22" s="12" customFormat="1" x14ac:dyDescent="0.2">
      <c r="D438" s="107"/>
      <c r="E438" s="35"/>
      <c r="F438" s="36"/>
      <c r="G438" s="37"/>
      <c r="H438" s="38"/>
      <c r="I438" s="39"/>
      <c r="J438" s="39"/>
      <c r="K438" s="35"/>
      <c r="L438" s="107"/>
      <c r="M438" s="40"/>
      <c r="O438" s="107"/>
      <c r="P438" s="22"/>
      <c r="R438" s="81"/>
      <c r="S438" s="81"/>
      <c r="T438" s="81"/>
      <c r="U438" s="81"/>
      <c r="V438" s="107"/>
    </row>
    <row r="439" spans="4:22" s="12" customFormat="1" x14ac:dyDescent="0.2">
      <c r="D439" s="107"/>
      <c r="E439" s="35"/>
      <c r="F439" s="36"/>
      <c r="G439" s="37"/>
      <c r="H439" s="38"/>
      <c r="I439" s="39"/>
      <c r="J439" s="39"/>
      <c r="K439" s="35"/>
      <c r="L439" s="107"/>
      <c r="M439" s="40"/>
      <c r="O439" s="107"/>
      <c r="P439" s="22"/>
      <c r="R439" s="81"/>
      <c r="S439" s="81"/>
      <c r="T439" s="81"/>
      <c r="U439" s="81"/>
      <c r="V439" s="107"/>
    </row>
    <row r="440" spans="4:22" s="12" customFormat="1" x14ac:dyDescent="0.2">
      <c r="D440" s="107"/>
      <c r="E440" s="35"/>
      <c r="F440" s="36"/>
      <c r="G440" s="37"/>
      <c r="H440" s="38"/>
      <c r="I440" s="39"/>
      <c r="J440" s="39"/>
      <c r="K440" s="35"/>
      <c r="L440" s="107"/>
      <c r="M440" s="40"/>
      <c r="O440" s="107"/>
      <c r="P440" s="22"/>
      <c r="R440" s="81"/>
      <c r="S440" s="81"/>
      <c r="T440" s="81"/>
      <c r="U440" s="81"/>
      <c r="V440" s="107"/>
    </row>
    <row r="441" spans="4:22" s="12" customFormat="1" x14ac:dyDescent="0.2">
      <c r="D441" s="107"/>
      <c r="E441" s="35"/>
      <c r="F441" s="36"/>
      <c r="G441" s="37"/>
      <c r="H441" s="38"/>
      <c r="I441" s="39"/>
      <c r="J441" s="39"/>
      <c r="K441" s="35"/>
      <c r="L441" s="107"/>
      <c r="M441" s="40"/>
      <c r="O441" s="107"/>
      <c r="P441" s="22"/>
      <c r="R441" s="81"/>
      <c r="S441" s="81"/>
      <c r="T441" s="81"/>
      <c r="U441" s="81"/>
      <c r="V441" s="107"/>
    </row>
    <row r="442" spans="4:22" s="12" customFormat="1" x14ac:dyDescent="0.2">
      <c r="D442" s="107"/>
      <c r="E442" s="35"/>
      <c r="F442" s="36"/>
      <c r="G442" s="37"/>
      <c r="H442" s="38"/>
      <c r="I442" s="39"/>
      <c r="J442" s="39"/>
      <c r="K442" s="35"/>
      <c r="L442" s="107"/>
      <c r="M442" s="40"/>
      <c r="O442" s="107"/>
      <c r="P442" s="22"/>
      <c r="R442" s="81"/>
      <c r="S442" s="81"/>
      <c r="T442" s="81"/>
      <c r="U442" s="81"/>
      <c r="V442" s="107"/>
    </row>
    <row r="443" spans="4:22" s="12" customFormat="1" x14ac:dyDescent="0.2">
      <c r="D443" s="107"/>
      <c r="E443" s="35"/>
      <c r="F443" s="36"/>
      <c r="G443" s="37"/>
      <c r="H443" s="38"/>
      <c r="I443" s="39"/>
      <c r="J443" s="39"/>
      <c r="K443" s="35"/>
      <c r="L443" s="107"/>
      <c r="M443" s="40"/>
      <c r="O443" s="107"/>
      <c r="P443" s="22"/>
      <c r="R443" s="81"/>
      <c r="S443" s="81"/>
      <c r="T443" s="81"/>
      <c r="U443" s="81"/>
      <c r="V443" s="107"/>
    </row>
    <row r="444" spans="4:22" s="12" customFormat="1" x14ac:dyDescent="0.2">
      <c r="D444" s="107"/>
      <c r="E444" s="35"/>
      <c r="F444" s="36"/>
      <c r="G444" s="37"/>
      <c r="H444" s="38"/>
      <c r="I444" s="39"/>
      <c r="J444" s="39"/>
      <c r="K444" s="35"/>
      <c r="L444" s="107"/>
      <c r="M444" s="40"/>
      <c r="O444" s="107"/>
      <c r="P444" s="22"/>
      <c r="R444" s="81"/>
      <c r="S444" s="81"/>
      <c r="T444" s="81"/>
      <c r="U444" s="81"/>
      <c r="V444" s="107"/>
    </row>
    <row r="445" spans="4:22" s="12" customFormat="1" x14ac:dyDescent="0.2">
      <c r="D445" s="107"/>
      <c r="E445" s="35"/>
      <c r="F445" s="36"/>
      <c r="G445" s="37"/>
      <c r="H445" s="38"/>
      <c r="I445" s="39"/>
      <c r="J445" s="39"/>
      <c r="K445" s="35"/>
      <c r="L445" s="107"/>
      <c r="M445" s="40"/>
      <c r="O445" s="107"/>
      <c r="P445" s="22"/>
      <c r="R445" s="81"/>
      <c r="S445" s="81"/>
      <c r="T445" s="81"/>
      <c r="U445" s="81"/>
      <c r="V445" s="107"/>
    </row>
    <row r="446" spans="4:22" s="12" customFormat="1" x14ac:dyDescent="0.2">
      <c r="D446" s="107"/>
      <c r="E446" s="35"/>
      <c r="F446" s="36"/>
      <c r="G446" s="37"/>
      <c r="H446" s="38"/>
      <c r="I446" s="39"/>
      <c r="J446" s="39"/>
      <c r="K446" s="35"/>
      <c r="L446" s="107"/>
      <c r="M446" s="40"/>
      <c r="O446" s="107"/>
      <c r="P446" s="22"/>
      <c r="R446" s="81"/>
      <c r="S446" s="81"/>
      <c r="T446" s="81"/>
      <c r="U446" s="81"/>
      <c r="V446" s="107"/>
    </row>
    <row r="447" spans="4:22" s="12" customFormat="1" x14ac:dyDescent="0.2">
      <c r="D447" s="107"/>
      <c r="E447" s="35"/>
      <c r="F447" s="36"/>
      <c r="G447" s="37"/>
      <c r="H447" s="38"/>
      <c r="I447" s="39"/>
      <c r="J447" s="39"/>
      <c r="K447" s="35"/>
      <c r="L447" s="107"/>
      <c r="M447" s="40"/>
      <c r="O447" s="107"/>
      <c r="P447" s="22"/>
      <c r="R447" s="81"/>
      <c r="S447" s="81"/>
      <c r="T447" s="81"/>
      <c r="U447" s="81"/>
      <c r="V447" s="107"/>
    </row>
    <row r="448" spans="4:22" s="12" customFormat="1" x14ac:dyDescent="0.2">
      <c r="D448" s="107"/>
      <c r="E448" s="35"/>
      <c r="F448" s="36"/>
      <c r="G448" s="37"/>
      <c r="H448" s="38"/>
      <c r="I448" s="39"/>
      <c r="J448" s="39"/>
      <c r="K448" s="35"/>
      <c r="L448" s="107"/>
      <c r="M448" s="40"/>
      <c r="O448" s="107"/>
      <c r="P448" s="22"/>
      <c r="R448" s="81"/>
      <c r="S448" s="81"/>
      <c r="T448" s="81"/>
      <c r="U448" s="81"/>
      <c r="V448" s="107"/>
    </row>
    <row r="449" spans="4:22" s="12" customFormat="1" x14ac:dyDescent="0.2">
      <c r="D449" s="107"/>
      <c r="E449" s="35"/>
      <c r="F449" s="36"/>
      <c r="G449" s="37"/>
      <c r="H449" s="38"/>
      <c r="I449" s="39"/>
      <c r="J449" s="39"/>
      <c r="K449" s="35"/>
      <c r="L449" s="107"/>
      <c r="M449" s="40"/>
      <c r="O449" s="107"/>
      <c r="P449" s="22"/>
      <c r="R449" s="81"/>
      <c r="S449" s="81"/>
      <c r="T449" s="81"/>
      <c r="U449" s="81"/>
      <c r="V449" s="107"/>
    </row>
    <row r="450" spans="4:22" s="12" customFormat="1" x14ac:dyDescent="0.2">
      <c r="D450" s="107"/>
      <c r="E450" s="35"/>
      <c r="F450" s="36"/>
      <c r="G450" s="37"/>
      <c r="H450" s="38"/>
      <c r="I450" s="39"/>
      <c r="J450" s="39"/>
      <c r="K450" s="35"/>
      <c r="L450" s="107"/>
      <c r="M450" s="40"/>
      <c r="O450" s="107"/>
      <c r="P450" s="22"/>
      <c r="R450" s="81"/>
      <c r="S450" s="81"/>
      <c r="T450" s="81"/>
      <c r="U450" s="81"/>
      <c r="V450" s="107"/>
    </row>
    <row r="451" spans="4:22" s="12" customFormat="1" x14ac:dyDescent="0.2">
      <c r="D451" s="107"/>
      <c r="E451" s="35"/>
      <c r="F451" s="36"/>
      <c r="G451" s="37"/>
      <c r="H451" s="38"/>
      <c r="I451" s="39"/>
      <c r="J451" s="39"/>
      <c r="K451" s="35"/>
      <c r="L451" s="107"/>
      <c r="M451" s="40"/>
      <c r="O451" s="107"/>
      <c r="P451" s="22"/>
      <c r="R451" s="81"/>
      <c r="S451" s="81"/>
      <c r="T451" s="81"/>
      <c r="U451" s="81"/>
      <c r="V451" s="107"/>
    </row>
    <row r="452" spans="4:22" s="12" customFormat="1" x14ac:dyDescent="0.2">
      <c r="D452" s="107"/>
      <c r="E452" s="35"/>
      <c r="F452" s="36"/>
      <c r="G452" s="37"/>
      <c r="H452" s="38"/>
      <c r="I452" s="39"/>
      <c r="J452" s="39"/>
      <c r="K452" s="35"/>
      <c r="L452" s="107"/>
      <c r="M452" s="40"/>
      <c r="O452" s="107"/>
      <c r="P452" s="22"/>
      <c r="R452" s="81"/>
      <c r="S452" s="81"/>
      <c r="T452" s="81"/>
      <c r="U452" s="81"/>
      <c r="V452" s="107"/>
    </row>
    <row r="453" spans="4:22" s="12" customFormat="1" x14ac:dyDescent="0.2">
      <c r="D453" s="107"/>
      <c r="E453" s="35"/>
      <c r="F453" s="36"/>
      <c r="G453" s="37"/>
      <c r="H453" s="38"/>
      <c r="I453" s="39"/>
      <c r="J453" s="39"/>
      <c r="K453" s="35"/>
      <c r="L453" s="107"/>
      <c r="M453" s="40"/>
      <c r="O453" s="107"/>
      <c r="P453" s="22"/>
      <c r="R453" s="81"/>
      <c r="S453" s="81"/>
      <c r="T453" s="81"/>
      <c r="U453" s="81"/>
      <c r="V453" s="107"/>
    </row>
    <row r="454" spans="4:22" s="12" customFormat="1" x14ac:dyDescent="0.2">
      <c r="D454" s="107"/>
      <c r="E454" s="35"/>
      <c r="F454" s="36"/>
      <c r="G454" s="37"/>
      <c r="H454" s="38"/>
      <c r="I454" s="39"/>
      <c r="J454" s="39"/>
      <c r="K454" s="35"/>
      <c r="L454" s="107"/>
      <c r="M454" s="40"/>
      <c r="O454" s="107"/>
      <c r="P454" s="22"/>
      <c r="R454" s="81"/>
      <c r="S454" s="81"/>
      <c r="T454" s="81"/>
      <c r="U454" s="81"/>
      <c r="V454" s="107"/>
    </row>
    <row r="455" spans="4:22" s="12" customFormat="1" x14ac:dyDescent="0.2">
      <c r="D455" s="107"/>
      <c r="E455" s="35"/>
      <c r="F455" s="36"/>
      <c r="G455" s="37"/>
      <c r="H455" s="38"/>
      <c r="I455" s="39"/>
      <c r="J455" s="39"/>
      <c r="K455" s="35"/>
      <c r="L455" s="107"/>
      <c r="M455" s="40"/>
      <c r="O455" s="107"/>
      <c r="P455" s="22"/>
      <c r="R455" s="81"/>
      <c r="S455" s="81"/>
      <c r="T455" s="81"/>
      <c r="U455" s="81"/>
      <c r="V455" s="107"/>
    </row>
    <row r="456" spans="4:22" s="12" customFormat="1" x14ac:dyDescent="0.2">
      <c r="D456" s="107"/>
      <c r="E456" s="35"/>
      <c r="F456" s="36"/>
      <c r="G456" s="37"/>
      <c r="H456" s="38"/>
      <c r="I456" s="39"/>
      <c r="J456" s="39"/>
      <c r="K456" s="35"/>
      <c r="L456" s="107"/>
      <c r="M456" s="40"/>
      <c r="O456" s="107"/>
      <c r="P456" s="22"/>
      <c r="R456" s="81"/>
      <c r="S456" s="81"/>
      <c r="T456" s="81"/>
      <c r="U456" s="81"/>
      <c r="V456" s="107"/>
    </row>
    <row r="457" spans="4:22" s="12" customFormat="1" x14ac:dyDescent="0.2">
      <c r="D457" s="107"/>
      <c r="E457" s="35"/>
      <c r="F457" s="36"/>
      <c r="G457" s="37"/>
      <c r="H457" s="38"/>
      <c r="I457" s="39"/>
      <c r="J457" s="39"/>
      <c r="K457" s="35"/>
      <c r="L457" s="107"/>
      <c r="M457" s="40"/>
      <c r="O457" s="107"/>
      <c r="P457" s="22"/>
      <c r="R457" s="81"/>
      <c r="S457" s="81"/>
      <c r="T457" s="81"/>
      <c r="U457" s="81"/>
      <c r="V457" s="107"/>
    </row>
    <row r="458" spans="4:22" s="12" customFormat="1" x14ac:dyDescent="0.2">
      <c r="D458" s="107"/>
      <c r="E458" s="35"/>
      <c r="F458" s="36"/>
      <c r="G458" s="37"/>
      <c r="H458" s="38"/>
      <c r="I458" s="39"/>
      <c r="J458" s="39"/>
      <c r="K458" s="35"/>
      <c r="L458" s="107"/>
      <c r="M458" s="40"/>
      <c r="O458" s="107"/>
      <c r="P458" s="22"/>
      <c r="R458" s="81"/>
      <c r="S458" s="81"/>
      <c r="T458" s="81"/>
      <c r="U458" s="81"/>
      <c r="V458" s="107"/>
    </row>
    <row r="459" spans="4:22" s="12" customFormat="1" x14ac:dyDescent="0.2">
      <c r="D459" s="107"/>
      <c r="E459" s="35"/>
      <c r="F459" s="36"/>
      <c r="G459" s="37"/>
      <c r="H459" s="38"/>
      <c r="I459" s="39"/>
      <c r="J459" s="39"/>
      <c r="K459" s="35"/>
      <c r="L459" s="107"/>
      <c r="M459" s="40"/>
      <c r="O459" s="107"/>
      <c r="P459" s="22"/>
      <c r="R459" s="81"/>
      <c r="S459" s="81"/>
      <c r="T459" s="81"/>
      <c r="U459" s="81"/>
      <c r="V459" s="107"/>
    </row>
    <row r="460" spans="4:22" s="12" customFormat="1" x14ac:dyDescent="0.2">
      <c r="D460" s="107"/>
      <c r="E460" s="35"/>
      <c r="F460" s="36"/>
      <c r="G460" s="37"/>
      <c r="H460" s="38"/>
      <c r="I460" s="39"/>
      <c r="J460" s="39"/>
      <c r="K460" s="35"/>
      <c r="L460" s="107"/>
      <c r="M460" s="40"/>
      <c r="O460" s="107"/>
      <c r="P460" s="22"/>
      <c r="R460" s="81"/>
      <c r="S460" s="81"/>
      <c r="T460" s="81"/>
      <c r="U460" s="81"/>
      <c r="V460" s="107"/>
    </row>
    <row r="461" spans="4:22" s="12" customFormat="1" x14ac:dyDescent="0.2">
      <c r="D461" s="107"/>
      <c r="E461" s="35"/>
      <c r="F461" s="36"/>
      <c r="G461" s="37"/>
      <c r="H461" s="38"/>
      <c r="I461" s="39"/>
      <c r="J461" s="39"/>
      <c r="K461" s="35"/>
      <c r="L461" s="107"/>
      <c r="M461" s="40"/>
      <c r="O461" s="107"/>
      <c r="P461" s="22"/>
      <c r="R461" s="81"/>
      <c r="S461" s="81"/>
      <c r="T461" s="81"/>
      <c r="U461" s="81"/>
      <c r="V461" s="107"/>
    </row>
    <row r="462" spans="4:22" s="12" customFormat="1" x14ac:dyDescent="0.2">
      <c r="D462" s="107"/>
      <c r="E462" s="35"/>
      <c r="F462" s="36"/>
      <c r="G462" s="37"/>
      <c r="H462" s="38"/>
      <c r="I462" s="39"/>
      <c r="J462" s="39"/>
      <c r="K462" s="35"/>
      <c r="L462" s="107"/>
      <c r="M462" s="40"/>
      <c r="O462" s="107"/>
      <c r="P462" s="22"/>
      <c r="R462" s="81"/>
      <c r="S462" s="81"/>
      <c r="T462" s="81"/>
      <c r="U462" s="81"/>
      <c r="V462" s="107"/>
    </row>
    <row r="463" spans="4:22" s="12" customFormat="1" x14ac:dyDescent="0.2">
      <c r="D463" s="107"/>
      <c r="E463" s="35"/>
      <c r="F463" s="36"/>
      <c r="G463" s="37"/>
      <c r="H463" s="38"/>
      <c r="I463" s="39"/>
      <c r="J463" s="39"/>
      <c r="K463" s="35"/>
      <c r="L463" s="107"/>
      <c r="M463" s="40"/>
      <c r="O463" s="107"/>
      <c r="P463" s="22"/>
      <c r="R463" s="81"/>
      <c r="S463" s="81"/>
      <c r="T463" s="81"/>
      <c r="U463" s="81"/>
      <c r="V463" s="107"/>
    </row>
    <row r="464" spans="4:22" s="12" customFormat="1" x14ac:dyDescent="0.2">
      <c r="D464" s="107"/>
      <c r="E464" s="35"/>
      <c r="F464" s="36"/>
      <c r="G464" s="37"/>
      <c r="H464" s="38"/>
      <c r="I464" s="39"/>
      <c r="J464" s="39"/>
      <c r="K464" s="35"/>
      <c r="L464" s="107"/>
      <c r="M464" s="40"/>
      <c r="O464" s="107"/>
      <c r="P464" s="22"/>
      <c r="R464" s="81"/>
      <c r="S464" s="81"/>
      <c r="T464" s="81"/>
      <c r="U464" s="81"/>
      <c r="V464" s="107"/>
    </row>
    <row r="465" spans="4:22" s="12" customFormat="1" x14ac:dyDescent="0.2">
      <c r="D465" s="107"/>
      <c r="E465" s="35"/>
      <c r="F465" s="36"/>
      <c r="G465" s="37"/>
      <c r="H465" s="38"/>
      <c r="I465" s="39"/>
      <c r="J465" s="39"/>
      <c r="K465" s="35"/>
      <c r="L465" s="107"/>
      <c r="M465" s="40"/>
      <c r="O465" s="107"/>
      <c r="P465" s="22"/>
      <c r="R465" s="81"/>
      <c r="S465" s="81"/>
      <c r="T465" s="81"/>
      <c r="U465" s="81"/>
      <c r="V465" s="107"/>
    </row>
    <row r="466" spans="4:22" s="12" customFormat="1" x14ac:dyDescent="0.2">
      <c r="D466" s="107"/>
      <c r="E466" s="35"/>
      <c r="F466" s="36"/>
      <c r="G466" s="37"/>
      <c r="H466" s="38"/>
      <c r="I466" s="39"/>
      <c r="J466" s="39"/>
      <c r="K466" s="35"/>
      <c r="L466" s="107"/>
      <c r="M466" s="40"/>
      <c r="O466" s="107"/>
      <c r="P466" s="22"/>
      <c r="R466" s="81"/>
      <c r="S466" s="81"/>
      <c r="T466" s="81"/>
      <c r="U466" s="81"/>
      <c r="V466" s="107"/>
    </row>
    <row r="467" spans="4:22" s="12" customFormat="1" x14ac:dyDescent="0.2">
      <c r="D467" s="107"/>
      <c r="E467" s="35"/>
      <c r="F467" s="36"/>
      <c r="G467" s="37"/>
      <c r="H467" s="38"/>
      <c r="I467" s="39"/>
      <c r="J467" s="39"/>
      <c r="K467" s="35"/>
      <c r="L467" s="107"/>
      <c r="M467" s="40"/>
      <c r="O467" s="107"/>
      <c r="P467" s="22"/>
      <c r="R467" s="81"/>
      <c r="S467" s="81"/>
      <c r="T467" s="81"/>
      <c r="U467" s="81"/>
      <c r="V467" s="107"/>
    </row>
    <row r="468" spans="4:22" s="12" customFormat="1" x14ac:dyDescent="0.2">
      <c r="D468" s="107"/>
      <c r="E468" s="35"/>
      <c r="F468" s="36"/>
      <c r="G468" s="37"/>
      <c r="H468" s="38"/>
      <c r="I468" s="39"/>
      <c r="J468" s="39"/>
      <c r="K468" s="35"/>
      <c r="L468" s="107"/>
      <c r="M468" s="40"/>
      <c r="O468" s="107"/>
      <c r="P468" s="22"/>
      <c r="R468" s="81"/>
      <c r="S468" s="81"/>
      <c r="T468" s="81"/>
      <c r="U468" s="81"/>
      <c r="V468" s="107"/>
    </row>
    <row r="469" spans="4:22" s="12" customFormat="1" x14ac:dyDescent="0.2">
      <c r="D469" s="107"/>
      <c r="E469" s="35"/>
      <c r="F469" s="36"/>
      <c r="G469" s="37"/>
      <c r="H469" s="38"/>
      <c r="I469" s="39"/>
      <c r="J469" s="39"/>
      <c r="K469" s="35"/>
      <c r="L469" s="107"/>
      <c r="M469" s="40"/>
      <c r="O469" s="107"/>
      <c r="P469" s="22"/>
      <c r="R469" s="81"/>
      <c r="S469" s="81"/>
      <c r="T469" s="81"/>
      <c r="U469" s="81"/>
      <c r="V469" s="107"/>
    </row>
    <row r="470" spans="4:22" s="12" customFormat="1" x14ac:dyDescent="0.2">
      <c r="D470" s="107"/>
      <c r="E470" s="35"/>
      <c r="F470" s="36"/>
      <c r="G470" s="37"/>
      <c r="H470" s="38"/>
      <c r="I470" s="39"/>
      <c r="J470" s="39"/>
      <c r="K470" s="35"/>
      <c r="L470" s="107"/>
      <c r="M470" s="40"/>
      <c r="O470" s="107"/>
      <c r="P470" s="22"/>
      <c r="R470" s="81"/>
      <c r="S470" s="81"/>
      <c r="T470" s="81"/>
      <c r="U470" s="81"/>
      <c r="V470" s="107"/>
    </row>
    <row r="471" spans="4:22" s="12" customFormat="1" x14ac:dyDescent="0.2">
      <c r="D471" s="107"/>
      <c r="E471" s="35"/>
      <c r="F471" s="36"/>
      <c r="G471" s="37"/>
      <c r="H471" s="38"/>
      <c r="I471" s="39"/>
      <c r="J471" s="39"/>
      <c r="K471" s="35"/>
      <c r="L471" s="107"/>
      <c r="M471" s="40"/>
      <c r="O471" s="107"/>
      <c r="P471" s="22"/>
      <c r="R471" s="81"/>
      <c r="S471" s="81"/>
      <c r="T471" s="81"/>
      <c r="U471" s="81"/>
      <c r="V471" s="107"/>
    </row>
    <row r="472" spans="4:22" s="12" customFormat="1" x14ac:dyDescent="0.2">
      <c r="D472" s="107"/>
      <c r="E472" s="35"/>
      <c r="F472" s="36"/>
      <c r="G472" s="37"/>
      <c r="H472" s="38"/>
      <c r="I472" s="39"/>
      <c r="J472" s="39"/>
      <c r="K472" s="35"/>
      <c r="L472" s="107"/>
      <c r="M472" s="40"/>
      <c r="O472" s="107"/>
      <c r="P472" s="22"/>
      <c r="R472" s="81"/>
      <c r="S472" s="81"/>
      <c r="T472" s="81"/>
      <c r="U472" s="81"/>
      <c r="V472" s="107"/>
    </row>
    <row r="473" spans="4:22" s="12" customFormat="1" x14ac:dyDescent="0.2">
      <c r="D473" s="107"/>
      <c r="E473" s="35"/>
      <c r="F473" s="36"/>
      <c r="G473" s="37"/>
      <c r="H473" s="38"/>
      <c r="I473" s="39"/>
      <c r="J473" s="39"/>
      <c r="K473" s="35"/>
      <c r="L473" s="107"/>
      <c r="M473" s="40"/>
      <c r="O473" s="107"/>
      <c r="P473" s="22"/>
      <c r="R473" s="81"/>
      <c r="S473" s="81"/>
      <c r="T473" s="81"/>
      <c r="U473" s="81"/>
      <c r="V473" s="107"/>
    </row>
    <row r="474" spans="4:22" s="12" customFormat="1" x14ac:dyDescent="0.2">
      <c r="D474" s="107"/>
      <c r="E474" s="35"/>
      <c r="F474" s="36"/>
      <c r="G474" s="37"/>
      <c r="H474" s="38"/>
      <c r="I474" s="39"/>
      <c r="J474" s="39"/>
      <c r="K474" s="35"/>
      <c r="L474" s="107"/>
      <c r="M474" s="40"/>
      <c r="O474" s="107"/>
      <c r="P474" s="22"/>
      <c r="R474" s="81"/>
      <c r="S474" s="81"/>
      <c r="T474" s="81"/>
      <c r="U474" s="81"/>
      <c r="V474" s="107"/>
    </row>
    <row r="475" spans="4:22" s="12" customFormat="1" x14ac:dyDescent="0.2">
      <c r="D475" s="107"/>
      <c r="E475" s="35"/>
      <c r="F475" s="36"/>
      <c r="G475" s="37"/>
      <c r="H475" s="38"/>
      <c r="I475" s="39"/>
      <c r="J475" s="39"/>
      <c r="K475" s="35"/>
      <c r="L475" s="107"/>
      <c r="M475" s="40"/>
      <c r="O475" s="107"/>
      <c r="P475" s="22"/>
      <c r="R475" s="81"/>
      <c r="S475" s="81"/>
      <c r="T475" s="81"/>
      <c r="U475" s="81"/>
      <c r="V475" s="107"/>
    </row>
    <row r="476" spans="4:22" s="12" customFormat="1" x14ac:dyDescent="0.2">
      <c r="D476" s="107"/>
      <c r="E476" s="35"/>
      <c r="F476" s="36"/>
      <c r="G476" s="37"/>
      <c r="H476" s="38"/>
      <c r="I476" s="39"/>
      <c r="J476" s="39"/>
      <c r="K476" s="35"/>
      <c r="L476" s="107"/>
      <c r="M476" s="40"/>
      <c r="O476" s="107"/>
      <c r="P476" s="22"/>
      <c r="R476" s="81"/>
      <c r="S476" s="81"/>
      <c r="T476" s="81"/>
      <c r="U476" s="81"/>
      <c r="V476" s="107"/>
    </row>
    <row r="477" spans="4:22" s="12" customFormat="1" x14ac:dyDescent="0.2">
      <c r="D477" s="107"/>
      <c r="E477" s="35"/>
      <c r="F477" s="36"/>
      <c r="G477" s="37"/>
      <c r="H477" s="38"/>
      <c r="I477" s="39"/>
      <c r="J477" s="39"/>
      <c r="K477" s="35"/>
      <c r="L477" s="107"/>
      <c r="M477" s="40"/>
      <c r="O477" s="107"/>
      <c r="P477" s="22"/>
      <c r="R477" s="81"/>
      <c r="S477" s="81"/>
      <c r="T477" s="81"/>
      <c r="U477" s="81"/>
      <c r="V477" s="107"/>
    </row>
    <row r="478" spans="4:22" s="12" customFormat="1" x14ac:dyDescent="0.2">
      <c r="D478" s="107"/>
      <c r="E478" s="35"/>
      <c r="F478" s="36"/>
      <c r="G478" s="37"/>
      <c r="H478" s="38"/>
      <c r="I478" s="39"/>
      <c r="J478" s="39"/>
      <c r="K478" s="35"/>
      <c r="L478" s="107"/>
      <c r="M478" s="40"/>
      <c r="O478" s="107"/>
      <c r="P478" s="22"/>
      <c r="R478" s="81"/>
      <c r="S478" s="81"/>
      <c r="T478" s="81"/>
      <c r="U478" s="81"/>
      <c r="V478" s="107"/>
    </row>
    <row r="479" spans="4:22" s="12" customFormat="1" x14ac:dyDescent="0.2">
      <c r="D479" s="107"/>
      <c r="E479" s="35"/>
      <c r="F479" s="36"/>
      <c r="G479" s="37"/>
      <c r="H479" s="38"/>
      <c r="I479" s="39"/>
      <c r="J479" s="39"/>
      <c r="K479" s="35"/>
      <c r="L479" s="107"/>
      <c r="M479" s="40"/>
      <c r="O479" s="107"/>
      <c r="P479" s="22"/>
      <c r="R479" s="81"/>
      <c r="S479" s="81"/>
      <c r="T479" s="81"/>
      <c r="U479" s="81"/>
      <c r="V479" s="107"/>
    </row>
    <row r="480" spans="4:22" s="12" customFormat="1" x14ac:dyDescent="0.2">
      <c r="D480" s="107"/>
      <c r="E480" s="35"/>
      <c r="F480" s="36"/>
      <c r="G480" s="37"/>
      <c r="H480" s="38"/>
      <c r="I480" s="39"/>
      <c r="J480" s="39"/>
      <c r="K480" s="35"/>
      <c r="L480" s="107"/>
      <c r="M480" s="40"/>
      <c r="O480" s="107"/>
      <c r="P480" s="22"/>
      <c r="R480" s="81"/>
      <c r="S480" s="81"/>
      <c r="T480" s="81"/>
      <c r="U480" s="81"/>
      <c r="V480" s="107"/>
    </row>
    <row r="481" spans="4:22" s="12" customFormat="1" x14ac:dyDescent="0.2">
      <c r="D481" s="107"/>
      <c r="E481" s="35"/>
      <c r="F481" s="36"/>
      <c r="G481" s="37"/>
      <c r="H481" s="38"/>
      <c r="I481" s="39"/>
      <c r="J481" s="39"/>
      <c r="K481" s="35"/>
      <c r="L481" s="107"/>
      <c r="M481" s="40"/>
      <c r="O481" s="107"/>
      <c r="P481" s="22"/>
      <c r="R481" s="81"/>
      <c r="S481" s="81"/>
      <c r="T481" s="81"/>
      <c r="U481" s="81"/>
      <c r="V481" s="107"/>
    </row>
    <row r="482" spans="4:22" s="12" customFormat="1" x14ac:dyDescent="0.2">
      <c r="D482" s="107"/>
      <c r="E482" s="35"/>
      <c r="F482" s="36"/>
      <c r="G482" s="37"/>
      <c r="H482" s="38"/>
      <c r="I482" s="39"/>
      <c r="J482" s="39"/>
      <c r="K482" s="35"/>
      <c r="L482" s="107"/>
      <c r="M482" s="40"/>
      <c r="O482" s="107"/>
      <c r="P482" s="22"/>
      <c r="R482" s="81"/>
      <c r="S482" s="81"/>
      <c r="T482" s="81"/>
      <c r="U482" s="81"/>
      <c r="V482" s="107"/>
    </row>
    <row r="483" spans="4:22" s="12" customFormat="1" x14ac:dyDescent="0.2">
      <c r="D483" s="107"/>
      <c r="E483" s="35"/>
      <c r="F483" s="36"/>
      <c r="G483" s="37"/>
      <c r="H483" s="38"/>
      <c r="I483" s="39"/>
      <c r="J483" s="39"/>
      <c r="K483" s="35"/>
      <c r="L483" s="107"/>
      <c r="M483" s="40"/>
      <c r="O483" s="107"/>
      <c r="P483" s="22"/>
      <c r="R483" s="81"/>
      <c r="S483" s="81"/>
      <c r="T483" s="81"/>
      <c r="U483" s="81"/>
      <c r="V483" s="107"/>
    </row>
    <row r="484" spans="4:22" s="12" customFormat="1" x14ac:dyDescent="0.2">
      <c r="D484" s="107"/>
      <c r="E484" s="35"/>
      <c r="F484" s="36"/>
      <c r="G484" s="37"/>
      <c r="H484" s="38"/>
      <c r="I484" s="39"/>
      <c r="J484" s="39"/>
      <c r="K484" s="35"/>
      <c r="L484" s="107"/>
      <c r="M484" s="40"/>
      <c r="O484" s="107"/>
      <c r="P484" s="22"/>
      <c r="R484" s="81"/>
      <c r="S484" s="81"/>
      <c r="T484" s="81"/>
      <c r="U484" s="81"/>
      <c r="V484" s="107"/>
    </row>
    <row r="485" spans="4:22" s="12" customFormat="1" x14ac:dyDescent="0.2">
      <c r="D485" s="107"/>
      <c r="E485" s="35"/>
      <c r="F485" s="36"/>
      <c r="G485" s="37"/>
      <c r="H485" s="38"/>
      <c r="I485" s="39"/>
      <c r="J485" s="39"/>
      <c r="K485" s="35"/>
      <c r="L485" s="107"/>
      <c r="M485" s="40"/>
      <c r="O485" s="107"/>
      <c r="P485" s="22"/>
      <c r="R485" s="81"/>
      <c r="S485" s="81"/>
      <c r="T485" s="81"/>
      <c r="U485" s="81"/>
      <c r="V485" s="107"/>
    </row>
    <row r="486" spans="4:22" s="12" customFormat="1" x14ac:dyDescent="0.2">
      <c r="D486" s="107"/>
      <c r="E486" s="35"/>
      <c r="F486" s="36"/>
      <c r="G486" s="37"/>
      <c r="H486" s="38"/>
      <c r="I486" s="39"/>
      <c r="J486" s="39"/>
      <c r="K486" s="35"/>
      <c r="L486" s="107"/>
      <c r="M486" s="40"/>
      <c r="O486" s="107"/>
      <c r="P486" s="22"/>
      <c r="R486" s="81"/>
      <c r="S486" s="81"/>
      <c r="T486" s="81"/>
      <c r="U486" s="81"/>
      <c r="V486" s="107"/>
    </row>
    <row r="487" spans="4:22" s="12" customFormat="1" x14ac:dyDescent="0.2">
      <c r="D487" s="107"/>
      <c r="E487" s="35"/>
      <c r="F487" s="36"/>
      <c r="G487" s="37"/>
      <c r="H487" s="38"/>
      <c r="I487" s="39"/>
      <c r="J487" s="39"/>
      <c r="K487" s="35"/>
      <c r="L487" s="107"/>
      <c r="M487" s="40"/>
      <c r="O487" s="107"/>
      <c r="P487" s="22"/>
      <c r="R487" s="81"/>
      <c r="S487" s="81"/>
      <c r="T487" s="81"/>
      <c r="U487" s="81"/>
      <c r="V487" s="107"/>
    </row>
    <row r="488" spans="4:22" s="12" customFormat="1" x14ac:dyDescent="0.2">
      <c r="D488" s="107"/>
      <c r="E488" s="35"/>
      <c r="F488" s="36"/>
      <c r="G488" s="37"/>
      <c r="H488" s="38"/>
      <c r="I488" s="39"/>
      <c r="J488" s="39"/>
      <c r="K488" s="35"/>
      <c r="L488" s="107"/>
      <c r="M488" s="40"/>
      <c r="O488" s="107"/>
      <c r="P488" s="22"/>
      <c r="R488" s="81"/>
      <c r="S488" s="81"/>
      <c r="T488" s="81"/>
      <c r="U488" s="81"/>
      <c r="V488" s="107"/>
    </row>
    <row r="489" spans="4:22" s="12" customFormat="1" x14ac:dyDescent="0.2">
      <c r="D489" s="107"/>
      <c r="E489" s="35"/>
      <c r="F489" s="36"/>
      <c r="G489" s="37"/>
      <c r="H489" s="38"/>
      <c r="I489" s="39"/>
      <c r="J489" s="39"/>
      <c r="K489" s="35"/>
      <c r="L489" s="107"/>
      <c r="M489" s="40"/>
      <c r="O489" s="107"/>
      <c r="P489" s="22"/>
      <c r="R489" s="81"/>
      <c r="S489" s="81"/>
      <c r="T489" s="81"/>
      <c r="U489" s="81"/>
      <c r="V489" s="107"/>
    </row>
    <row r="490" spans="4:22" s="12" customFormat="1" x14ac:dyDescent="0.2">
      <c r="D490" s="107"/>
      <c r="E490" s="35"/>
      <c r="F490" s="36"/>
      <c r="G490" s="37"/>
      <c r="H490" s="38"/>
      <c r="I490" s="39"/>
      <c r="J490" s="39"/>
      <c r="K490" s="35"/>
      <c r="L490" s="107"/>
      <c r="M490" s="40"/>
      <c r="O490" s="107"/>
      <c r="P490" s="22"/>
      <c r="R490" s="81"/>
      <c r="S490" s="81"/>
      <c r="T490" s="81"/>
      <c r="U490" s="81"/>
      <c r="V490" s="107"/>
    </row>
    <row r="491" spans="4:22" s="12" customFormat="1" x14ac:dyDescent="0.2">
      <c r="D491" s="107"/>
      <c r="E491" s="35"/>
      <c r="F491" s="36"/>
      <c r="G491" s="37"/>
      <c r="H491" s="38"/>
      <c r="I491" s="39"/>
      <c r="J491" s="39"/>
      <c r="K491" s="35"/>
      <c r="L491" s="107"/>
      <c r="M491" s="40"/>
      <c r="O491" s="107"/>
      <c r="P491" s="22"/>
      <c r="R491" s="81"/>
      <c r="S491" s="81"/>
      <c r="T491" s="81"/>
      <c r="U491" s="81"/>
      <c r="V491" s="107"/>
    </row>
    <row r="492" spans="4:22" s="12" customFormat="1" x14ac:dyDescent="0.2">
      <c r="D492" s="107"/>
      <c r="E492" s="35"/>
      <c r="F492" s="36"/>
      <c r="G492" s="37"/>
      <c r="H492" s="38"/>
      <c r="I492" s="39"/>
      <c r="J492" s="39"/>
      <c r="K492" s="35"/>
      <c r="L492" s="107"/>
      <c r="M492" s="40"/>
      <c r="O492" s="107"/>
      <c r="P492" s="22"/>
      <c r="R492" s="81"/>
      <c r="S492" s="81"/>
      <c r="T492" s="81"/>
      <c r="U492" s="81"/>
      <c r="V492" s="107"/>
    </row>
    <row r="493" spans="4:22" s="12" customFormat="1" x14ac:dyDescent="0.2">
      <c r="D493" s="107"/>
      <c r="E493" s="35"/>
      <c r="F493" s="36"/>
      <c r="G493" s="37"/>
      <c r="H493" s="38"/>
      <c r="I493" s="39"/>
      <c r="J493" s="39"/>
      <c r="K493" s="35"/>
      <c r="L493" s="107"/>
      <c r="M493" s="40"/>
      <c r="O493" s="107"/>
      <c r="P493" s="22"/>
      <c r="R493" s="81"/>
      <c r="S493" s="81"/>
      <c r="T493" s="81"/>
      <c r="U493" s="81"/>
      <c r="V493" s="107"/>
    </row>
    <row r="494" spans="4:22" s="12" customFormat="1" x14ac:dyDescent="0.2">
      <c r="D494" s="107"/>
      <c r="E494" s="35"/>
      <c r="F494" s="36"/>
      <c r="G494" s="37"/>
      <c r="H494" s="38"/>
      <c r="I494" s="39"/>
      <c r="J494" s="39"/>
      <c r="K494" s="35"/>
      <c r="L494" s="107"/>
      <c r="M494" s="40"/>
      <c r="O494" s="107"/>
      <c r="P494" s="22"/>
      <c r="R494" s="81"/>
      <c r="S494" s="81"/>
      <c r="T494" s="81"/>
      <c r="U494" s="81"/>
      <c r="V494" s="107"/>
    </row>
    <row r="495" spans="4:22" s="12" customFormat="1" x14ac:dyDescent="0.2">
      <c r="D495" s="107"/>
      <c r="E495" s="35"/>
      <c r="F495" s="36"/>
      <c r="G495" s="37"/>
      <c r="H495" s="38"/>
      <c r="I495" s="39"/>
      <c r="J495" s="39"/>
      <c r="K495" s="35"/>
      <c r="L495" s="107"/>
      <c r="M495" s="40"/>
      <c r="O495" s="107"/>
      <c r="P495" s="22"/>
      <c r="R495" s="81"/>
      <c r="S495" s="81"/>
      <c r="T495" s="81"/>
      <c r="U495" s="81"/>
      <c r="V495" s="107"/>
    </row>
    <row r="496" spans="4:22" s="12" customFormat="1" x14ac:dyDescent="0.2">
      <c r="D496" s="107"/>
      <c r="E496" s="35"/>
      <c r="F496" s="36"/>
      <c r="G496" s="37"/>
      <c r="H496" s="38"/>
      <c r="I496" s="39"/>
      <c r="J496" s="39"/>
      <c r="K496" s="35"/>
      <c r="L496" s="107"/>
      <c r="M496" s="40"/>
      <c r="O496" s="107"/>
      <c r="P496" s="22"/>
      <c r="R496" s="81"/>
      <c r="S496" s="81"/>
      <c r="T496" s="81"/>
      <c r="U496" s="81"/>
      <c r="V496" s="107"/>
    </row>
    <row r="497" spans="4:22" s="12" customFormat="1" x14ac:dyDescent="0.2">
      <c r="D497" s="107"/>
      <c r="E497" s="35"/>
      <c r="F497" s="36"/>
      <c r="G497" s="37"/>
      <c r="H497" s="38"/>
      <c r="I497" s="39"/>
      <c r="J497" s="39"/>
      <c r="K497" s="35"/>
      <c r="L497" s="107"/>
      <c r="M497" s="40"/>
      <c r="O497" s="107"/>
      <c r="P497" s="22"/>
      <c r="R497" s="81"/>
      <c r="S497" s="81"/>
      <c r="T497" s="81"/>
      <c r="U497" s="81"/>
      <c r="V497" s="107"/>
    </row>
    <row r="498" spans="4:22" s="12" customFormat="1" x14ac:dyDescent="0.2">
      <c r="D498" s="107"/>
      <c r="E498" s="35"/>
      <c r="F498" s="36"/>
      <c r="G498" s="37"/>
      <c r="H498" s="38"/>
      <c r="I498" s="39"/>
      <c r="J498" s="39"/>
      <c r="K498" s="35"/>
      <c r="L498" s="107"/>
      <c r="M498" s="40"/>
      <c r="O498" s="107"/>
      <c r="P498" s="22"/>
      <c r="R498" s="81"/>
      <c r="S498" s="81"/>
      <c r="T498" s="81"/>
      <c r="U498" s="81"/>
      <c r="V498" s="107"/>
    </row>
    <row r="499" spans="4:22" s="12" customFormat="1" x14ac:dyDescent="0.2">
      <c r="D499" s="107"/>
      <c r="E499" s="35"/>
      <c r="F499" s="36"/>
      <c r="G499" s="37"/>
      <c r="H499" s="38"/>
      <c r="I499" s="39"/>
      <c r="J499" s="39"/>
      <c r="K499" s="35"/>
      <c r="L499" s="107"/>
      <c r="M499" s="40"/>
      <c r="O499" s="107"/>
      <c r="P499" s="22"/>
      <c r="R499" s="81"/>
      <c r="S499" s="81"/>
      <c r="T499" s="81"/>
      <c r="U499" s="81"/>
      <c r="V499" s="107"/>
    </row>
    <row r="500" spans="4:22" s="12" customFormat="1" x14ac:dyDescent="0.2">
      <c r="D500" s="107"/>
      <c r="E500" s="35"/>
      <c r="F500" s="36"/>
      <c r="G500" s="37"/>
      <c r="H500" s="38"/>
      <c r="I500" s="39"/>
      <c r="J500" s="39"/>
      <c r="K500" s="35"/>
      <c r="L500" s="107"/>
      <c r="M500" s="40"/>
      <c r="O500" s="107"/>
      <c r="P500" s="22"/>
      <c r="R500" s="81"/>
      <c r="S500" s="81"/>
      <c r="T500" s="81"/>
      <c r="U500" s="81"/>
      <c r="V500" s="107"/>
    </row>
  </sheetData>
  <mergeCells count="70">
    <mergeCell ref="A2:B2"/>
    <mergeCell ref="A1:B1"/>
    <mergeCell ref="A52:C52"/>
    <mergeCell ref="A3:C3"/>
    <mergeCell ref="A21:C21"/>
    <mergeCell ref="A45:C45"/>
    <mergeCell ref="A46:C46"/>
    <mergeCell ref="A38:C38"/>
    <mergeCell ref="A47:C47"/>
    <mergeCell ref="A48:C48"/>
    <mergeCell ref="A49:C49"/>
    <mergeCell ref="A50:C50"/>
    <mergeCell ref="A51:C51"/>
    <mergeCell ref="A4:C4"/>
    <mergeCell ref="A32:C32"/>
    <mergeCell ref="A33:C33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99:C99"/>
    <mergeCell ref="A100:C100"/>
    <mergeCell ref="A101:C101"/>
    <mergeCell ref="A102:C102"/>
    <mergeCell ref="A103:C103"/>
    <mergeCell ref="A104:C104"/>
    <mergeCell ref="R16:T16"/>
    <mergeCell ref="R17:T17"/>
    <mergeCell ref="R2:T2"/>
    <mergeCell ref="R3:T3"/>
    <mergeCell ref="R4:T4"/>
    <mergeCell ref="R5:T5"/>
    <mergeCell ref="R11:T11"/>
    <mergeCell ref="R12:T12"/>
    <mergeCell ref="R13:T13"/>
    <mergeCell ref="R14:T14"/>
    <mergeCell ref="R15:T15"/>
    <mergeCell ref="R6:T6"/>
    <mergeCell ref="R1:T1"/>
    <mergeCell ref="R10:T10"/>
    <mergeCell ref="R9:T9"/>
    <mergeCell ref="R8:T8"/>
    <mergeCell ref="R7:T7"/>
    <mergeCell ref="A40:C40"/>
    <mergeCell ref="A41:C41"/>
    <mergeCell ref="A42:C42"/>
    <mergeCell ref="A34:C34"/>
    <mergeCell ref="A35:C35"/>
    <mergeCell ref="A36:C36"/>
    <mergeCell ref="A37:C37"/>
    <mergeCell ref="A39:C39"/>
    <mergeCell ref="A10:C10"/>
    <mergeCell ref="A5:C5"/>
    <mergeCell ref="A6:C6"/>
    <mergeCell ref="A7:C7"/>
    <mergeCell ref="A8:C8"/>
    <mergeCell ref="A9:C9"/>
    <mergeCell ref="A15:C15"/>
    <mergeCell ref="A16:C16"/>
    <mergeCell ref="A17:C17"/>
    <mergeCell ref="A18:C18"/>
    <mergeCell ref="A11:C11"/>
    <mergeCell ref="A12:C12"/>
    <mergeCell ref="A13:C13"/>
    <mergeCell ref="A14:C14"/>
  </mergeCells>
  <phoneticPr fontId="1" type="noConversion"/>
  <conditionalFormatting sqref="L2:L89">
    <cfRule type="cellIs" dxfId="66" priority="1" operator="equal">
      <formula>"EARLY"</formula>
    </cfRule>
    <cfRule type="cellIs" dxfId="65" priority="2" operator="equal">
      <formula>"LATE"</formula>
    </cfRule>
    <cfRule type="expression" dxfId="64" priority="3">
      <formula>K2="Paid"</formula>
    </cfRule>
    <cfRule type="expression" dxfId="63" priority="4">
      <formula>K2="Check!"</formula>
    </cfRule>
    <cfRule type="expression" dxfId="62" priority="5">
      <formula>K2="Waiting"</formula>
    </cfRule>
  </conditionalFormatting>
  <conditionalFormatting sqref="L72">
    <cfRule type="cellIs" dxfId="61" priority="8" operator="equal">
      <formula>"DEF"</formula>
    </cfRule>
  </conditionalFormatting>
  <conditionalFormatting sqref="L73:L300 L2:L71">
    <cfRule type="cellIs" dxfId="60" priority="20" operator="equal">
      <formula>"DEF"</formula>
    </cfRule>
  </conditionalFormatting>
  <conditionalFormatting sqref="L89">
    <cfRule type="cellIs" dxfId="59" priority="6" operator="equal">
      <formula>"DEF"</formula>
    </cfRule>
  </conditionalFormatting>
  <conditionalFormatting sqref="L90:L300">
    <cfRule type="cellIs" dxfId="58" priority="19" operator="equal">
      <formula>"EARLY"</formula>
    </cfRule>
    <cfRule type="cellIs" dxfId="57" priority="21" operator="equal">
      <formula>"LATE"</formula>
    </cfRule>
    <cfRule type="expression" dxfId="56" priority="45">
      <formula>K90="Paid"</formula>
    </cfRule>
    <cfRule type="expression" dxfId="55" priority="46">
      <formula>K90="Check!"</formula>
    </cfRule>
    <cfRule type="expression" dxfId="54" priority="47">
      <formula>K90="Waiting"</formula>
    </cfRule>
  </conditionalFormatting>
  <pageMargins left="0.7" right="0.7" top="0.75" bottom="0.75" header="0.3" footer="0.3"/>
  <pageSetup paperSize="9" orientation="portrait" r:id="rId1"/>
  <ignoredErrors>
    <ignoredError sqref="J5 J2:J4 J19:J34 J6:J18" formulaRange="1"/>
  </ignoredErrors>
  <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6423-4D68-42A4-AE52-A9B02BCDC3DA}">
  <sheetPr>
    <tabColor theme="1" tint="4.9989318521683403E-2"/>
  </sheetPr>
  <dimension ref="A1:V500"/>
  <sheetViews>
    <sheetView topLeftCell="H1" zoomScale="140" zoomScaleNormal="140" workbookViewId="0">
      <selection activeCell="E10" sqref="E10:L10"/>
    </sheetView>
  </sheetViews>
  <sheetFormatPr defaultColWidth="8.7421875" defaultRowHeight="15" x14ac:dyDescent="0.2"/>
  <cols>
    <col min="1" max="3" width="15.6015625" style="41" customWidth="1"/>
    <col min="4" max="4" width="2.6875" style="42" customWidth="1"/>
    <col min="5" max="5" width="5.6484375" style="7" customWidth="1"/>
    <col min="6" max="6" width="12.64453125" style="43" customWidth="1"/>
    <col min="7" max="7" width="12.64453125" style="44" customWidth="1"/>
    <col min="8" max="8" width="15.6015625" style="45" customWidth="1"/>
    <col min="9" max="10" width="15.6015625" style="46" customWidth="1"/>
    <col min="11" max="11" width="7.6640625" style="7" customWidth="1"/>
    <col min="12" max="12" width="5.6484375" style="42" customWidth="1"/>
    <col min="13" max="13" width="15.6015625" style="47" customWidth="1"/>
    <col min="14" max="14" width="10.35546875" style="41" customWidth="1"/>
    <col min="15" max="15" width="2.6875" style="42" customWidth="1"/>
    <col min="16" max="16" width="10.35546875" style="48" customWidth="1"/>
    <col min="17" max="17" width="10.35546875" style="26" customWidth="1"/>
    <col min="18" max="20" width="11.8359375" style="42" customWidth="1"/>
    <col min="21" max="22" width="8.47265625" style="42" customWidth="1"/>
    <col min="23" max="24" width="8.47265625" style="41" customWidth="1"/>
    <col min="25" max="16384" width="8.7421875" style="41"/>
  </cols>
  <sheetData>
    <row r="1" spans="1:22" s="12" customFormat="1" ht="23.1" customHeight="1" x14ac:dyDescent="0.2">
      <c r="A1" s="233" t="s">
        <v>17</v>
      </c>
      <c r="B1" s="233"/>
      <c r="C1" s="178" t="s">
        <v>18</v>
      </c>
      <c r="D1" s="99"/>
      <c r="E1" s="178" t="s">
        <v>19</v>
      </c>
      <c r="F1" s="175" t="s">
        <v>20</v>
      </c>
      <c r="G1" s="145" t="s">
        <v>21</v>
      </c>
      <c r="H1" s="146" t="s">
        <v>22</v>
      </c>
      <c r="I1" s="136" t="s">
        <v>23</v>
      </c>
      <c r="J1" s="136" t="s">
        <v>24</v>
      </c>
      <c r="K1" s="136" t="s">
        <v>25</v>
      </c>
      <c r="L1" s="136" t="s">
        <v>26</v>
      </c>
      <c r="M1" s="147" t="s">
        <v>110</v>
      </c>
      <c r="N1" s="136" t="s">
        <v>111</v>
      </c>
      <c r="O1" s="89"/>
      <c r="P1" s="148" t="s">
        <v>28</v>
      </c>
      <c r="Q1" s="138" t="s">
        <v>29</v>
      </c>
      <c r="R1" s="226" t="s">
        <v>112</v>
      </c>
      <c r="S1" s="226"/>
      <c r="T1" s="226"/>
      <c r="U1" s="107"/>
      <c r="V1" s="107"/>
    </row>
    <row r="2" spans="1:22" s="12" customFormat="1" ht="19.149999999999999" customHeight="1" x14ac:dyDescent="0.2">
      <c r="A2" s="232">
        <f>SUMIFS(J2:J300,F2:F300,"&lt;&gt;")+B19+A19+C2</f>
        <v>71925.5</v>
      </c>
      <c r="B2" s="232"/>
      <c r="C2" s="176">
        <v>0</v>
      </c>
      <c r="D2" s="107"/>
      <c r="E2" s="14">
        <v>9</v>
      </c>
      <c r="F2" s="24">
        <v>45716</v>
      </c>
      <c r="G2" s="25"/>
      <c r="H2" s="17">
        <v>5000</v>
      </c>
      <c r="I2" s="18">
        <v>585</v>
      </c>
      <c r="J2" s="19">
        <f t="shared" ref="J2:J7" si="0">SUM(H2:I2)</f>
        <v>5585</v>
      </c>
      <c r="K2" s="14" t="str">
        <f ca="1">IF(F2&lt;=TODAY(),"Check!","Waiting")</f>
        <v>Check!</v>
      </c>
      <c r="L2" s="164" t="s">
        <v>225</v>
      </c>
      <c r="M2" s="20" t="s">
        <v>226</v>
      </c>
      <c r="N2" s="21">
        <v>15.6</v>
      </c>
      <c r="O2" s="107"/>
      <c r="P2" s="22">
        <v>45778</v>
      </c>
      <c r="Q2" s="105">
        <f t="shared" ref="Q2:Q65" si="1">SUMIFS(J$2:J$1000, F$2:F$1000, "&gt;=" &amp; DATE(YEAR(P2), MONTH(P2), 1), F$2:F$1000, "&lt;=" &amp; EOMONTH(P2, 0))</f>
        <v>0</v>
      </c>
      <c r="R2" s="222"/>
      <c r="S2" s="222"/>
      <c r="T2" s="222"/>
      <c r="U2" s="107"/>
      <c r="V2" s="107"/>
    </row>
    <row r="3" spans="1:22" s="12" customFormat="1" ht="19.149999999999999" customHeight="1" thickBot="1" x14ac:dyDescent="0.25">
      <c r="A3" s="234"/>
      <c r="B3" s="234"/>
      <c r="C3" s="234"/>
      <c r="D3" s="107"/>
      <c r="E3" s="14">
        <v>30</v>
      </c>
      <c r="F3" s="24">
        <v>46374</v>
      </c>
      <c r="G3" s="25"/>
      <c r="H3" s="17">
        <v>5000</v>
      </c>
      <c r="I3" s="18">
        <v>2297.5</v>
      </c>
      <c r="J3" s="19">
        <f t="shared" si="0"/>
        <v>7297.5</v>
      </c>
      <c r="K3" s="14" t="str">
        <f ca="1">IF(F3&lt;=TODAY(),"Check!","Waiting")</f>
        <v>Waiting</v>
      </c>
      <c r="L3" s="100"/>
      <c r="M3" s="20" t="s">
        <v>227</v>
      </c>
      <c r="N3" s="21">
        <v>18.38</v>
      </c>
      <c r="O3" s="107"/>
      <c r="P3" s="22">
        <v>45809</v>
      </c>
      <c r="Q3" s="105">
        <f t="shared" si="1"/>
        <v>0</v>
      </c>
      <c r="R3" s="225" t="s">
        <v>115</v>
      </c>
      <c r="S3" s="225"/>
      <c r="T3" s="225"/>
      <c r="U3" s="107"/>
      <c r="V3" s="107"/>
    </row>
    <row r="4" spans="1:22" s="12" customFormat="1" ht="19.149999999999999" customHeight="1" x14ac:dyDescent="0.2">
      <c r="A4" s="230" t="s">
        <v>116</v>
      </c>
      <c r="B4" s="230"/>
      <c r="C4" s="230"/>
      <c r="D4" s="107"/>
      <c r="E4" s="14">
        <v>9</v>
      </c>
      <c r="F4" s="24"/>
      <c r="G4" s="25">
        <v>45763</v>
      </c>
      <c r="H4" s="17">
        <v>5000</v>
      </c>
      <c r="I4" s="18">
        <v>622.5</v>
      </c>
      <c r="J4" s="19">
        <f t="shared" si="0"/>
        <v>5622.5</v>
      </c>
      <c r="K4" s="14" t="s">
        <v>31</v>
      </c>
      <c r="L4" s="100"/>
      <c r="M4" s="20" t="s">
        <v>228</v>
      </c>
      <c r="N4" s="21">
        <v>16.600000000000001</v>
      </c>
      <c r="O4" s="107"/>
      <c r="P4" s="22">
        <v>45839</v>
      </c>
      <c r="Q4" s="105">
        <f t="shared" si="1"/>
        <v>0</v>
      </c>
      <c r="R4" s="222" t="s">
        <v>118</v>
      </c>
      <c r="S4" s="222"/>
      <c r="T4" s="222"/>
      <c r="U4" s="107"/>
      <c r="V4" s="107"/>
    </row>
    <row r="5" spans="1:22" s="12" customFormat="1" ht="19.149999999999999" customHeight="1" x14ac:dyDescent="0.2">
      <c r="A5" s="216"/>
      <c r="B5" s="217"/>
      <c r="C5" s="217"/>
      <c r="D5" s="107"/>
      <c r="E5" s="14">
        <v>6</v>
      </c>
      <c r="F5" s="24"/>
      <c r="G5" s="25">
        <v>45678</v>
      </c>
      <c r="H5" s="17">
        <v>5000</v>
      </c>
      <c r="I5" s="18">
        <v>401.5</v>
      </c>
      <c r="J5" s="19">
        <f t="shared" si="0"/>
        <v>5401.5</v>
      </c>
      <c r="K5" s="14" t="s">
        <v>31</v>
      </c>
      <c r="L5" s="100"/>
      <c r="M5" s="20" t="s">
        <v>229</v>
      </c>
      <c r="N5" s="21">
        <v>16.059999999999999</v>
      </c>
      <c r="O5" s="107"/>
      <c r="P5" s="22">
        <v>45870</v>
      </c>
      <c r="Q5" s="105">
        <f t="shared" si="1"/>
        <v>0</v>
      </c>
      <c r="R5" s="222" t="s">
        <v>120</v>
      </c>
      <c r="S5" s="222"/>
      <c r="T5" s="222"/>
      <c r="U5" s="107"/>
      <c r="V5" s="107"/>
    </row>
    <row r="6" spans="1:22" s="12" customFormat="1" ht="19.149999999999999" customHeight="1" x14ac:dyDescent="0.2">
      <c r="A6" s="214"/>
      <c r="B6" s="215"/>
      <c r="C6" s="215"/>
      <c r="D6" s="107"/>
      <c r="E6" s="14">
        <v>15</v>
      </c>
      <c r="F6" s="24">
        <v>46093</v>
      </c>
      <c r="G6" s="25"/>
      <c r="H6" s="17">
        <v>5000</v>
      </c>
      <c r="I6" s="18">
        <v>937.5</v>
      </c>
      <c r="J6" s="19">
        <f t="shared" si="0"/>
        <v>5937.5</v>
      </c>
      <c r="K6" s="14" t="str">
        <f ca="1">IF(F6&lt;=TODAY(),"Check!","Waiting")</f>
        <v>Waiting</v>
      </c>
      <c r="L6" s="100"/>
      <c r="M6" s="20" t="s">
        <v>230</v>
      </c>
      <c r="N6" s="21">
        <v>15</v>
      </c>
      <c r="O6" s="107"/>
      <c r="P6" s="22">
        <v>45901</v>
      </c>
      <c r="Q6" s="105">
        <f t="shared" si="1"/>
        <v>0</v>
      </c>
      <c r="R6" s="222" t="s">
        <v>123</v>
      </c>
      <c r="S6" s="222"/>
      <c r="T6" s="222"/>
      <c r="U6" s="107"/>
      <c r="V6" s="107"/>
    </row>
    <row r="7" spans="1:22" s="12" customFormat="1" ht="19.149999999999999" customHeight="1" x14ac:dyDescent="0.2">
      <c r="A7" s="214"/>
      <c r="B7" s="215" t="s">
        <v>231</v>
      </c>
      <c r="C7" s="215"/>
      <c r="D7" s="107"/>
      <c r="E7" s="14">
        <v>18</v>
      </c>
      <c r="F7" s="24">
        <v>46198</v>
      </c>
      <c r="G7" s="25"/>
      <c r="H7" s="17">
        <v>5000</v>
      </c>
      <c r="I7" s="18">
        <v>1183.5</v>
      </c>
      <c r="J7" s="19">
        <f t="shared" si="0"/>
        <v>6183.5</v>
      </c>
      <c r="K7" s="14" t="str">
        <f ca="1">IF(F7&lt;=TODAY(),"Check!","Waiting")</f>
        <v>Waiting</v>
      </c>
      <c r="L7" s="100"/>
      <c r="M7" s="20" t="s">
        <v>232</v>
      </c>
      <c r="N7" s="21">
        <v>15.78</v>
      </c>
      <c r="O7" s="107"/>
      <c r="P7" s="22">
        <v>45931</v>
      </c>
      <c r="Q7" s="105">
        <f t="shared" si="1"/>
        <v>0</v>
      </c>
      <c r="R7" s="222" t="s">
        <v>125</v>
      </c>
      <c r="S7" s="222"/>
      <c r="T7" s="222"/>
      <c r="U7" s="107"/>
      <c r="V7" s="107"/>
    </row>
    <row r="8" spans="1:22" s="12" customFormat="1" ht="19.149999999999999" customHeight="1" x14ac:dyDescent="0.2">
      <c r="A8" s="216"/>
      <c r="B8" s="217" t="s">
        <v>233</v>
      </c>
      <c r="C8" s="217"/>
      <c r="D8" s="107"/>
      <c r="E8" s="14">
        <v>21</v>
      </c>
      <c r="F8" s="24">
        <v>46541</v>
      </c>
      <c r="G8" s="25"/>
      <c r="H8" s="17">
        <v>10000</v>
      </c>
      <c r="I8" s="18">
        <v>287</v>
      </c>
      <c r="J8" s="19">
        <f>SUM(H8:I8)</f>
        <v>10287</v>
      </c>
      <c r="K8" s="14" t="str">
        <f ca="1">IF(F8&lt;=TODAY(),"Check!","Waiting")</f>
        <v>Waiting</v>
      </c>
      <c r="L8" s="100"/>
      <c r="M8" s="20" t="s">
        <v>234</v>
      </c>
      <c r="N8" s="21">
        <v>16.399999999999999</v>
      </c>
      <c r="O8" s="107"/>
      <c r="P8" s="22">
        <v>45962</v>
      </c>
      <c r="Q8" s="105">
        <f t="shared" si="1"/>
        <v>0</v>
      </c>
      <c r="R8" s="223"/>
      <c r="S8" s="223"/>
      <c r="T8" s="223"/>
      <c r="U8" s="107"/>
      <c r="V8" s="107"/>
    </row>
    <row r="9" spans="1:22" s="12" customFormat="1" ht="19.149999999999999" customHeight="1" x14ac:dyDescent="0.2">
      <c r="A9" s="218" t="s">
        <v>214</v>
      </c>
      <c r="B9" s="219"/>
      <c r="C9" s="219"/>
      <c r="D9" s="107"/>
      <c r="E9" s="14">
        <v>18</v>
      </c>
      <c r="F9" s="24">
        <v>46513</v>
      </c>
      <c r="G9" s="25"/>
      <c r="H9" s="17">
        <v>10000</v>
      </c>
      <c r="I9" s="18">
        <v>2415</v>
      </c>
      <c r="J9" s="19">
        <f>SUM(H9:I9)</f>
        <v>12415</v>
      </c>
      <c r="K9" s="14" t="str">
        <f ca="1">IF(F9&lt;=TODAY(),"Check!","Waiting")</f>
        <v>Waiting</v>
      </c>
      <c r="L9" s="100"/>
      <c r="M9" s="20" t="s">
        <v>235</v>
      </c>
      <c r="N9" s="21">
        <v>16.100000000000001</v>
      </c>
      <c r="O9" s="107"/>
      <c r="P9" s="22">
        <v>45992</v>
      </c>
      <c r="Q9" s="105">
        <f t="shared" si="1"/>
        <v>0</v>
      </c>
      <c r="R9" s="224"/>
      <c r="S9" s="224"/>
      <c r="T9" s="224"/>
      <c r="U9" s="107"/>
      <c r="V9" s="107"/>
    </row>
    <row r="10" spans="1:22" s="12" customFormat="1" ht="19.149999999999999" customHeight="1" x14ac:dyDescent="0.2">
      <c r="A10" s="216" t="s">
        <v>134</v>
      </c>
      <c r="B10" s="217"/>
      <c r="C10" s="217"/>
      <c r="D10" s="107"/>
      <c r="E10" s="14">
        <v>15</v>
      </c>
      <c r="F10" s="24">
        <v>46429</v>
      </c>
      <c r="G10" s="25"/>
      <c r="H10" s="17">
        <v>20000</v>
      </c>
      <c r="I10" s="18">
        <v>4220</v>
      </c>
      <c r="J10" s="19">
        <f>SUM(H10:I10)</f>
        <v>24220</v>
      </c>
      <c r="K10" s="14" t="str">
        <f ca="1">IF(F10&lt;=TODAY(),"Check!","Waiting")</f>
        <v>Waiting</v>
      </c>
      <c r="L10" s="100"/>
      <c r="M10" s="20" t="s">
        <v>236</v>
      </c>
      <c r="N10" s="21">
        <v>16.88</v>
      </c>
      <c r="O10" s="107"/>
      <c r="P10" s="22">
        <v>46023</v>
      </c>
      <c r="Q10" s="105">
        <f t="shared" si="1"/>
        <v>0</v>
      </c>
      <c r="R10" s="225" t="s">
        <v>130</v>
      </c>
      <c r="S10" s="225"/>
      <c r="T10" s="225"/>
      <c r="U10" s="107"/>
      <c r="V10" s="107"/>
    </row>
    <row r="11" spans="1:22" s="12" customFormat="1" ht="19.149999999999999" customHeight="1" x14ac:dyDescent="0.2">
      <c r="A11" s="218"/>
      <c r="B11" s="219" t="s">
        <v>237</v>
      </c>
      <c r="C11" s="219"/>
      <c r="D11" s="107"/>
      <c r="E11" s="14"/>
      <c r="F11" s="24"/>
      <c r="G11" s="25"/>
      <c r="H11" s="17"/>
      <c r="I11" s="18"/>
      <c r="J11" s="19"/>
      <c r="K11" s="14"/>
      <c r="L11" s="100"/>
      <c r="M11" s="20"/>
      <c r="N11" s="21"/>
      <c r="O11" s="107"/>
      <c r="P11" s="22">
        <v>46054</v>
      </c>
      <c r="Q11" s="105">
        <f t="shared" si="1"/>
        <v>0</v>
      </c>
      <c r="R11" s="222" t="s">
        <v>133</v>
      </c>
      <c r="S11" s="222"/>
      <c r="T11" s="222"/>
      <c r="U11" s="107"/>
      <c r="V11" s="107"/>
    </row>
    <row r="12" spans="1:22" s="12" customFormat="1" ht="19.149999999999999" customHeight="1" x14ac:dyDescent="0.2">
      <c r="A12" s="216"/>
      <c r="B12" s="217"/>
      <c r="C12" s="217"/>
      <c r="D12" s="107"/>
      <c r="E12" s="14"/>
      <c r="F12" s="24"/>
      <c r="G12" s="25"/>
      <c r="H12" s="17"/>
      <c r="I12" s="18"/>
      <c r="J12" s="19"/>
      <c r="K12" s="14"/>
      <c r="L12" s="100"/>
      <c r="M12" s="20"/>
      <c r="N12" s="21"/>
      <c r="O12" s="107"/>
      <c r="P12" s="22">
        <v>46082</v>
      </c>
      <c r="Q12" s="105">
        <f t="shared" si="1"/>
        <v>5937.5</v>
      </c>
      <c r="R12" s="222" t="s">
        <v>136</v>
      </c>
      <c r="S12" s="222"/>
      <c r="T12" s="222"/>
      <c r="U12" s="107"/>
      <c r="V12" s="107"/>
    </row>
    <row r="13" spans="1:22" s="12" customFormat="1" ht="19.149999999999999" customHeight="1" x14ac:dyDescent="0.2">
      <c r="A13" s="218" t="s">
        <v>128</v>
      </c>
      <c r="B13" s="219"/>
      <c r="C13" s="219"/>
      <c r="D13" s="107"/>
      <c r="E13" s="14"/>
      <c r="F13" s="24"/>
      <c r="G13" s="25"/>
      <c r="H13" s="17"/>
      <c r="I13" s="18"/>
      <c r="J13" s="19"/>
      <c r="K13" s="14"/>
      <c r="L13" s="100"/>
      <c r="M13" s="20"/>
      <c r="N13" s="21"/>
      <c r="O13" s="107"/>
      <c r="P13" s="22">
        <v>46113</v>
      </c>
      <c r="Q13" s="105">
        <f t="shared" si="1"/>
        <v>0</v>
      </c>
      <c r="R13" s="222" t="s">
        <v>138</v>
      </c>
      <c r="S13" s="222"/>
      <c r="T13" s="222"/>
      <c r="U13" s="107"/>
      <c r="V13" s="107"/>
    </row>
    <row r="14" spans="1:22" s="12" customFormat="1" ht="19.149999999999999" customHeight="1" x14ac:dyDescent="0.2">
      <c r="A14" s="216" t="s">
        <v>238</v>
      </c>
      <c r="B14" s="217"/>
      <c r="C14" s="217"/>
      <c r="D14" s="107"/>
      <c r="E14" s="14"/>
      <c r="F14" s="24"/>
      <c r="G14" s="25"/>
      <c r="H14" s="17"/>
      <c r="I14" s="18"/>
      <c r="J14" s="19"/>
      <c r="K14" s="14"/>
      <c r="L14" s="100"/>
      <c r="M14" s="20"/>
      <c r="N14" s="21"/>
      <c r="O14" s="107"/>
      <c r="P14" s="22">
        <v>46143</v>
      </c>
      <c r="Q14" s="105">
        <f t="shared" si="1"/>
        <v>0</v>
      </c>
      <c r="R14" s="222" t="s">
        <v>140</v>
      </c>
      <c r="S14" s="222"/>
      <c r="T14" s="222"/>
      <c r="U14" s="107"/>
      <c r="V14" s="107"/>
    </row>
    <row r="15" spans="1:22" s="12" customFormat="1" ht="19.149999999999999" customHeight="1" x14ac:dyDescent="0.2">
      <c r="A15" s="216"/>
      <c r="B15" s="217"/>
      <c r="C15" s="217"/>
      <c r="D15" s="107"/>
      <c r="E15" s="14"/>
      <c r="F15" s="24"/>
      <c r="G15" s="25"/>
      <c r="H15" s="17"/>
      <c r="I15" s="18"/>
      <c r="J15" s="19"/>
      <c r="K15" s="14"/>
      <c r="L15" s="100"/>
      <c r="M15" s="20"/>
      <c r="N15" s="21"/>
      <c r="O15" s="107"/>
      <c r="P15" s="22">
        <v>46174</v>
      </c>
      <c r="Q15" s="105">
        <f t="shared" si="1"/>
        <v>6183.5</v>
      </c>
      <c r="R15" s="222" t="s">
        <v>142</v>
      </c>
      <c r="S15" s="222"/>
      <c r="T15" s="222"/>
      <c r="U15" s="107"/>
      <c r="V15" s="107"/>
    </row>
    <row r="16" spans="1:22" s="12" customFormat="1" ht="19.149999999999999" customHeight="1" x14ac:dyDescent="0.2">
      <c r="A16" s="216"/>
      <c r="B16" s="217"/>
      <c r="C16" s="217"/>
      <c r="D16" s="107"/>
      <c r="E16" s="14"/>
      <c r="F16" s="24"/>
      <c r="G16" s="25"/>
      <c r="H16" s="17"/>
      <c r="I16" s="18"/>
      <c r="J16" s="19"/>
      <c r="K16" s="14"/>
      <c r="L16" s="100"/>
      <c r="M16" s="20"/>
      <c r="N16" s="21"/>
      <c r="O16" s="107"/>
      <c r="P16" s="22">
        <v>46204</v>
      </c>
      <c r="Q16" s="105">
        <f t="shared" si="1"/>
        <v>0</v>
      </c>
      <c r="R16" s="222" t="s">
        <v>144</v>
      </c>
      <c r="S16" s="222"/>
      <c r="T16" s="222"/>
      <c r="U16" s="107"/>
      <c r="V16" s="107"/>
    </row>
    <row r="17" spans="1:22" s="12" customFormat="1" ht="19.149999999999999" customHeight="1" x14ac:dyDescent="0.2">
      <c r="A17" s="214"/>
      <c r="B17" s="215"/>
      <c r="C17" s="215"/>
      <c r="D17" s="107"/>
      <c r="E17" s="14"/>
      <c r="F17" s="24"/>
      <c r="G17" s="25"/>
      <c r="H17" s="17"/>
      <c r="I17" s="18"/>
      <c r="J17" s="19"/>
      <c r="K17" s="14"/>
      <c r="L17" s="100"/>
      <c r="M17" s="20"/>
      <c r="N17" s="21"/>
      <c r="O17" s="107"/>
      <c r="P17" s="22">
        <v>46235</v>
      </c>
      <c r="Q17" s="105">
        <f t="shared" si="1"/>
        <v>0</v>
      </c>
      <c r="R17" s="223"/>
      <c r="S17" s="223"/>
      <c r="T17" s="223"/>
      <c r="U17" s="107"/>
      <c r="V17" s="107"/>
    </row>
    <row r="18" spans="1:22" s="12" customFormat="1" ht="19.149999999999999" customHeight="1" x14ac:dyDescent="0.2">
      <c r="A18" s="214"/>
      <c r="B18" s="215"/>
      <c r="C18" s="215"/>
      <c r="D18" s="107"/>
      <c r="E18" s="14"/>
      <c r="F18" s="24"/>
      <c r="G18" s="25"/>
      <c r="H18" s="17"/>
      <c r="I18" s="18"/>
      <c r="J18" s="19"/>
      <c r="K18" s="14"/>
      <c r="L18" s="100"/>
      <c r="M18" s="20"/>
      <c r="N18" s="21"/>
      <c r="O18" s="107"/>
      <c r="P18" s="22">
        <v>46266</v>
      </c>
      <c r="Q18" s="105">
        <f t="shared" si="1"/>
        <v>0</v>
      </c>
      <c r="R18" s="107"/>
      <c r="S18" s="107"/>
      <c r="T18" s="107"/>
      <c r="U18" s="107"/>
      <c r="V18" s="107"/>
    </row>
    <row r="19" spans="1:22" s="12" customFormat="1" ht="19.149999999999999" customHeight="1" x14ac:dyDescent="0.2">
      <c r="A19" s="118">
        <v>0</v>
      </c>
      <c r="B19" s="118">
        <v>0</v>
      </c>
      <c r="C19" s="116" t="s">
        <v>148</v>
      </c>
      <c r="D19" s="107"/>
      <c r="E19" s="14"/>
      <c r="F19" s="24"/>
      <c r="G19" s="25"/>
      <c r="H19" s="17"/>
      <c r="I19" s="18"/>
      <c r="J19" s="19"/>
      <c r="K19" s="14"/>
      <c r="L19" s="100"/>
      <c r="M19" s="20"/>
      <c r="N19" s="21"/>
      <c r="O19" s="107"/>
      <c r="P19" s="22">
        <v>46296</v>
      </c>
      <c r="Q19" s="105">
        <f t="shared" si="1"/>
        <v>0</v>
      </c>
      <c r="R19" s="107"/>
      <c r="S19" s="107"/>
      <c r="T19" s="107"/>
      <c r="U19" s="107"/>
      <c r="V19" s="107"/>
    </row>
    <row r="20" spans="1:22" s="12" customFormat="1" ht="19.149999999999999" customHeight="1" x14ac:dyDescent="0.2">
      <c r="A20" s="177"/>
      <c r="B20" s="177"/>
      <c r="C20" s="177"/>
      <c r="D20" s="107"/>
      <c r="E20" s="14"/>
      <c r="F20" s="24"/>
      <c r="G20" s="25"/>
      <c r="H20" s="17"/>
      <c r="I20" s="18"/>
      <c r="J20" s="19"/>
      <c r="K20" s="14"/>
      <c r="L20" s="100"/>
      <c r="M20" s="20"/>
      <c r="N20" s="21"/>
      <c r="O20" s="107"/>
      <c r="P20" s="22">
        <v>46327</v>
      </c>
      <c r="Q20" s="105">
        <f t="shared" si="1"/>
        <v>0</v>
      </c>
      <c r="R20" s="107"/>
      <c r="S20" s="107"/>
      <c r="T20" s="107"/>
      <c r="U20" s="107"/>
      <c r="V20" s="107"/>
    </row>
    <row r="21" spans="1:22" s="12" customFormat="1" ht="19.149999999999999" customHeight="1" x14ac:dyDescent="0.2">
      <c r="A21" s="230" t="s">
        <v>47</v>
      </c>
      <c r="B21" s="230"/>
      <c r="C21" s="230"/>
      <c r="D21" s="107"/>
      <c r="E21" s="14"/>
      <c r="F21" s="24"/>
      <c r="G21" s="25"/>
      <c r="H21" s="17"/>
      <c r="I21" s="18"/>
      <c r="J21" s="19"/>
      <c r="K21" s="14"/>
      <c r="L21" s="100"/>
      <c r="M21" s="20"/>
      <c r="N21" s="21"/>
      <c r="O21" s="107"/>
      <c r="P21" s="22">
        <v>46357</v>
      </c>
      <c r="Q21" s="105">
        <f t="shared" si="1"/>
        <v>7297.5</v>
      </c>
      <c r="R21" s="107"/>
      <c r="S21" s="107"/>
      <c r="T21" s="107"/>
      <c r="U21" s="107"/>
      <c r="V21" s="107"/>
    </row>
    <row r="22" spans="1:22" s="12" customFormat="1" ht="19.149999999999999" customHeight="1" x14ac:dyDescent="0.2">
      <c r="A22" s="116" t="s">
        <v>22</v>
      </c>
      <c r="B22" s="116" t="s">
        <v>48</v>
      </c>
      <c r="C22" s="116" t="s">
        <v>49</v>
      </c>
      <c r="D22" s="107"/>
      <c r="E22" s="14"/>
      <c r="F22" s="24"/>
      <c r="G22" s="25"/>
      <c r="H22" s="17"/>
      <c r="I22" s="18"/>
      <c r="J22" s="19"/>
      <c r="K22" s="14"/>
      <c r="L22" s="100"/>
      <c r="M22" s="20"/>
      <c r="N22" s="21"/>
      <c r="O22" s="107"/>
      <c r="P22" s="22">
        <v>46388</v>
      </c>
      <c r="Q22" s="105">
        <f t="shared" si="1"/>
        <v>0</v>
      </c>
      <c r="R22" s="107"/>
      <c r="S22" s="107"/>
      <c r="T22" s="107"/>
      <c r="U22" s="107"/>
      <c r="V22" s="107"/>
    </row>
    <row r="23" spans="1:22" s="12" customFormat="1" ht="19.149999999999999" customHeight="1" x14ac:dyDescent="0.2">
      <c r="A23" s="139">
        <f>SUMIFS(H2:H167,F2:F167,"&lt;&gt;")</f>
        <v>60000</v>
      </c>
      <c r="B23" s="139">
        <f>SUMIFS(I2:I300,F2:F300,"&lt;&gt;")</f>
        <v>11925.5</v>
      </c>
      <c r="C23" s="140">
        <f>COUNT(N2:N300, "?*")</f>
        <v>9</v>
      </c>
      <c r="D23" s="107"/>
      <c r="E23" s="14"/>
      <c r="F23" s="24"/>
      <c r="G23" s="25"/>
      <c r="H23" s="17"/>
      <c r="I23" s="18"/>
      <c r="J23" s="19"/>
      <c r="K23" s="14"/>
      <c r="L23" s="100"/>
      <c r="M23" s="20"/>
      <c r="N23" s="21"/>
      <c r="O23" s="107"/>
      <c r="P23" s="22">
        <v>46419</v>
      </c>
      <c r="Q23" s="105">
        <f t="shared" si="1"/>
        <v>24220</v>
      </c>
      <c r="R23" s="107"/>
      <c r="S23" s="107"/>
      <c r="T23" s="107"/>
      <c r="U23" s="107"/>
      <c r="V23" s="107"/>
    </row>
    <row r="24" spans="1:22" s="12" customFormat="1" ht="19.149999999999999" customHeight="1" x14ac:dyDescent="0.2">
      <c r="A24" s="116" t="s">
        <v>154</v>
      </c>
      <c r="B24" s="116" t="s">
        <v>51</v>
      </c>
      <c r="C24" s="116" t="s">
        <v>52</v>
      </c>
      <c r="D24" s="107"/>
      <c r="E24" s="14"/>
      <c r="F24" s="24"/>
      <c r="G24" s="25"/>
      <c r="H24" s="17"/>
      <c r="I24" s="18"/>
      <c r="J24" s="19"/>
      <c r="K24" s="14"/>
      <c r="L24" s="100"/>
      <c r="M24" s="20"/>
      <c r="N24" s="21"/>
      <c r="O24" s="107"/>
      <c r="P24" s="22">
        <v>46447</v>
      </c>
      <c r="Q24" s="105">
        <f t="shared" si="1"/>
        <v>0</v>
      </c>
      <c r="R24" s="107"/>
      <c r="S24" s="107"/>
      <c r="T24" s="107"/>
      <c r="U24" s="107"/>
      <c r="V24" s="107"/>
    </row>
    <row r="25" spans="1:22" s="12" customFormat="1" ht="19.149999999999999" customHeight="1" x14ac:dyDescent="0.2">
      <c r="A25" s="141">
        <f>AVERAGE(N2:N500)</f>
        <v>16.31111111111111</v>
      </c>
      <c r="B25" s="139" t="str">
        <f>TEXT(B23/A23, "0.00%")</f>
        <v>19.88%</v>
      </c>
      <c r="C25" s="142">
        <f>SUMPRODUCT(H2:H500, E2:E500) / SUM(H2:H500)</f>
        <v>16.071428571428573</v>
      </c>
      <c r="D25" s="107"/>
      <c r="E25" s="14"/>
      <c r="F25" s="24"/>
      <c r="G25" s="25"/>
      <c r="H25" s="17"/>
      <c r="I25" s="18"/>
      <c r="J25" s="19"/>
      <c r="K25" s="14"/>
      <c r="L25" s="100"/>
      <c r="M25" s="20"/>
      <c r="N25" s="21"/>
      <c r="O25" s="107"/>
      <c r="P25" s="22">
        <v>46478</v>
      </c>
      <c r="Q25" s="105">
        <f t="shared" si="1"/>
        <v>0</v>
      </c>
      <c r="R25" s="107"/>
      <c r="S25" s="107"/>
      <c r="T25" s="107"/>
      <c r="U25" s="107"/>
      <c r="V25" s="107"/>
    </row>
    <row r="26" spans="1:22" s="12" customFormat="1" ht="19.149999999999999" customHeight="1" x14ac:dyDescent="0.2">
      <c r="A26" s="122" t="s">
        <v>53</v>
      </c>
      <c r="B26" s="123" t="s">
        <v>54</v>
      </c>
      <c r="C26" s="116" t="s">
        <v>55</v>
      </c>
      <c r="D26" s="107"/>
      <c r="E26" s="14"/>
      <c r="F26" s="24"/>
      <c r="G26" s="25"/>
      <c r="H26" s="17"/>
      <c r="I26" s="18"/>
      <c r="J26" s="19"/>
      <c r="K26" s="14"/>
      <c r="L26" s="100"/>
      <c r="M26" s="20"/>
      <c r="N26" s="21"/>
      <c r="O26" s="107"/>
      <c r="P26" s="22">
        <v>46508</v>
      </c>
      <c r="Q26" s="105">
        <f t="shared" si="1"/>
        <v>12415</v>
      </c>
      <c r="R26" s="107"/>
      <c r="S26" s="107"/>
      <c r="T26" s="107"/>
      <c r="U26" s="107"/>
      <c r="V26" s="107"/>
    </row>
    <row r="27" spans="1:22" s="12" customFormat="1" ht="19.149999999999999" customHeight="1" x14ac:dyDescent="0.2">
      <c r="A27" s="143">
        <f ca="1">COUNTIF(K2:K300, "CHECK!")</f>
        <v>1</v>
      </c>
      <c r="B27" s="143">
        <f ca="1">COUNTIF(K2:K300, "WAITING")</f>
        <v>6</v>
      </c>
      <c r="C27" s="143">
        <f ca="1">COUNTIF(K2:K300, "Paid")</f>
        <v>2</v>
      </c>
      <c r="D27" s="107"/>
      <c r="E27" s="14"/>
      <c r="F27" s="24"/>
      <c r="G27" s="25"/>
      <c r="H27" s="17"/>
      <c r="I27" s="18"/>
      <c r="J27" s="19"/>
      <c r="K27" s="14"/>
      <c r="L27" s="100"/>
      <c r="M27" s="20"/>
      <c r="N27" s="21"/>
      <c r="O27" s="107"/>
      <c r="P27" s="22">
        <v>46539</v>
      </c>
      <c r="Q27" s="105">
        <f t="shared" si="1"/>
        <v>10287</v>
      </c>
      <c r="R27" s="107"/>
      <c r="S27" s="107"/>
      <c r="T27" s="107"/>
      <c r="U27" s="107"/>
      <c r="V27" s="107"/>
    </row>
    <row r="28" spans="1:22" s="12" customFormat="1" ht="19.149999999999999" customHeight="1" x14ac:dyDescent="0.2">
      <c r="A28" s="177"/>
      <c r="B28" s="177"/>
      <c r="C28" s="177"/>
      <c r="D28" s="107"/>
      <c r="E28" s="14"/>
      <c r="F28" s="24"/>
      <c r="G28" s="25"/>
      <c r="H28" s="17"/>
      <c r="I28" s="18"/>
      <c r="J28" s="19"/>
      <c r="K28" s="14"/>
      <c r="L28" s="100"/>
      <c r="M28" s="20"/>
      <c r="N28" s="21"/>
      <c r="O28" s="107"/>
      <c r="P28" s="22">
        <v>46569</v>
      </c>
      <c r="Q28" s="105">
        <f t="shared" si="1"/>
        <v>0</v>
      </c>
      <c r="R28" s="107"/>
      <c r="S28" s="107"/>
      <c r="T28" s="107"/>
      <c r="U28" s="107"/>
      <c r="V28" s="107"/>
    </row>
    <row r="29" spans="1:22" s="12" customFormat="1" ht="19.149999999999999" customHeight="1" x14ac:dyDescent="0.2">
      <c r="A29" s="177"/>
      <c r="B29" s="177"/>
      <c r="C29" s="177"/>
      <c r="D29" s="107"/>
      <c r="E29" s="14"/>
      <c r="F29" s="24"/>
      <c r="G29" s="25"/>
      <c r="H29" s="17"/>
      <c r="I29" s="18"/>
      <c r="J29" s="19"/>
      <c r="K29" s="14"/>
      <c r="L29" s="100"/>
      <c r="M29" s="20"/>
      <c r="N29" s="21"/>
      <c r="O29" s="107"/>
      <c r="P29" s="22">
        <v>46600</v>
      </c>
      <c r="Q29" s="105">
        <f t="shared" si="1"/>
        <v>0</v>
      </c>
      <c r="R29" s="107"/>
      <c r="S29" s="107"/>
      <c r="T29" s="107"/>
      <c r="U29" s="107"/>
      <c r="V29" s="107"/>
    </row>
    <row r="30" spans="1:22" s="12" customFormat="1" ht="19.149999999999999" customHeight="1" x14ac:dyDescent="0.2">
      <c r="A30" s="144" t="s">
        <v>161</v>
      </c>
      <c r="B30" s="144" t="s">
        <v>162</v>
      </c>
      <c r="C30" s="144" t="s">
        <v>163</v>
      </c>
      <c r="D30" s="107"/>
      <c r="E30" s="14"/>
      <c r="F30" s="24"/>
      <c r="G30" s="25"/>
      <c r="H30" s="17"/>
      <c r="I30" s="18"/>
      <c r="J30" s="19"/>
      <c r="K30" s="14"/>
      <c r="L30" s="100"/>
      <c r="M30" s="20"/>
      <c r="N30" s="21"/>
      <c r="O30" s="107"/>
      <c r="P30" s="22">
        <v>46631</v>
      </c>
      <c r="Q30" s="105">
        <f t="shared" si="1"/>
        <v>0</v>
      </c>
      <c r="R30" s="107"/>
      <c r="S30" s="107"/>
      <c r="T30" s="107"/>
      <c r="U30" s="107"/>
      <c r="V30" s="107"/>
    </row>
    <row r="31" spans="1:22" s="12" customFormat="1" ht="19.149999999999999" customHeight="1" x14ac:dyDescent="0.2">
      <c r="A31" s="143">
        <f>SUMIFS(H2:H167,G2:G167,"&lt;&gt;")</f>
        <v>10000</v>
      </c>
      <c r="B31" s="143">
        <f>SUMIFS(I2:I167,G2:G167,"&lt;&gt;")</f>
        <v>1024</v>
      </c>
      <c r="C31" s="143">
        <f>A31+B31</f>
        <v>11024</v>
      </c>
      <c r="D31" s="107"/>
      <c r="E31" s="14"/>
      <c r="F31" s="24"/>
      <c r="G31" s="25"/>
      <c r="H31" s="17"/>
      <c r="I31" s="18"/>
      <c r="J31" s="19"/>
      <c r="K31" s="14"/>
      <c r="L31" s="100"/>
      <c r="M31" s="20"/>
      <c r="N31" s="21"/>
      <c r="O31" s="107"/>
      <c r="P31" s="22">
        <v>46661</v>
      </c>
      <c r="Q31" s="105">
        <f t="shared" si="1"/>
        <v>0</v>
      </c>
      <c r="R31" s="107"/>
      <c r="S31" s="107"/>
      <c r="T31" s="107"/>
      <c r="U31" s="107"/>
      <c r="V31" s="107"/>
    </row>
    <row r="32" spans="1:22" s="12" customFormat="1" ht="19.149999999999999" customHeight="1" x14ac:dyDescent="0.2">
      <c r="A32" s="221" t="s">
        <v>163</v>
      </c>
      <c r="B32" s="221"/>
      <c r="C32" s="221"/>
      <c r="D32" s="107"/>
      <c r="E32" s="14"/>
      <c r="F32" s="24"/>
      <c r="G32" s="25"/>
      <c r="H32" s="17"/>
      <c r="I32" s="18"/>
      <c r="J32" s="19"/>
      <c r="K32" s="14"/>
      <c r="L32" s="100"/>
      <c r="M32" s="20"/>
      <c r="N32" s="21"/>
      <c r="O32" s="107"/>
      <c r="P32" s="22">
        <v>46692</v>
      </c>
      <c r="Q32" s="105">
        <f t="shared" si="1"/>
        <v>0</v>
      </c>
      <c r="R32" s="107"/>
      <c r="S32" s="107"/>
      <c r="T32" s="107"/>
      <c r="U32" s="107"/>
      <c r="V32" s="107"/>
    </row>
    <row r="33" spans="1:22" s="12" customFormat="1" ht="19.149999999999999" customHeight="1" x14ac:dyDescent="0.2">
      <c r="A33" s="220" t="s">
        <v>167</v>
      </c>
      <c r="B33" s="220"/>
      <c r="C33" s="220"/>
      <c r="D33" s="107"/>
      <c r="E33" s="14"/>
      <c r="F33" s="24"/>
      <c r="G33" s="25"/>
      <c r="H33" s="17"/>
      <c r="I33" s="18"/>
      <c r="J33" s="19"/>
      <c r="K33" s="14"/>
      <c r="L33" s="100"/>
      <c r="M33" s="20"/>
      <c r="N33" s="21"/>
      <c r="O33" s="107"/>
      <c r="P33" s="22">
        <v>46722</v>
      </c>
      <c r="Q33" s="105">
        <f t="shared" si="1"/>
        <v>0</v>
      </c>
      <c r="R33" s="107"/>
      <c r="S33" s="107"/>
      <c r="T33" s="107"/>
      <c r="U33" s="107"/>
      <c r="V33" s="107"/>
    </row>
    <row r="34" spans="1:22" s="12" customFormat="1" ht="19.149999999999999" customHeight="1" x14ac:dyDescent="0.2">
      <c r="A34" s="220" t="s">
        <v>169</v>
      </c>
      <c r="B34" s="220"/>
      <c r="C34" s="220"/>
      <c r="D34" s="107"/>
      <c r="E34" s="14"/>
      <c r="F34" s="24"/>
      <c r="G34" s="25"/>
      <c r="H34" s="17"/>
      <c r="I34" s="18"/>
      <c r="J34" s="19"/>
      <c r="K34" s="14"/>
      <c r="L34" s="100"/>
      <c r="M34" s="20"/>
      <c r="N34" s="21"/>
      <c r="O34" s="107"/>
      <c r="P34" s="22">
        <v>46753</v>
      </c>
      <c r="Q34" s="105">
        <f t="shared" si="1"/>
        <v>0</v>
      </c>
      <c r="R34" s="107"/>
      <c r="S34" s="107"/>
      <c r="T34" s="107"/>
      <c r="U34" s="107"/>
      <c r="V34" s="107"/>
    </row>
    <row r="35" spans="1:22" s="12" customFormat="1" ht="19.149999999999999" customHeight="1" x14ac:dyDescent="0.2">
      <c r="A35" s="220" t="s">
        <v>239</v>
      </c>
      <c r="B35" s="220"/>
      <c r="C35" s="220"/>
      <c r="D35" s="107"/>
      <c r="E35" s="14"/>
      <c r="F35" s="24"/>
      <c r="G35" s="25"/>
      <c r="H35" s="17"/>
      <c r="I35" s="18"/>
      <c r="J35" s="19"/>
      <c r="K35" s="14"/>
      <c r="L35" s="100"/>
      <c r="M35" s="20"/>
      <c r="N35" s="21"/>
      <c r="O35" s="107"/>
      <c r="P35" s="22">
        <v>46784</v>
      </c>
      <c r="Q35" s="105">
        <f t="shared" si="1"/>
        <v>0</v>
      </c>
      <c r="R35" s="107"/>
      <c r="S35" s="107"/>
      <c r="T35" s="107"/>
      <c r="U35" s="107"/>
      <c r="V35" s="107"/>
    </row>
    <row r="36" spans="1:22" s="12" customFormat="1" ht="19.149999999999999" customHeight="1" x14ac:dyDescent="0.2">
      <c r="A36" s="220" t="s">
        <v>174</v>
      </c>
      <c r="B36" s="220"/>
      <c r="C36" s="220"/>
      <c r="D36" s="107"/>
      <c r="E36" s="14"/>
      <c r="F36" s="24"/>
      <c r="G36" s="25"/>
      <c r="H36" s="17"/>
      <c r="I36" s="18"/>
      <c r="J36" s="19"/>
      <c r="K36" s="14"/>
      <c r="L36" s="100"/>
      <c r="M36" s="20"/>
      <c r="N36" s="21"/>
      <c r="O36" s="107"/>
      <c r="P36" s="22">
        <v>46813</v>
      </c>
      <c r="Q36" s="105">
        <f t="shared" si="1"/>
        <v>0</v>
      </c>
      <c r="R36" s="107"/>
      <c r="S36" s="107"/>
      <c r="T36" s="107"/>
      <c r="U36" s="107"/>
      <c r="V36" s="107"/>
    </row>
    <row r="37" spans="1:22" s="12" customFormat="1" ht="19.149999999999999" customHeight="1" x14ac:dyDescent="0.2">
      <c r="A37" s="220" t="s">
        <v>240</v>
      </c>
      <c r="B37" s="220"/>
      <c r="C37" s="220"/>
      <c r="D37" s="107"/>
      <c r="E37" s="14"/>
      <c r="F37" s="24"/>
      <c r="G37" s="25"/>
      <c r="H37" s="17"/>
      <c r="I37" s="18"/>
      <c r="J37" s="19"/>
      <c r="K37" s="14"/>
      <c r="L37" s="100"/>
      <c r="M37" s="20"/>
      <c r="N37" s="21"/>
      <c r="O37" s="107"/>
      <c r="P37" s="22">
        <v>46844</v>
      </c>
      <c r="Q37" s="105">
        <f t="shared" si="1"/>
        <v>0</v>
      </c>
      <c r="R37" s="107"/>
      <c r="S37" s="107"/>
      <c r="T37" s="107"/>
      <c r="U37" s="107"/>
      <c r="V37" s="107"/>
    </row>
    <row r="38" spans="1:22" s="12" customFormat="1" ht="19.149999999999999" customHeight="1" x14ac:dyDescent="0.2">
      <c r="A38" s="231"/>
      <c r="B38" s="231"/>
      <c r="C38" s="231"/>
      <c r="D38" s="107"/>
      <c r="E38" s="14"/>
      <c r="F38" s="24"/>
      <c r="G38" s="25"/>
      <c r="H38" s="17"/>
      <c r="I38" s="18"/>
      <c r="J38" s="19"/>
      <c r="K38" s="14"/>
      <c r="L38" s="100"/>
      <c r="M38" s="20"/>
      <c r="N38" s="21"/>
      <c r="O38" s="107"/>
      <c r="P38" s="22">
        <v>46874</v>
      </c>
      <c r="Q38" s="105">
        <f t="shared" si="1"/>
        <v>0</v>
      </c>
      <c r="R38" s="107"/>
      <c r="S38" s="107"/>
      <c r="T38" s="107"/>
      <c r="U38" s="107"/>
      <c r="V38" s="107"/>
    </row>
    <row r="39" spans="1:22" s="12" customFormat="1" ht="19.149999999999999" customHeight="1" x14ac:dyDescent="0.2">
      <c r="A39" s="220" t="s">
        <v>37</v>
      </c>
      <c r="B39" s="220"/>
      <c r="C39" s="220"/>
      <c r="D39" s="107"/>
      <c r="E39" s="14"/>
      <c r="F39" s="24"/>
      <c r="G39" s="25"/>
      <c r="H39" s="17"/>
      <c r="I39" s="18"/>
      <c r="J39" s="19"/>
      <c r="K39" s="14"/>
      <c r="L39" s="100"/>
      <c r="M39" s="20"/>
      <c r="N39" s="21"/>
      <c r="O39" s="107"/>
      <c r="P39" s="22">
        <v>46905</v>
      </c>
      <c r="Q39" s="105">
        <f t="shared" si="1"/>
        <v>0</v>
      </c>
      <c r="R39" s="107"/>
      <c r="S39" s="107"/>
      <c r="T39" s="107"/>
      <c r="U39" s="107"/>
      <c r="V39" s="107"/>
    </row>
    <row r="40" spans="1:22" s="12" customFormat="1" ht="19.149999999999999" customHeight="1" x14ac:dyDescent="0.2">
      <c r="A40" s="220" t="s">
        <v>38</v>
      </c>
      <c r="B40" s="220"/>
      <c r="C40" s="220"/>
      <c r="D40" s="107"/>
      <c r="E40" s="14"/>
      <c r="F40" s="24"/>
      <c r="G40" s="25"/>
      <c r="H40" s="17"/>
      <c r="I40" s="18"/>
      <c r="J40" s="19"/>
      <c r="K40" s="14"/>
      <c r="L40" s="100"/>
      <c r="M40" s="20"/>
      <c r="N40" s="21"/>
      <c r="O40" s="107"/>
      <c r="P40" s="22">
        <v>46935</v>
      </c>
      <c r="Q40" s="105">
        <f t="shared" si="1"/>
        <v>0</v>
      </c>
      <c r="R40" s="107"/>
      <c r="S40" s="107"/>
      <c r="T40" s="107"/>
      <c r="U40" s="107"/>
      <c r="V40" s="107"/>
    </row>
    <row r="41" spans="1:22" s="12" customFormat="1" ht="19.149999999999999" customHeight="1" x14ac:dyDescent="0.2">
      <c r="A41" s="221" t="s">
        <v>163</v>
      </c>
      <c r="B41" s="221"/>
      <c r="C41" s="221"/>
      <c r="D41" s="107"/>
      <c r="E41" s="14"/>
      <c r="F41" s="24"/>
      <c r="G41" s="25"/>
      <c r="H41" s="17"/>
      <c r="I41" s="18"/>
      <c r="J41" s="19"/>
      <c r="K41" s="14"/>
      <c r="L41" s="100"/>
      <c r="M41" s="20"/>
      <c r="N41" s="21"/>
      <c r="O41" s="107"/>
      <c r="P41" s="22">
        <v>46966</v>
      </c>
      <c r="Q41" s="105">
        <f t="shared" si="1"/>
        <v>0</v>
      </c>
      <c r="R41" s="107"/>
      <c r="S41" s="107"/>
      <c r="T41" s="107"/>
      <c r="U41" s="107"/>
      <c r="V41" s="107"/>
    </row>
    <row r="42" spans="1:22" s="12" customFormat="1" ht="19.149999999999999" customHeight="1" x14ac:dyDescent="0.2">
      <c r="A42" s="221" t="s">
        <v>163</v>
      </c>
      <c r="B42" s="221"/>
      <c r="C42" s="221"/>
      <c r="D42" s="107"/>
      <c r="E42" s="14"/>
      <c r="F42" s="24"/>
      <c r="G42" s="25"/>
      <c r="H42" s="17"/>
      <c r="I42" s="18"/>
      <c r="J42" s="19"/>
      <c r="K42" s="14"/>
      <c r="L42" s="100"/>
      <c r="M42" s="20"/>
      <c r="N42" s="21"/>
      <c r="O42" s="107"/>
      <c r="P42" s="22">
        <v>46997</v>
      </c>
      <c r="Q42" s="105">
        <f t="shared" si="1"/>
        <v>0</v>
      </c>
      <c r="R42" s="107"/>
      <c r="S42" s="107"/>
      <c r="T42" s="107"/>
      <c r="U42" s="107"/>
      <c r="V42" s="107"/>
    </row>
    <row r="43" spans="1:22" s="12" customFormat="1" ht="19.149999999999999" customHeight="1" x14ac:dyDescent="0.2">
      <c r="A43" s="107"/>
      <c r="B43" s="107"/>
      <c r="C43" s="177"/>
      <c r="D43" s="107"/>
      <c r="E43" s="14"/>
      <c r="F43" s="24"/>
      <c r="G43" s="25"/>
      <c r="H43" s="17"/>
      <c r="I43" s="18"/>
      <c r="J43" s="19"/>
      <c r="K43" s="14"/>
      <c r="L43" s="100"/>
      <c r="M43" s="20"/>
      <c r="N43" s="21"/>
      <c r="O43" s="107"/>
      <c r="P43" s="22">
        <v>47027</v>
      </c>
      <c r="Q43" s="105">
        <f t="shared" si="1"/>
        <v>0</v>
      </c>
      <c r="R43" s="107"/>
      <c r="S43" s="107"/>
      <c r="T43" s="107"/>
      <c r="U43" s="107"/>
      <c r="V43" s="107"/>
    </row>
    <row r="44" spans="1:22" s="12" customFormat="1" ht="19.149999999999999" customHeight="1" x14ac:dyDescent="0.2">
      <c r="A44" s="74"/>
      <c r="B44" s="74"/>
      <c r="C44" s="74"/>
      <c r="D44" s="107"/>
      <c r="E44" s="14"/>
      <c r="F44" s="24"/>
      <c r="G44" s="25"/>
      <c r="H44" s="17"/>
      <c r="I44" s="18"/>
      <c r="J44" s="19"/>
      <c r="K44" s="14"/>
      <c r="L44" s="100"/>
      <c r="M44" s="20"/>
      <c r="N44" s="21"/>
      <c r="O44" s="107"/>
      <c r="P44" s="22">
        <v>47058</v>
      </c>
      <c r="Q44" s="105">
        <f t="shared" si="1"/>
        <v>0</v>
      </c>
      <c r="R44" s="107"/>
      <c r="S44" s="107"/>
      <c r="T44" s="107"/>
      <c r="U44" s="107"/>
      <c r="V44" s="107"/>
    </row>
    <row r="45" spans="1:22" s="12" customFormat="1" ht="19.149999999999999" customHeight="1" x14ac:dyDescent="0.2">
      <c r="A45" s="220"/>
      <c r="B45" s="220"/>
      <c r="C45" s="220"/>
      <c r="D45" s="107"/>
      <c r="E45" s="14"/>
      <c r="F45" s="24"/>
      <c r="G45" s="25"/>
      <c r="H45" s="17"/>
      <c r="I45" s="18"/>
      <c r="J45" s="19"/>
      <c r="K45" s="14"/>
      <c r="L45" s="100"/>
      <c r="M45" s="20"/>
      <c r="N45" s="21"/>
      <c r="O45" s="107"/>
      <c r="P45" s="22">
        <v>47088</v>
      </c>
      <c r="Q45" s="105">
        <f t="shared" si="1"/>
        <v>0</v>
      </c>
      <c r="R45" s="107"/>
      <c r="S45" s="107"/>
      <c r="T45" s="107"/>
      <c r="U45" s="107"/>
      <c r="V45" s="107"/>
    </row>
    <row r="46" spans="1:22" s="12" customFormat="1" ht="19.149999999999999" customHeight="1" x14ac:dyDescent="0.2">
      <c r="A46" s="220"/>
      <c r="B46" s="220"/>
      <c r="C46" s="220"/>
      <c r="D46" s="107"/>
      <c r="E46" s="14"/>
      <c r="F46" s="24"/>
      <c r="G46" s="25"/>
      <c r="H46" s="17"/>
      <c r="I46" s="18"/>
      <c r="J46" s="19"/>
      <c r="K46" s="14"/>
      <c r="L46" s="100"/>
      <c r="M46" s="20"/>
      <c r="N46" s="21"/>
      <c r="O46" s="107"/>
      <c r="P46" s="22">
        <v>47119</v>
      </c>
      <c r="Q46" s="105">
        <f t="shared" si="1"/>
        <v>0</v>
      </c>
      <c r="R46" s="107"/>
      <c r="S46" s="107"/>
      <c r="T46" s="107"/>
      <c r="U46" s="107"/>
      <c r="V46" s="107"/>
    </row>
    <row r="47" spans="1:22" s="12" customFormat="1" ht="19.149999999999999" customHeight="1" x14ac:dyDescent="0.2">
      <c r="A47" s="220"/>
      <c r="B47" s="220"/>
      <c r="C47" s="220"/>
      <c r="D47" s="107"/>
      <c r="E47" s="14"/>
      <c r="F47" s="24"/>
      <c r="G47" s="25"/>
      <c r="H47" s="17"/>
      <c r="I47" s="18"/>
      <c r="J47" s="19"/>
      <c r="K47" s="14"/>
      <c r="L47" s="100"/>
      <c r="M47" s="20"/>
      <c r="N47" s="21"/>
      <c r="O47" s="107"/>
      <c r="P47" s="22">
        <v>47150</v>
      </c>
      <c r="Q47" s="105">
        <f t="shared" si="1"/>
        <v>0</v>
      </c>
      <c r="R47" s="107"/>
      <c r="S47" s="107"/>
      <c r="T47" s="107"/>
      <c r="U47" s="107"/>
      <c r="V47" s="107"/>
    </row>
    <row r="48" spans="1:22" s="12" customFormat="1" ht="19.149999999999999" customHeight="1" x14ac:dyDescent="0.2">
      <c r="A48" s="220"/>
      <c r="B48" s="220"/>
      <c r="C48" s="220"/>
      <c r="D48" s="107"/>
      <c r="E48" s="14"/>
      <c r="F48" s="24"/>
      <c r="G48" s="25"/>
      <c r="H48" s="17"/>
      <c r="I48" s="18"/>
      <c r="J48" s="19"/>
      <c r="K48" s="14"/>
      <c r="L48" s="100"/>
      <c r="M48" s="20"/>
      <c r="N48" s="21"/>
      <c r="O48" s="107"/>
      <c r="P48" s="22">
        <v>47178</v>
      </c>
      <c r="Q48" s="105">
        <f t="shared" si="1"/>
        <v>0</v>
      </c>
      <c r="R48" s="107"/>
      <c r="S48" s="107"/>
      <c r="T48" s="107"/>
      <c r="U48" s="107"/>
      <c r="V48" s="107"/>
    </row>
    <row r="49" spans="1:22" s="12" customFormat="1" ht="19.149999999999999" customHeight="1" x14ac:dyDescent="0.2">
      <c r="A49" s="220"/>
      <c r="B49" s="220"/>
      <c r="C49" s="220"/>
      <c r="D49" s="107"/>
      <c r="E49" s="14"/>
      <c r="F49" s="24"/>
      <c r="G49" s="25"/>
      <c r="H49" s="17"/>
      <c r="I49" s="18"/>
      <c r="J49" s="19"/>
      <c r="K49" s="14"/>
      <c r="L49" s="100"/>
      <c r="M49" s="20"/>
      <c r="N49" s="21"/>
      <c r="O49" s="107"/>
      <c r="P49" s="22">
        <v>47209</v>
      </c>
      <c r="Q49" s="105">
        <f t="shared" si="1"/>
        <v>0</v>
      </c>
      <c r="R49" s="107"/>
      <c r="S49" s="107"/>
      <c r="T49" s="107"/>
      <c r="U49" s="107"/>
      <c r="V49" s="107"/>
    </row>
    <row r="50" spans="1:22" s="12" customFormat="1" ht="19.149999999999999" customHeight="1" x14ac:dyDescent="0.2">
      <c r="A50" s="231"/>
      <c r="B50" s="231"/>
      <c r="C50" s="231"/>
      <c r="D50" s="107"/>
      <c r="E50" s="14"/>
      <c r="F50" s="24"/>
      <c r="G50" s="25"/>
      <c r="H50" s="17"/>
      <c r="I50" s="18"/>
      <c r="J50" s="19"/>
      <c r="K50" s="14"/>
      <c r="L50" s="100"/>
      <c r="M50" s="20"/>
      <c r="N50" s="21"/>
      <c r="O50" s="107"/>
      <c r="P50" s="22">
        <v>47239</v>
      </c>
      <c r="Q50" s="105">
        <f t="shared" si="1"/>
        <v>0</v>
      </c>
      <c r="R50" s="107"/>
      <c r="S50" s="107"/>
      <c r="T50" s="107"/>
      <c r="U50" s="107"/>
      <c r="V50" s="107"/>
    </row>
    <row r="51" spans="1:22" s="12" customFormat="1" ht="19.149999999999999" customHeight="1" x14ac:dyDescent="0.2">
      <c r="A51" s="220"/>
      <c r="B51" s="220"/>
      <c r="C51" s="220"/>
      <c r="D51" s="107"/>
      <c r="E51" s="14"/>
      <c r="F51" s="24"/>
      <c r="G51" s="25"/>
      <c r="H51" s="17"/>
      <c r="I51" s="18"/>
      <c r="J51" s="19"/>
      <c r="K51" s="14"/>
      <c r="L51" s="100"/>
      <c r="M51" s="20"/>
      <c r="N51" s="21"/>
      <c r="O51" s="107"/>
      <c r="P51" s="22">
        <v>47270</v>
      </c>
      <c r="Q51" s="105">
        <f t="shared" si="1"/>
        <v>0</v>
      </c>
      <c r="R51" s="107"/>
      <c r="S51" s="107"/>
      <c r="T51" s="107"/>
      <c r="U51" s="107"/>
      <c r="V51" s="107"/>
    </row>
    <row r="52" spans="1:22" s="12" customFormat="1" ht="19.149999999999999" customHeight="1" x14ac:dyDescent="0.2">
      <c r="A52" s="220"/>
      <c r="B52" s="220"/>
      <c r="C52" s="220"/>
      <c r="D52" s="107"/>
      <c r="E52" s="14"/>
      <c r="F52" s="24"/>
      <c r="G52" s="25"/>
      <c r="H52" s="17"/>
      <c r="I52" s="18"/>
      <c r="J52" s="19"/>
      <c r="K52" s="14"/>
      <c r="L52" s="100"/>
      <c r="M52" s="20"/>
      <c r="N52" s="21"/>
      <c r="O52" s="107"/>
      <c r="P52" s="22">
        <v>47300</v>
      </c>
      <c r="Q52" s="105">
        <f t="shared" si="1"/>
        <v>0</v>
      </c>
      <c r="R52" s="107"/>
      <c r="S52" s="107"/>
      <c r="T52" s="107"/>
      <c r="U52" s="107"/>
      <c r="V52" s="107"/>
    </row>
    <row r="53" spans="1:22" s="12" customFormat="1" ht="19.149999999999999" customHeight="1" x14ac:dyDescent="0.2">
      <c r="A53" s="177"/>
      <c r="B53" s="177"/>
      <c r="C53" s="177"/>
      <c r="D53" s="107"/>
      <c r="E53" s="14"/>
      <c r="F53" s="24"/>
      <c r="G53" s="25"/>
      <c r="H53" s="17"/>
      <c r="I53" s="18"/>
      <c r="J53" s="19"/>
      <c r="K53" s="14"/>
      <c r="L53" s="100"/>
      <c r="M53" s="20"/>
      <c r="N53" s="21"/>
      <c r="O53" s="107"/>
      <c r="P53" s="22">
        <v>47331</v>
      </c>
      <c r="Q53" s="105">
        <f t="shared" si="1"/>
        <v>0</v>
      </c>
      <c r="R53" s="107"/>
      <c r="S53" s="107"/>
      <c r="T53" s="107"/>
      <c r="U53" s="107"/>
      <c r="V53" s="107"/>
    </row>
    <row r="54" spans="1:22" s="12" customFormat="1" ht="19.149999999999999" customHeight="1" x14ac:dyDescent="0.2">
      <c r="A54" s="177"/>
      <c r="B54" s="177"/>
      <c r="C54" s="177"/>
      <c r="D54" s="107"/>
      <c r="E54" s="14"/>
      <c r="F54" s="24"/>
      <c r="G54" s="25"/>
      <c r="H54" s="17"/>
      <c r="I54" s="18"/>
      <c r="J54" s="19"/>
      <c r="K54" s="14"/>
      <c r="L54" s="100"/>
      <c r="M54" s="20"/>
      <c r="N54" s="21"/>
      <c r="O54" s="107"/>
      <c r="P54" s="22">
        <v>47362</v>
      </c>
      <c r="Q54" s="105">
        <f t="shared" si="1"/>
        <v>0</v>
      </c>
      <c r="R54" s="107"/>
      <c r="S54" s="107"/>
      <c r="T54" s="107"/>
      <c r="U54" s="107"/>
      <c r="V54" s="107"/>
    </row>
    <row r="55" spans="1:22" s="12" customFormat="1" ht="19.149999999999999" customHeight="1" x14ac:dyDescent="0.2">
      <c r="A55" s="177"/>
      <c r="B55" s="177"/>
      <c r="C55" s="177"/>
      <c r="D55" s="107"/>
      <c r="E55" s="14"/>
      <c r="F55" s="24"/>
      <c r="G55" s="25"/>
      <c r="H55" s="17"/>
      <c r="I55" s="18"/>
      <c r="J55" s="19"/>
      <c r="K55" s="14"/>
      <c r="L55" s="100"/>
      <c r="M55" s="20"/>
      <c r="N55" s="21"/>
      <c r="O55" s="107"/>
      <c r="P55" s="22">
        <v>47392</v>
      </c>
      <c r="Q55" s="105">
        <f t="shared" si="1"/>
        <v>0</v>
      </c>
      <c r="R55" s="107"/>
      <c r="S55" s="107"/>
      <c r="T55" s="107"/>
      <c r="U55" s="107"/>
      <c r="V55" s="107"/>
    </row>
    <row r="56" spans="1:22" s="12" customFormat="1" ht="19.149999999999999" customHeight="1" x14ac:dyDescent="0.2">
      <c r="A56" s="107"/>
      <c r="B56" s="107"/>
      <c r="C56" s="107"/>
      <c r="D56" s="107"/>
      <c r="E56" s="14"/>
      <c r="F56" s="24"/>
      <c r="G56" s="25"/>
      <c r="H56" s="17"/>
      <c r="I56" s="18"/>
      <c r="J56" s="19"/>
      <c r="K56" s="14"/>
      <c r="L56" s="100"/>
      <c r="M56" s="20"/>
      <c r="N56" s="21"/>
      <c r="O56" s="107"/>
      <c r="P56" s="22">
        <v>47423</v>
      </c>
      <c r="Q56" s="105">
        <f t="shared" si="1"/>
        <v>0</v>
      </c>
      <c r="R56" s="107"/>
      <c r="S56" s="107"/>
      <c r="T56" s="107"/>
      <c r="U56" s="107"/>
      <c r="V56" s="107"/>
    </row>
    <row r="57" spans="1:22" s="12" customFormat="1" ht="19.149999999999999" customHeight="1" x14ac:dyDescent="0.2">
      <c r="A57" s="107"/>
      <c r="B57" s="107"/>
      <c r="C57" s="107"/>
      <c r="D57" s="107"/>
      <c r="E57" s="14"/>
      <c r="F57" s="24"/>
      <c r="G57" s="25"/>
      <c r="H57" s="17"/>
      <c r="I57" s="18"/>
      <c r="J57" s="19"/>
      <c r="K57" s="14"/>
      <c r="L57" s="100"/>
      <c r="M57" s="20"/>
      <c r="N57" s="21"/>
      <c r="O57" s="107"/>
      <c r="P57" s="22">
        <v>47453</v>
      </c>
      <c r="Q57" s="105">
        <f t="shared" si="1"/>
        <v>0</v>
      </c>
      <c r="R57" s="107"/>
      <c r="S57" s="107"/>
      <c r="T57" s="107"/>
      <c r="U57" s="107"/>
      <c r="V57" s="107"/>
    </row>
    <row r="58" spans="1:22" s="12" customFormat="1" ht="19.149999999999999" customHeight="1" x14ac:dyDescent="0.2">
      <c r="A58" s="107"/>
      <c r="B58" s="107"/>
      <c r="C58" s="107"/>
      <c r="D58" s="107"/>
      <c r="E58" s="14"/>
      <c r="F58" s="24"/>
      <c r="G58" s="25"/>
      <c r="H58" s="17"/>
      <c r="I58" s="18"/>
      <c r="J58" s="19"/>
      <c r="K58" s="14"/>
      <c r="L58" s="100"/>
      <c r="M58" s="20"/>
      <c r="N58" s="21"/>
      <c r="O58" s="107"/>
      <c r="P58" s="22">
        <v>47484</v>
      </c>
      <c r="Q58" s="105">
        <f t="shared" si="1"/>
        <v>0</v>
      </c>
      <c r="R58" s="107"/>
      <c r="S58" s="107"/>
      <c r="T58" s="107"/>
      <c r="U58" s="107"/>
      <c r="V58" s="107"/>
    </row>
    <row r="59" spans="1:22" s="12" customFormat="1" ht="19.149999999999999" customHeight="1" x14ac:dyDescent="0.2">
      <c r="A59" s="107"/>
      <c r="B59" s="107"/>
      <c r="C59" s="107"/>
      <c r="D59" s="107"/>
      <c r="E59" s="14"/>
      <c r="F59" s="24"/>
      <c r="G59" s="25"/>
      <c r="H59" s="17"/>
      <c r="I59" s="18"/>
      <c r="J59" s="19"/>
      <c r="K59" s="14"/>
      <c r="L59" s="100"/>
      <c r="M59" s="20"/>
      <c r="N59" s="21"/>
      <c r="O59" s="107"/>
      <c r="P59" s="22">
        <v>47515</v>
      </c>
      <c r="Q59" s="105">
        <f t="shared" si="1"/>
        <v>0</v>
      </c>
      <c r="R59" s="107"/>
      <c r="S59" s="107"/>
      <c r="T59" s="107"/>
      <c r="U59" s="107"/>
      <c r="V59" s="107"/>
    </row>
    <row r="60" spans="1:22" s="12" customFormat="1" ht="19.149999999999999" customHeight="1" x14ac:dyDescent="0.2">
      <c r="A60" s="107"/>
      <c r="B60" s="107"/>
      <c r="C60" s="107"/>
      <c r="D60" s="107"/>
      <c r="E60" s="14"/>
      <c r="F60" s="24"/>
      <c r="G60" s="25"/>
      <c r="H60" s="17"/>
      <c r="I60" s="18"/>
      <c r="J60" s="19"/>
      <c r="K60" s="14"/>
      <c r="L60" s="100"/>
      <c r="M60" s="20"/>
      <c r="N60" s="21"/>
      <c r="O60" s="107"/>
      <c r="P60" s="22">
        <v>47543</v>
      </c>
      <c r="Q60" s="105">
        <f t="shared" si="1"/>
        <v>0</v>
      </c>
      <c r="R60" s="107"/>
      <c r="S60" s="107"/>
      <c r="T60" s="107"/>
      <c r="U60" s="107"/>
      <c r="V60" s="107"/>
    </row>
    <row r="61" spans="1:22" s="12" customFormat="1" ht="19.149999999999999" customHeight="1" x14ac:dyDescent="0.2">
      <c r="A61" s="107"/>
      <c r="B61" s="107"/>
      <c r="C61" s="107"/>
      <c r="D61" s="107"/>
      <c r="E61" s="14"/>
      <c r="F61" s="24"/>
      <c r="G61" s="25"/>
      <c r="H61" s="17"/>
      <c r="I61" s="18"/>
      <c r="J61" s="19"/>
      <c r="K61" s="14"/>
      <c r="L61" s="100"/>
      <c r="M61" s="20"/>
      <c r="N61" s="21"/>
      <c r="O61" s="107"/>
      <c r="P61" s="22">
        <v>47574</v>
      </c>
      <c r="Q61" s="105">
        <f t="shared" si="1"/>
        <v>0</v>
      </c>
      <c r="R61" s="107"/>
      <c r="S61" s="107"/>
      <c r="T61" s="107"/>
      <c r="U61" s="107"/>
      <c r="V61" s="107"/>
    </row>
    <row r="62" spans="1:22" s="12" customFormat="1" ht="19.149999999999999" customHeight="1" x14ac:dyDescent="0.2">
      <c r="A62" s="107"/>
      <c r="B62" s="107"/>
      <c r="C62" s="107"/>
      <c r="D62" s="107"/>
      <c r="E62" s="14"/>
      <c r="F62" s="24"/>
      <c r="G62" s="25"/>
      <c r="H62" s="17"/>
      <c r="I62" s="18"/>
      <c r="J62" s="19"/>
      <c r="K62" s="14"/>
      <c r="L62" s="100"/>
      <c r="M62" s="20"/>
      <c r="N62" s="21"/>
      <c r="O62" s="107"/>
      <c r="P62" s="22">
        <v>47604</v>
      </c>
      <c r="Q62" s="105">
        <f t="shared" si="1"/>
        <v>0</v>
      </c>
      <c r="R62" s="107"/>
      <c r="S62" s="107"/>
      <c r="T62" s="107"/>
      <c r="U62" s="107"/>
      <c r="V62" s="107"/>
    </row>
    <row r="63" spans="1:22" s="12" customFormat="1" ht="19.149999999999999" customHeight="1" x14ac:dyDescent="0.2">
      <c r="A63" s="107"/>
      <c r="B63" s="107"/>
      <c r="C63" s="107"/>
      <c r="D63" s="107"/>
      <c r="E63" s="14"/>
      <c r="F63" s="24"/>
      <c r="G63" s="25"/>
      <c r="H63" s="17"/>
      <c r="I63" s="18"/>
      <c r="J63" s="19"/>
      <c r="K63" s="14"/>
      <c r="L63" s="100"/>
      <c r="M63" s="20"/>
      <c r="N63" s="21"/>
      <c r="O63" s="107"/>
      <c r="P63" s="22">
        <v>47635</v>
      </c>
      <c r="Q63" s="105">
        <f t="shared" si="1"/>
        <v>0</v>
      </c>
      <c r="R63" s="107"/>
      <c r="S63" s="107"/>
      <c r="T63" s="107"/>
      <c r="U63" s="107"/>
      <c r="V63" s="107"/>
    </row>
    <row r="64" spans="1:22" s="12" customFormat="1" ht="19.149999999999999" customHeight="1" x14ac:dyDescent="0.2">
      <c r="A64" s="107"/>
      <c r="B64" s="107"/>
      <c r="C64" s="107"/>
      <c r="D64" s="107"/>
      <c r="E64" s="14"/>
      <c r="F64" s="24"/>
      <c r="G64" s="25"/>
      <c r="H64" s="17"/>
      <c r="I64" s="18"/>
      <c r="J64" s="19"/>
      <c r="K64" s="14"/>
      <c r="L64" s="100"/>
      <c r="M64" s="20"/>
      <c r="N64" s="21"/>
      <c r="O64" s="107"/>
      <c r="P64" s="22">
        <v>47665</v>
      </c>
      <c r="Q64" s="105">
        <f t="shared" si="1"/>
        <v>0</v>
      </c>
      <c r="R64" s="107"/>
      <c r="S64" s="107"/>
      <c r="T64" s="107"/>
      <c r="U64" s="107"/>
      <c r="V64" s="107"/>
    </row>
    <row r="65" spans="1:22" s="12" customFormat="1" ht="19.149999999999999" customHeight="1" x14ac:dyDescent="0.2">
      <c r="A65" s="107"/>
      <c r="B65" s="107"/>
      <c r="C65" s="107"/>
      <c r="D65" s="107"/>
      <c r="E65" s="14"/>
      <c r="F65" s="24"/>
      <c r="G65" s="25"/>
      <c r="H65" s="17"/>
      <c r="I65" s="18"/>
      <c r="J65" s="19"/>
      <c r="K65" s="14"/>
      <c r="L65" s="100"/>
      <c r="M65" s="20"/>
      <c r="N65" s="21"/>
      <c r="O65" s="107"/>
      <c r="P65" s="22">
        <v>47696</v>
      </c>
      <c r="Q65" s="105">
        <f t="shared" si="1"/>
        <v>0</v>
      </c>
      <c r="R65" s="107"/>
      <c r="S65" s="107"/>
      <c r="T65" s="107"/>
      <c r="U65" s="107"/>
      <c r="V65" s="107"/>
    </row>
    <row r="66" spans="1:22" s="12" customFormat="1" ht="19.149999999999999" customHeight="1" x14ac:dyDescent="0.2">
      <c r="A66" s="107"/>
      <c r="B66" s="107"/>
      <c r="C66" s="107"/>
      <c r="D66" s="107"/>
      <c r="E66" s="14"/>
      <c r="F66" s="24"/>
      <c r="G66" s="25"/>
      <c r="H66" s="17"/>
      <c r="I66" s="18"/>
      <c r="J66" s="19"/>
      <c r="K66" s="14"/>
      <c r="L66" s="100"/>
      <c r="M66" s="20"/>
      <c r="N66" s="21"/>
      <c r="O66" s="107"/>
      <c r="P66" s="22">
        <v>47727</v>
      </c>
      <c r="Q66" s="105">
        <f t="shared" ref="Q66:Q68" si="2">SUMIFS(J$2:J$1000, F$2:F$1000, "&gt;=" &amp; DATE(YEAR(P66), MONTH(P66), 1), F$2:F$1000, "&lt;=" &amp; EOMONTH(P66, 0))</f>
        <v>0</v>
      </c>
      <c r="R66" s="107"/>
      <c r="S66" s="107"/>
      <c r="T66" s="107"/>
      <c r="U66" s="107"/>
      <c r="V66" s="107"/>
    </row>
    <row r="67" spans="1:22" s="12" customFormat="1" ht="19.149999999999999" customHeight="1" x14ac:dyDescent="0.2">
      <c r="A67" s="107"/>
      <c r="B67" s="107"/>
      <c r="C67" s="107"/>
      <c r="D67" s="107"/>
      <c r="E67" s="14"/>
      <c r="F67" s="24"/>
      <c r="G67" s="25"/>
      <c r="H67" s="17"/>
      <c r="I67" s="18"/>
      <c r="J67" s="19"/>
      <c r="K67" s="14"/>
      <c r="L67" s="100"/>
      <c r="M67" s="20"/>
      <c r="N67" s="21"/>
      <c r="O67" s="107"/>
      <c r="P67" s="22">
        <v>47757</v>
      </c>
      <c r="Q67" s="105">
        <f t="shared" si="2"/>
        <v>0</v>
      </c>
      <c r="R67" s="107"/>
      <c r="S67" s="107"/>
      <c r="T67" s="107"/>
      <c r="U67" s="107"/>
      <c r="V67" s="107"/>
    </row>
    <row r="68" spans="1:22" s="12" customFormat="1" ht="19.149999999999999" customHeight="1" x14ac:dyDescent="0.2">
      <c r="A68" s="107"/>
      <c r="B68" s="28"/>
      <c r="C68" s="107"/>
      <c r="D68" s="107"/>
      <c r="E68" s="14"/>
      <c r="F68" s="24"/>
      <c r="G68" s="25"/>
      <c r="H68" s="17"/>
      <c r="I68" s="18"/>
      <c r="J68" s="19"/>
      <c r="K68" s="14"/>
      <c r="L68" s="100"/>
      <c r="M68" s="20"/>
      <c r="N68" s="21"/>
      <c r="O68" s="107"/>
      <c r="P68" s="22">
        <v>47788</v>
      </c>
      <c r="Q68" s="105">
        <f t="shared" si="2"/>
        <v>0</v>
      </c>
      <c r="R68" s="107"/>
      <c r="S68" s="107"/>
      <c r="T68" s="107"/>
      <c r="U68" s="107"/>
      <c r="V68" s="107"/>
    </row>
    <row r="69" spans="1:22" s="12" customFormat="1" ht="19.149999999999999" customHeight="1" x14ac:dyDescent="0.2">
      <c r="A69" s="107"/>
      <c r="B69" s="107"/>
      <c r="C69" s="107"/>
      <c r="D69" s="107"/>
      <c r="E69" s="14"/>
      <c r="F69" s="24"/>
      <c r="G69" s="25"/>
      <c r="H69" s="17"/>
      <c r="I69" s="18"/>
      <c r="J69" s="19"/>
      <c r="K69" s="14"/>
      <c r="L69" s="100"/>
      <c r="M69" s="20"/>
      <c r="N69" s="21"/>
      <c r="O69" s="107"/>
      <c r="P69" s="22"/>
      <c r="Q69" s="26"/>
      <c r="R69" s="107"/>
      <c r="S69" s="107"/>
      <c r="T69" s="107"/>
      <c r="U69" s="107"/>
      <c r="V69" s="107"/>
    </row>
    <row r="70" spans="1:22" s="12" customFormat="1" ht="19.149999999999999" customHeight="1" x14ac:dyDescent="0.2">
      <c r="A70" s="107"/>
      <c r="B70" s="107"/>
      <c r="C70" s="107"/>
      <c r="D70" s="107"/>
      <c r="E70" s="14"/>
      <c r="F70" s="24"/>
      <c r="G70" s="25"/>
      <c r="H70" s="17"/>
      <c r="I70" s="18"/>
      <c r="J70" s="19"/>
      <c r="K70" s="14"/>
      <c r="L70" s="19"/>
      <c r="M70" s="20"/>
      <c r="N70" s="21"/>
      <c r="O70" s="107"/>
      <c r="P70" s="22"/>
      <c r="Q70" s="26"/>
      <c r="R70" s="107"/>
      <c r="S70" s="107"/>
      <c r="T70" s="107"/>
      <c r="U70" s="107"/>
      <c r="V70" s="107"/>
    </row>
    <row r="71" spans="1:22" s="12" customFormat="1" ht="19.149999999999999" customHeight="1" x14ac:dyDescent="0.2">
      <c r="A71" s="107"/>
      <c r="B71" s="107"/>
      <c r="C71" s="107"/>
      <c r="D71" s="107"/>
      <c r="E71" s="14"/>
      <c r="F71" s="24"/>
      <c r="G71" s="25"/>
      <c r="H71" s="17"/>
      <c r="I71" s="18"/>
      <c r="J71" s="19"/>
      <c r="K71" s="14"/>
      <c r="L71" s="19"/>
      <c r="M71" s="20"/>
      <c r="N71" s="21"/>
      <c r="O71" s="107"/>
      <c r="P71" s="22"/>
      <c r="Q71" s="23"/>
      <c r="R71" s="107"/>
      <c r="S71" s="107"/>
      <c r="T71" s="107"/>
      <c r="U71" s="107"/>
      <c r="V71" s="107"/>
    </row>
    <row r="72" spans="1:22" s="12" customFormat="1" ht="19.149999999999999" customHeight="1" x14ac:dyDescent="0.2">
      <c r="A72" s="107"/>
      <c r="B72" s="107"/>
      <c r="C72" s="107"/>
      <c r="D72" s="107"/>
      <c r="E72" s="14"/>
      <c r="F72" s="24"/>
      <c r="G72" s="25"/>
      <c r="H72" s="17"/>
      <c r="I72" s="18"/>
      <c r="J72" s="19"/>
      <c r="K72" s="14"/>
      <c r="L72" s="19"/>
      <c r="M72" s="20"/>
      <c r="N72" s="21"/>
      <c r="O72" s="107"/>
      <c r="P72" s="22"/>
      <c r="Q72" s="23"/>
      <c r="R72" s="107"/>
      <c r="S72" s="107"/>
      <c r="T72" s="107"/>
      <c r="U72" s="107"/>
      <c r="V72" s="107"/>
    </row>
    <row r="73" spans="1:22" s="12" customFormat="1" ht="19.149999999999999" customHeight="1" x14ac:dyDescent="0.2">
      <c r="A73" s="107"/>
      <c r="B73" s="107"/>
      <c r="C73" s="107"/>
      <c r="D73" s="107"/>
      <c r="E73" s="14"/>
      <c r="F73" s="24"/>
      <c r="G73" s="25"/>
      <c r="H73" s="17"/>
      <c r="I73" s="18"/>
      <c r="J73" s="19"/>
      <c r="K73" s="14"/>
      <c r="L73" s="19"/>
      <c r="M73" s="20"/>
      <c r="N73" s="21"/>
      <c r="O73" s="107"/>
      <c r="P73" s="22"/>
      <c r="Q73" s="23"/>
      <c r="R73" s="107"/>
      <c r="S73" s="107"/>
      <c r="T73" s="107"/>
      <c r="U73" s="107"/>
      <c r="V73" s="107"/>
    </row>
    <row r="74" spans="1:22" s="12" customFormat="1" ht="19.149999999999999" customHeight="1" x14ac:dyDescent="0.2">
      <c r="A74" s="107"/>
      <c r="B74" s="107"/>
      <c r="C74" s="107"/>
      <c r="D74" s="107"/>
      <c r="E74" s="14"/>
      <c r="F74" s="24"/>
      <c r="G74" s="25"/>
      <c r="H74" s="17"/>
      <c r="I74" s="18"/>
      <c r="J74" s="19"/>
      <c r="K74" s="14"/>
      <c r="L74" s="19"/>
      <c r="M74" s="20"/>
      <c r="N74" s="21"/>
      <c r="O74" s="107"/>
      <c r="P74" s="22"/>
      <c r="Q74" s="23"/>
      <c r="R74" s="107"/>
      <c r="S74" s="107"/>
      <c r="T74" s="107"/>
      <c r="U74" s="107"/>
      <c r="V74" s="107"/>
    </row>
    <row r="75" spans="1:22" s="12" customFormat="1" ht="19.149999999999999" customHeight="1" x14ac:dyDescent="0.2">
      <c r="A75" s="107"/>
      <c r="B75" s="107"/>
      <c r="C75" s="107"/>
      <c r="D75" s="107"/>
      <c r="E75" s="14"/>
      <c r="F75" s="24"/>
      <c r="G75" s="25"/>
      <c r="H75" s="17"/>
      <c r="I75" s="18"/>
      <c r="J75" s="19"/>
      <c r="K75" s="14"/>
      <c r="L75" s="19"/>
      <c r="M75" s="20"/>
      <c r="N75" s="21"/>
      <c r="O75" s="107"/>
      <c r="P75" s="22"/>
      <c r="Q75" s="23"/>
      <c r="R75" s="107"/>
      <c r="S75" s="107"/>
      <c r="T75" s="107"/>
      <c r="U75" s="107"/>
      <c r="V75" s="107"/>
    </row>
    <row r="76" spans="1:22" s="12" customFormat="1" ht="19.149999999999999" customHeight="1" x14ac:dyDescent="0.2">
      <c r="A76" s="107"/>
      <c r="B76" s="107"/>
      <c r="C76" s="107"/>
      <c r="D76" s="107"/>
      <c r="E76" s="14"/>
      <c r="F76" s="24"/>
      <c r="G76" s="25"/>
      <c r="H76" s="17"/>
      <c r="I76" s="18"/>
      <c r="J76" s="19"/>
      <c r="K76" s="14"/>
      <c r="L76" s="100"/>
      <c r="M76" s="20"/>
      <c r="N76" s="21"/>
      <c r="O76" s="107"/>
      <c r="P76" s="22"/>
      <c r="Q76" s="23"/>
      <c r="R76" s="107"/>
      <c r="S76" s="107"/>
      <c r="T76" s="107"/>
      <c r="U76" s="107"/>
      <c r="V76" s="107"/>
    </row>
    <row r="77" spans="1:22" s="12" customFormat="1" ht="19.149999999999999" customHeight="1" x14ac:dyDescent="0.2">
      <c r="A77" s="107"/>
      <c r="B77" s="107"/>
      <c r="C77" s="107"/>
      <c r="D77" s="107"/>
      <c r="E77" s="14"/>
      <c r="F77" s="24"/>
      <c r="G77" s="25"/>
      <c r="H77" s="17"/>
      <c r="I77" s="18"/>
      <c r="J77" s="19"/>
      <c r="K77" s="14"/>
      <c r="L77" s="19"/>
      <c r="M77" s="20"/>
      <c r="N77" s="21"/>
      <c r="O77" s="107"/>
      <c r="P77" s="22"/>
      <c r="Q77" s="23"/>
      <c r="R77" s="107"/>
      <c r="S77" s="107"/>
      <c r="T77" s="107"/>
      <c r="U77" s="107"/>
      <c r="V77" s="107"/>
    </row>
    <row r="78" spans="1:22" s="12" customFormat="1" ht="19.149999999999999" customHeight="1" x14ac:dyDescent="0.2">
      <c r="A78" s="107"/>
      <c r="B78" s="107"/>
      <c r="C78" s="107"/>
      <c r="D78" s="107"/>
      <c r="E78" s="14"/>
      <c r="F78" s="24"/>
      <c r="G78" s="25"/>
      <c r="H78" s="17"/>
      <c r="I78" s="18"/>
      <c r="J78" s="19"/>
      <c r="K78" s="14"/>
      <c r="L78" s="19"/>
      <c r="M78" s="20"/>
      <c r="N78" s="21"/>
      <c r="O78" s="107"/>
      <c r="P78" s="22"/>
      <c r="Q78" s="23"/>
      <c r="R78" s="107"/>
      <c r="S78" s="107"/>
      <c r="T78" s="107"/>
      <c r="U78" s="107"/>
      <c r="V78" s="107"/>
    </row>
    <row r="79" spans="1:22" s="12" customFormat="1" ht="19.149999999999999" customHeight="1" x14ac:dyDescent="0.2">
      <c r="A79" s="107"/>
      <c r="B79" s="107"/>
      <c r="C79" s="107"/>
      <c r="D79" s="107"/>
      <c r="E79" s="14"/>
      <c r="F79" s="24"/>
      <c r="G79" s="25"/>
      <c r="H79" s="17"/>
      <c r="I79" s="18"/>
      <c r="J79" s="19"/>
      <c r="K79" s="14"/>
      <c r="L79" s="19"/>
      <c r="M79" s="20"/>
      <c r="N79" s="21"/>
      <c r="O79" s="107"/>
      <c r="P79" s="22"/>
      <c r="Q79" s="23"/>
      <c r="R79" s="107"/>
      <c r="S79" s="107"/>
      <c r="T79" s="107"/>
      <c r="U79" s="107"/>
      <c r="V79" s="107"/>
    </row>
    <row r="80" spans="1:22" s="12" customFormat="1" ht="19.149999999999999" customHeight="1" x14ac:dyDescent="0.2">
      <c r="A80" s="107"/>
      <c r="B80" s="107"/>
      <c r="C80" s="107"/>
      <c r="D80" s="107"/>
      <c r="E80" s="14"/>
      <c r="F80" s="24"/>
      <c r="G80" s="25"/>
      <c r="H80" s="17"/>
      <c r="I80" s="18"/>
      <c r="J80" s="19"/>
      <c r="K80" s="14"/>
      <c r="L80" s="19"/>
      <c r="M80" s="20"/>
      <c r="N80" s="21"/>
      <c r="O80" s="107"/>
      <c r="P80" s="22"/>
      <c r="Q80" s="23"/>
      <c r="R80" s="107"/>
      <c r="S80" s="107"/>
      <c r="T80" s="107"/>
      <c r="U80" s="107"/>
      <c r="V80" s="107"/>
    </row>
    <row r="81" spans="1:22" s="12" customFormat="1" ht="19.149999999999999" customHeight="1" x14ac:dyDescent="0.2">
      <c r="A81" s="107"/>
      <c r="B81" s="107"/>
      <c r="C81" s="107"/>
      <c r="D81" s="107"/>
      <c r="E81" s="14"/>
      <c r="F81" s="24"/>
      <c r="G81" s="25"/>
      <c r="H81" s="17"/>
      <c r="I81" s="18"/>
      <c r="J81" s="19"/>
      <c r="K81" s="14"/>
      <c r="L81" s="19"/>
      <c r="M81" s="20"/>
      <c r="N81" s="21"/>
      <c r="O81" s="107"/>
      <c r="P81" s="22"/>
      <c r="Q81" s="23"/>
      <c r="R81" s="107"/>
      <c r="S81" s="107"/>
      <c r="T81" s="107"/>
      <c r="U81" s="107"/>
      <c r="V81" s="107"/>
    </row>
    <row r="82" spans="1:22" s="12" customFormat="1" ht="19.149999999999999" customHeight="1" x14ac:dyDescent="0.2">
      <c r="A82" s="107"/>
      <c r="B82" s="107"/>
      <c r="C82" s="107"/>
      <c r="D82" s="107"/>
      <c r="E82" s="14"/>
      <c r="F82" s="24"/>
      <c r="G82" s="25"/>
      <c r="H82" s="17"/>
      <c r="I82" s="18"/>
      <c r="J82" s="19"/>
      <c r="K82" s="14"/>
      <c r="L82" s="19"/>
      <c r="M82" s="20"/>
      <c r="N82" s="21"/>
      <c r="O82" s="107"/>
      <c r="P82" s="22"/>
      <c r="Q82" s="23"/>
      <c r="R82" s="107"/>
      <c r="S82" s="107"/>
      <c r="T82" s="107"/>
      <c r="U82" s="107"/>
      <c r="V82" s="107"/>
    </row>
    <row r="83" spans="1:22" s="12" customFormat="1" ht="19.149999999999999" customHeight="1" x14ac:dyDescent="0.2">
      <c r="A83" s="107"/>
      <c r="B83" s="107"/>
      <c r="C83" s="107"/>
      <c r="D83" s="107"/>
      <c r="E83" s="14"/>
      <c r="F83" s="24"/>
      <c r="G83" s="25"/>
      <c r="H83" s="17"/>
      <c r="I83" s="18"/>
      <c r="J83" s="19"/>
      <c r="K83" s="14"/>
      <c r="L83" s="19"/>
      <c r="M83" s="20"/>
      <c r="N83" s="21"/>
      <c r="O83" s="107"/>
      <c r="P83" s="22"/>
      <c r="Q83" s="23"/>
      <c r="R83" s="107"/>
      <c r="S83" s="107"/>
      <c r="T83" s="107"/>
      <c r="U83" s="107"/>
      <c r="V83" s="107"/>
    </row>
    <row r="84" spans="1:22" s="12" customFormat="1" ht="19.149999999999999" customHeight="1" x14ac:dyDescent="0.2">
      <c r="A84" s="107"/>
      <c r="B84" s="107"/>
      <c r="C84" s="107"/>
      <c r="D84" s="107"/>
      <c r="E84" s="14"/>
      <c r="F84" s="24"/>
      <c r="G84" s="29"/>
      <c r="H84" s="17"/>
      <c r="I84" s="18"/>
      <c r="J84" s="19"/>
      <c r="K84" s="14"/>
      <c r="L84" s="19"/>
      <c r="M84" s="20"/>
      <c r="N84" s="21"/>
      <c r="O84" s="107"/>
      <c r="P84" s="22"/>
      <c r="Q84" s="23"/>
      <c r="R84" s="107"/>
      <c r="S84" s="107"/>
      <c r="T84" s="107"/>
      <c r="U84" s="107"/>
      <c r="V84" s="107"/>
    </row>
    <row r="85" spans="1:22" s="12" customFormat="1" ht="19.149999999999999" customHeight="1" x14ac:dyDescent="0.2">
      <c r="A85" s="107"/>
      <c r="B85" s="107"/>
      <c r="C85" s="107"/>
      <c r="D85" s="107"/>
      <c r="E85" s="14"/>
      <c r="F85" s="24"/>
      <c r="G85" s="25"/>
      <c r="H85" s="17"/>
      <c r="I85" s="18"/>
      <c r="J85" s="19"/>
      <c r="K85" s="14"/>
      <c r="L85" s="19"/>
      <c r="M85" s="20"/>
      <c r="N85" s="21"/>
      <c r="O85" s="107"/>
      <c r="P85" s="22"/>
      <c r="Q85" s="23"/>
      <c r="R85" s="107"/>
      <c r="S85" s="107"/>
      <c r="T85" s="107"/>
      <c r="U85" s="107"/>
      <c r="V85" s="107"/>
    </row>
    <row r="86" spans="1:22" s="12" customFormat="1" ht="19.149999999999999" customHeight="1" x14ac:dyDescent="0.2">
      <c r="A86" s="107"/>
      <c r="B86" s="107"/>
      <c r="C86" s="107"/>
      <c r="D86" s="107"/>
      <c r="E86" s="14"/>
      <c r="F86" s="24"/>
      <c r="G86" s="25"/>
      <c r="H86" s="17"/>
      <c r="I86" s="18"/>
      <c r="J86" s="19"/>
      <c r="K86" s="14"/>
      <c r="L86" s="19"/>
      <c r="M86" s="20"/>
      <c r="N86" s="21"/>
      <c r="O86" s="107"/>
      <c r="P86" s="22"/>
      <c r="Q86" s="23"/>
      <c r="R86" s="107"/>
      <c r="S86" s="107"/>
      <c r="T86" s="107"/>
      <c r="U86" s="107"/>
      <c r="V86" s="107"/>
    </row>
    <row r="87" spans="1:22" s="12" customFormat="1" ht="19.149999999999999" customHeight="1" x14ac:dyDescent="0.2">
      <c r="A87" s="107"/>
      <c r="B87" s="107"/>
      <c r="C87" s="107"/>
      <c r="D87" s="107"/>
      <c r="E87" s="14"/>
      <c r="F87" s="24"/>
      <c r="G87" s="25"/>
      <c r="H87" s="17"/>
      <c r="I87" s="18"/>
      <c r="J87" s="19"/>
      <c r="K87" s="14"/>
      <c r="L87" s="19"/>
      <c r="M87" s="20"/>
      <c r="N87" s="21"/>
      <c r="O87" s="107"/>
      <c r="P87" s="22"/>
      <c r="Q87" s="23"/>
      <c r="R87" s="107"/>
      <c r="S87" s="107"/>
      <c r="T87" s="107"/>
      <c r="U87" s="107"/>
      <c r="V87" s="107"/>
    </row>
    <row r="88" spans="1:22" s="12" customFormat="1" ht="19.149999999999999" customHeight="1" x14ac:dyDescent="0.2">
      <c r="A88" s="107"/>
      <c r="B88" s="107"/>
      <c r="C88" s="107"/>
      <c r="D88" s="107"/>
      <c r="E88" s="14"/>
      <c r="F88" s="24"/>
      <c r="G88" s="25"/>
      <c r="H88" s="17"/>
      <c r="I88" s="18"/>
      <c r="J88" s="19"/>
      <c r="K88" s="14"/>
      <c r="L88" s="19"/>
      <c r="M88" s="20"/>
      <c r="N88" s="21"/>
      <c r="O88" s="107"/>
      <c r="P88" s="22"/>
      <c r="Q88" s="23"/>
      <c r="R88" s="107"/>
      <c r="S88" s="107"/>
      <c r="T88" s="107"/>
      <c r="U88" s="107"/>
      <c r="V88" s="107"/>
    </row>
    <row r="89" spans="1:22" s="12" customFormat="1" ht="19.149999999999999" customHeight="1" x14ac:dyDescent="0.2">
      <c r="A89" s="107"/>
      <c r="B89" s="107"/>
      <c r="C89" s="107"/>
      <c r="D89" s="107"/>
      <c r="E89" s="14"/>
      <c r="F89" s="24"/>
      <c r="G89" s="25"/>
      <c r="H89" s="17"/>
      <c r="I89" s="18"/>
      <c r="J89" s="19"/>
      <c r="K89" s="14"/>
      <c r="L89" s="19"/>
      <c r="M89" s="20"/>
      <c r="N89" s="21"/>
      <c r="O89" s="107"/>
      <c r="P89" s="22"/>
      <c r="Q89" s="23"/>
      <c r="R89" s="107"/>
      <c r="S89" s="107"/>
      <c r="T89" s="107"/>
      <c r="U89" s="107"/>
      <c r="V89" s="107"/>
    </row>
    <row r="90" spans="1:22" s="12" customFormat="1" ht="19.149999999999999" customHeight="1" x14ac:dyDescent="0.2">
      <c r="A90" s="107"/>
      <c r="B90" s="28"/>
      <c r="C90" s="107"/>
      <c r="D90" s="107"/>
      <c r="E90" s="14"/>
      <c r="F90" s="24"/>
      <c r="G90" s="25"/>
      <c r="H90" s="17"/>
      <c r="I90" s="18"/>
      <c r="J90" s="19"/>
      <c r="K90" s="14"/>
      <c r="L90" s="19"/>
      <c r="M90" s="20"/>
      <c r="N90" s="21"/>
      <c r="O90" s="107"/>
      <c r="P90" s="22"/>
      <c r="Q90" s="23"/>
      <c r="R90" s="107"/>
      <c r="S90" s="107"/>
      <c r="T90" s="107"/>
      <c r="U90" s="107"/>
      <c r="V90" s="107"/>
    </row>
    <row r="91" spans="1:22" s="12" customFormat="1" ht="19.149999999999999" customHeight="1" x14ac:dyDescent="0.2">
      <c r="A91" s="107"/>
      <c r="B91" s="107"/>
      <c r="C91" s="107"/>
      <c r="D91" s="107"/>
      <c r="E91" s="14"/>
      <c r="F91" s="24"/>
      <c r="G91" s="25"/>
      <c r="H91" s="17"/>
      <c r="I91" s="18"/>
      <c r="J91" s="19"/>
      <c r="K91" s="14"/>
      <c r="L91" s="19"/>
      <c r="M91" s="20"/>
      <c r="N91" s="21"/>
      <c r="O91" s="107"/>
      <c r="P91" s="22"/>
      <c r="Q91" s="23"/>
      <c r="R91" s="107"/>
      <c r="S91" s="107"/>
      <c r="T91" s="107"/>
      <c r="U91" s="107"/>
      <c r="V91" s="107"/>
    </row>
    <row r="92" spans="1:22" s="12" customFormat="1" ht="19.149999999999999" customHeight="1" x14ac:dyDescent="0.2">
      <c r="A92" s="107"/>
      <c r="B92" s="107"/>
      <c r="C92" s="107"/>
      <c r="D92" s="107"/>
      <c r="E92" s="14"/>
      <c r="F92" s="24"/>
      <c r="G92" s="25"/>
      <c r="H92" s="17"/>
      <c r="I92" s="18"/>
      <c r="J92" s="19"/>
      <c r="K92" s="14"/>
      <c r="L92" s="19"/>
      <c r="M92" s="20"/>
      <c r="N92" s="21"/>
      <c r="O92" s="107"/>
      <c r="P92" s="22"/>
      <c r="Q92" s="23"/>
      <c r="R92" s="107"/>
      <c r="S92" s="107"/>
      <c r="T92" s="107"/>
      <c r="U92" s="107"/>
      <c r="V92" s="107"/>
    </row>
    <row r="93" spans="1:22" s="12" customFormat="1" ht="19.149999999999999" customHeight="1" x14ac:dyDescent="0.2">
      <c r="A93" s="107"/>
      <c r="B93" s="107"/>
      <c r="C93" s="107"/>
      <c r="D93" s="107"/>
      <c r="E93" s="14"/>
      <c r="F93" s="24"/>
      <c r="G93" s="25"/>
      <c r="H93" s="17"/>
      <c r="I93" s="18"/>
      <c r="J93" s="19"/>
      <c r="K93" s="14"/>
      <c r="L93" s="19"/>
      <c r="M93" s="20"/>
      <c r="N93" s="21"/>
      <c r="O93" s="107"/>
      <c r="P93" s="22"/>
      <c r="Q93" s="23"/>
      <c r="R93" s="107"/>
      <c r="S93" s="107"/>
      <c r="T93" s="107"/>
      <c r="U93" s="107"/>
      <c r="V93" s="107"/>
    </row>
    <row r="94" spans="1:22" s="12" customFormat="1" ht="19.149999999999999" customHeight="1" x14ac:dyDescent="0.2">
      <c r="A94" s="107"/>
      <c r="B94" s="107"/>
      <c r="C94" s="107"/>
      <c r="D94" s="107"/>
      <c r="E94" s="14"/>
      <c r="F94" s="24"/>
      <c r="G94" s="25"/>
      <c r="H94" s="17"/>
      <c r="I94" s="18"/>
      <c r="J94" s="19"/>
      <c r="K94" s="14"/>
      <c r="L94" s="19"/>
      <c r="M94" s="20"/>
      <c r="N94" s="21"/>
      <c r="O94" s="107"/>
      <c r="P94" s="22"/>
      <c r="Q94" s="23"/>
      <c r="R94" s="107"/>
      <c r="S94" s="107"/>
      <c r="T94" s="107"/>
      <c r="U94" s="107"/>
      <c r="V94" s="107"/>
    </row>
    <row r="95" spans="1:22" s="12" customFormat="1" ht="19.149999999999999" customHeight="1" x14ac:dyDescent="0.2">
      <c r="A95" s="107"/>
      <c r="B95" s="107"/>
      <c r="C95" s="107"/>
      <c r="D95" s="107"/>
      <c r="E95" s="14"/>
      <c r="F95" s="24"/>
      <c r="G95" s="25"/>
      <c r="H95" s="17"/>
      <c r="I95" s="18"/>
      <c r="J95" s="19"/>
      <c r="K95" s="14"/>
      <c r="L95" s="19"/>
      <c r="M95" s="20"/>
      <c r="N95" s="21"/>
      <c r="O95" s="107"/>
      <c r="P95" s="22"/>
      <c r="Q95" s="23"/>
      <c r="R95" s="107"/>
      <c r="S95" s="107"/>
      <c r="T95" s="107"/>
      <c r="U95" s="107"/>
      <c r="V95" s="107"/>
    </row>
    <row r="96" spans="1:22" s="12" customFormat="1" ht="19.149999999999999" customHeight="1" x14ac:dyDescent="0.2">
      <c r="A96" s="107"/>
      <c r="B96" s="107"/>
      <c r="C96" s="107"/>
      <c r="D96" s="107"/>
      <c r="E96" s="14"/>
      <c r="F96" s="24"/>
      <c r="G96" s="25"/>
      <c r="H96" s="17"/>
      <c r="I96" s="18"/>
      <c r="J96" s="19"/>
      <c r="K96" s="14"/>
      <c r="L96" s="19"/>
      <c r="M96" s="20"/>
      <c r="N96" s="21"/>
      <c r="O96" s="107"/>
      <c r="P96" s="22"/>
      <c r="Q96" s="23"/>
      <c r="R96" s="107"/>
      <c r="S96" s="107"/>
      <c r="T96" s="107"/>
      <c r="U96" s="107"/>
      <c r="V96" s="107"/>
    </row>
    <row r="97" spans="1:22" s="12" customFormat="1" ht="19.149999999999999" customHeight="1" x14ac:dyDescent="0.2">
      <c r="A97" s="107"/>
      <c r="B97" s="107"/>
      <c r="C97" s="107"/>
      <c r="D97" s="107"/>
      <c r="E97" s="14"/>
      <c r="F97" s="24"/>
      <c r="G97" s="25"/>
      <c r="H97" s="17"/>
      <c r="I97" s="18"/>
      <c r="J97" s="19"/>
      <c r="K97" s="14"/>
      <c r="L97" s="19"/>
      <c r="M97" s="20"/>
      <c r="N97" s="21"/>
      <c r="O97" s="107"/>
      <c r="P97" s="22"/>
      <c r="Q97" s="23"/>
      <c r="R97" s="107"/>
      <c r="S97" s="107"/>
      <c r="T97" s="107"/>
      <c r="U97" s="107"/>
      <c r="V97" s="107"/>
    </row>
    <row r="98" spans="1:22" s="12" customFormat="1" ht="19.149999999999999" customHeight="1" x14ac:dyDescent="0.2">
      <c r="A98" s="107"/>
      <c r="B98" s="107"/>
      <c r="C98" s="107"/>
      <c r="D98" s="107"/>
      <c r="E98" s="14"/>
      <c r="F98" s="24"/>
      <c r="G98" s="25"/>
      <c r="H98" s="17"/>
      <c r="I98" s="18"/>
      <c r="J98" s="19"/>
      <c r="K98" s="14"/>
      <c r="L98" s="19"/>
      <c r="M98" s="20"/>
      <c r="N98" s="21"/>
      <c r="O98" s="107"/>
      <c r="P98" s="22"/>
      <c r="Q98" s="23"/>
      <c r="R98" s="107"/>
      <c r="S98" s="107"/>
      <c r="T98" s="107"/>
      <c r="U98" s="107"/>
      <c r="V98" s="107"/>
    </row>
    <row r="99" spans="1:22" s="12" customFormat="1" ht="19.149999999999999" customHeight="1" x14ac:dyDescent="0.2">
      <c r="A99" s="107"/>
      <c r="B99" s="107"/>
      <c r="C99" s="107"/>
      <c r="D99" s="107"/>
      <c r="E99" s="14"/>
      <c r="F99" s="24"/>
      <c r="G99" s="25"/>
      <c r="H99" s="17"/>
      <c r="I99" s="18"/>
      <c r="J99" s="19"/>
      <c r="K99" s="14"/>
      <c r="L99" s="19"/>
      <c r="M99" s="20"/>
      <c r="N99" s="21"/>
      <c r="O99" s="107"/>
      <c r="P99" s="22"/>
      <c r="Q99" s="23"/>
      <c r="R99" s="107"/>
      <c r="S99" s="107"/>
      <c r="T99" s="107"/>
      <c r="U99" s="107"/>
      <c r="V99" s="107"/>
    </row>
    <row r="100" spans="1:22" s="12" customFormat="1" ht="19.149999999999999" customHeight="1" x14ac:dyDescent="0.2">
      <c r="A100" s="107"/>
      <c r="B100" s="107"/>
      <c r="C100" s="107"/>
      <c r="D100" s="107"/>
      <c r="E100" s="14"/>
      <c r="F100" s="24"/>
      <c r="G100" s="25"/>
      <c r="H100" s="17"/>
      <c r="I100" s="18"/>
      <c r="J100" s="19"/>
      <c r="K100" s="14"/>
      <c r="L100" s="19"/>
      <c r="M100" s="20"/>
      <c r="N100" s="21"/>
      <c r="O100" s="107"/>
      <c r="P100" s="22"/>
      <c r="Q100" s="23"/>
      <c r="R100" s="107"/>
      <c r="S100" s="107"/>
      <c r="T100" s="107"/>
      <c r="U100" s="107"/>
      <c r="V100" s="107"/>
    </row>
    <row r="101" spans="1:22" s="12" customFormat="1" ht="19.149999999999999" customHeight="1" x14ac:dyDescent="0.2">
      <c r="A101" s="107"/>
      <c r="B101" s="107"/>
      <c r="C101" s="107"/>
      <c r="D101" s="107"/>
      <c r="E101" s="14"/>
      <c r="F101" s="24"/>
      <c r="G101" s="25"/>
      <c r="H101" s="17"/>
      <c r="I101" s="18"/>
      <c r="J101" s="19"/>
      <c r="K101" s="14"/>
      <c r="L101" s="19"/>
      <c r="M101" s="20"/>
      <c r="N101" s="21"/>
      <c r="O101" s="107"/>
      <c r="P101" s="22"/>
      <c r="Q101" s="23"/>
      <c r="R101" s="107"/>
      <c r="S101" s="107"/>
      <c r="T101" s="107"/>
      <c r="U101" s="107"/>
      <c r="V101" s="107"/>
    </row>
    <row r="102" spans="1:22" s="12" customFormat="1" ht="19.149999999999999" customHeight="1" x14ac:dyDescent="0.2">
      <c r="A102" s="107"/>
      <c r="B102" s="107"/>
      <c r="C102" s="107"/>
      <c r="D102" s="107"/>
      <c r="E102" s="14"/>
      <c r="F102" s="24"/>
      <c r="G102" s="25"/>
      <c r="H102" s="17"/>
      <c r="I102" s="18"/>
      <c r="J102" s="19"/>
      <c r="K102" s="14"/>
      <c r="L102" s="19"/>
      <c r="M102" s="20"/>
      <c r="N102" s="21"/>
      <c r="O102" s="107"/>
      <c r="P102" s="22"/>
      <c r="Q102" s="23"/>
      <c r="R102" s="107"/>
      <c r="S102" s="107"/>
      <c r="T102" s="107"/>
      <c r="U102" s="107"/>
      <c r="V102" s="107"/>
    </row>
    <row r="103" spans="1:22" s="12" customFormat="1" ht="19.149999999999999" customHeight="1" x14ac:dyDescent="0.2">
      <c r="A103" s="107"/>
      <c r="B103" s="107"/>
      <c r="C103" s="107"/>
      <c r="D103" s="107"/>
      <c r="E103" s="14"/>
      <c r="F103" s="24"/>
      <c r="G103" s="25"/>
      <c r="H103" s="17"/>
      <c r="I103" s="18"/>
      <c r="J103" s="19"/>
      <c r="K103" s="14"/>
      <c r="L103" s="19"/>
      <c r="M103" s="20"/>
      <c r="N103" s="21"/>
      <c r="O103" s="107"/>
      <c r="P103" s="22"/>
      <c r="Q103" s="23"/>
      <c r="R103" s="107"/>
      <c r="S103" s="107"/>
      <c r="T103" s="107"/>
      <c r="U103" s="107"/>
      <c r="V103" s="107"/>
    </row>
    <row r="104" spans="1:22" s="12" customFormat="1" ht="19.149999999999999" customHeight="1" x14ac:dyDescent="0.2">
      <c r="A104" s="107"/>
      <c r="B104" s="107"/>
      <c r="C104" s="107"/>
      <c r="D104" s="107"/>
      <c r="E104" s="14"/>
      <c r="F104" s="24"/>
      <c r="G104" s="25"/>
      <c r="H104" s="17"/>
      <c r="I104" s="18"/>
      <c r="J104" s="19"/>
      <c r="K104" s="14"/>
      <c r="L104" s="19"/>
      <c r="M104" s="20"/>
      <c r="N104" s="21"/>
      <c r="O104" s="107"/>
      <c r="P104" s="22"/>
      <c r="Q104" s="23"/>
      <c r="R104" s="107"/>
      <c r="S104" s="107"/>
      <c r="T104" s="107"/>
      <c r="U104" s="107"/>
      <c r="V104" s="107"/>
    </row>
    <row r="105" spans="1:22" s="12" customFormat="1" ht="19.149999999999999" customHeight="1" x14ac:dyDescent="0.2">
      <c r="A105" s="107"/>
      <c r="B105" s="107"/>
      <c r="C105" s="107"/>
      <c r="D105" s="107"/>
      <c r="E105" s="14"/>
      <c r="F105" s="24"/>
      <c r="G105" s="25"/>
      <c r="H105" s="17"/>
      <c r="I105" s="18"/>
      <c r="J105" s="19"/>
      <c r="K105" s="14"/>
      <c r="L105" s="19"/>
      <c r="M105" s="20"/>
      <c r="N105" s="21"/>
      <c r="O105" s="107"/>
      <c r="P105" s="22"/>
      <c r="Q105" s="23"/>
      <c r="R105" s="107"/>
      <c r="S105" s="107"/>
      <c r="T105" s="107"/>
      <c r="U105" s="107"/>
      <c r="V105" s="107"/>
    </row>
    <row r="106" spans="1:22" s="12" customFormat="1" ht="19.149999999999999" customHeight="1" x14ac:dyDescent="0.2">
      <c r="A106" s="107"/>
      <c r="B106" s="107"/>
      <c r="C106" s="107"/>
      <c r="D106" s="107"/>
      <c r="E106" s="14"/>
      <c r="F106" s="24"/>
      <c r="G106" s="25"/>
      <c r="H106" s="17"/>
      <c r="I106" s="18"/>
      <c r="J106" s="19"/>
      <c r="K106" s="14"/>
      <c r="L106" s="19"/>
      <c r="M106" s="20"/>
      <c r="N106" s="21"/>
      <c r="O106" s="107"/>
      <c r="P106" s="22"/>
      <c r="Q106" s="23"/>
      <c r="R106" s="107"/>
      <c r="S106" s="107"/>
      <c r="T106" s="107"/>
      <c r="U106" s="107"/>
      <c r="V106" s="107"/>
    </row>
    <row r="107" spans="1:22" s="12" customFormat="1" ht="19.149999999999999" customHeight="1" x14ac:dyDescent="0.2">
      <c r="A107" s="107"/>
      <c r="B107" s="107"/>
      <c r="C107" s="107"/>
      <c r="D107" s="107"/>
      <c r="E107" s="14"/>
      <c r="F107" s="24"/>
      <c r="G107" s="25"/>
      <c r="H107" s="17"/>
      <c r="I107" s="18"/>
      <c r="J107" s="19"/>
      <c r="K107" s="14"/>
      <c r="L107" s="19"/>
      <c r="M107" s="20"/>
      <c r="N107" s="21"/>
      <c r="O107" s="107"/>
      <c r="P107" s="22"/>
      <c r="Q107" s="23"/>
      <c r="R107" s="107"/>
      <c r="S107" s="107"/>
      <c r="T107" s="107"/>
      <c r="U107" s="107"/>
      <c r="V107" s="107"/>
    </row>
    <row r="108" spans="1:22" s="12" customFormat="1" ht="19.149999999999999" customHeight="1" x14ac:dyDescent="0.2">
      <c r="A108" s="107"/>
      <c r="B108" s="107"/>
      <c r="C108" s="107"/>
      <c r="D108" s="107"/>
      <c r="E108" s="14"/>
      <c r="F108" s="24"/>
      <c r="G108" s="25"/>
      <c r="H108" s="17"/>
      <c r="I108" s="18"/>
      <c r="J108" s="19"/>
      <c r="K108" s="14"/>
      <c r="L108" s="19"/>
      <c r="M108" s="20"/>
      <c r="N108" s="21"/>
      <c r="O108" s="107"/>
      <c r="P108" s="22"/>
      <c r="Q108" s="23"/>
      <c r="R108" s="107"/>
      <c r="S108" s="107"/>
      <c r="T108" s="107"/>
      <c r="U108" s="107"/>
      <c r="V108" s="107"/>
    </row>
    <row r="109" spans="1:22" s="12" customFormat="1" ht="19.149999999999999" customHeight="1" x14ac:dyDescent="0.2">
      <c r="A109" s="107"/>
      <c r="B109" s="107"/>
      <c r="C109" s="107"/>
      <c r="D109" s="107"/>
      <c r="E109" s="14"/>
      <c r="F109" s="24"/>
      <c r="G109" s="25"/>
      <c r="H109" s="17"/>
      <c r="I109" s="18"/>
      <c r="J109" s="19"/>
      <c r="K109" s="14"/>
      <c r="L109" s="19"/>
      <c r="M109" s="20"/>
      <c r="N109" s="21"/>
      <c r="O109" s="107"/>
      <c r="P109" s="22"/>
      <c r="Q109" s="23"/>
      <c r="R109" s="107"/>
      <c r="S109" s="107"/>
      <c r="T109" s="107"/>
      <c r="U109" s="107"/>
      <c r="V109" s="107"/>
    </row>
    <row r="110" spans="1:22" s="12" customFormat="1" ht="19.149999999999999" customHeight="1" x14ac:dyDescent="0.2">
      <c r="A110" s="107"/>
      <c r="B110" s="107"/>
      <c r="C110" s="107"/>
      <c r="D110" s="107"/>
      <c r="E110" s="14"/>
      <c r="F110" s="24"/>
      <c r="G110" s="25"/>
      <c r="H110" s="17"/>
      <c r="I110" s="18"/>
      <c r="J110" s="19"/>
      <c r="K110" s="14"/>
      <c r="L110" s="19"/>
      <c r="M110" s="20"/>
      <c r="N110" s="21"/>
      <c r="O110" s="107"/>
      <c r="P110" s="22"/>
      <c r="Q110" s="23"/>
      <c r="R110" s="107"/>
      <c r="S110" s="107"/>
      <c r="T110" s="107"/>
      <c r="U110" s="107"/>
      <c r="V110" s="107"/>
    </row>
    <row r="111" spans="1:22" s="12" customFormat="1" ht="19.149999999999999" customHeight="1" x14ac:dyDescent="0.2">
      <c r="A111" s="107"/>
      <c r="B111" s="107"/>
      <c r="C111" s="107"/>
      <c r="D111" s="107"/>
      <c r="E111" s="14"/>
      <c r="F111" s="24"/>
      <c r="G111" s="25"/>
      <c r="H111" s="17"/>
      <c r="I111" s="18"/>
      <c r="J111" s="19"/>
      <c r="K111" s="14"/>
      <c r="L111" s="19"/>
      <c r="M111" s="20"/>
      <c r="N111" s="21"/>
      <c r="O111" s="107"/>
      <c r="P111" s="22"/>
      <c r="Q111" s="23"/>
      <c r="R111" s="107"/>
      <c r="S111" s="107"/>
      <c r="T111" s="107"/>
      <c r="U111" s="107"/>
      <c r="V111" s="107"/>
    </row>
    <row r="112" spans="1:22" s="12" customFormat="1" ht="19.149999999999999" customHeight="1" x14ac:dyDescent="0.2">
      <c r="A112" s="107"/>
      <c r="B112" s="28"/>
      <c r="C112" s="107"/>
      <c r="D112" s="107"/>
      <c r="E112" s="14"/>
      <c r="F112" s="24"/>
      <c r="G112" s="25"/>
      <c r="H112" s="17"/>
      <c r="I112" s="18"/>
      <c r="J112" s="19"/>
      <c r="K112" s="14"/>
      <c r="L112" s="19"/>
      <c r="M112" s="20"/>
      <c r="N112" s="21"/>
      <c r="O112" s="107"/>
      <c r="P112" s="22"/>
      <c r="Q112" s="23"/>
      <c r="R112" s="107"/>
      <c r="S112" s="107"/>
      <c r="T112" s="107"/>
      <c r="U112" s="107"/>
      <c r="V112" s="107"/>
    </row>
    <row r="113" spans="1:22" s="12" customFormat="1" ht="19.149999999999999" customHeight="1" x14ac:dyDescent="0.2">
      <c r="A113" s="107"/>
      <c r="B113" s="107"/>
      <c r="C113" s="107"/>
      <c r="D113" s="107"/>
      <c r="E113" s="14"/>
      <c r="F113" s="24"/>
      <c r="G113" s="25"/>
      <c r="H113" s="17"/>
      <c r="I113" s="18"/>
      <c r="J113" s="19"/>
      <c r="K113" s="14"/>
      <c r="L113" s="19"/>
      <c r="M113" s="20"/>
      <c r="N113" s="21"/>
      <c r="O113" s="107"/>
      <c r="P113" s="22"/>
      <c r="Q113" s="23"/>
      <c r="R113" s="107"/>
      <c r="S113" s="107"/>
      <c r="T113" s="107"/>
      <c r="U113" s="107"/>
      <c r="V113" s="107"/>
    </row>
    <row r="114" spans="1:22" s="12" customFormat="1" ht="19.149999999999999" customHeight="1" x14ac:dyDescent="0.2">
      <c r="A114" s="107"/>
      <c r="B114" s="107"/>
      <c r="C114" s="107"/>
      <c r="D114" s="107"/>
      <c r="E114" s="14"/>
      <c r="F114" s="24"/>
      <c r="G114" s="25"/>
      <c r="H114" s="17"/>
      <c r="I114" s="18"/>
      <c r="J114" s="19"/>
      <c r="K114" s="14"/>
      <c r="L114" s="19"/>
      <c r="M114" s="20"/>
      <c r="N114" s="21"/>
      <c r="O114" s="107"/>
      <c r="P114" s="22"/>
      <c r="Q114" s="23"/>
      <c r="R114" s="107"/>
      <c r="S114" s="107"/>
      <c r="T114" s="107"/>
      <c r="U114" s="107"/>
      <c r="V114" s="107"/>
    </row>
    <row r="115" spans="1:22" s="12" customFormat="1" ht="19.149999999999999" customHeight="1" x14ac:dyDescent="0.2">
      <c r="A115" s="107"/>
      <c r="B115" s="107"/>
      <c r="C115" s="107"/>
      <c r="D115" s="107"/>
      <c r="E115" s="14"/>
      <c r="F115" s="24"/>
      <c r="G115" s="25"/>
      <c r="H115" s="17"/>
      <c r="I115" s="18"/>
      <c r="J115" s="19"/>
      <c r="K115" s="14"/>
      <c r="L115" s="19"/>
      <c r="M115" s="20"/>
      <c r="N115" s="21"/>
      <c r="O115" s="107"/>
      <c r="P115" s="22"/>
      <c r="Q115" s="23"/>
      <c r="R115" s="107"/>
      <c r="S115" s="107"/>
      <c r="T115" s="107"/>
      <c r="U115" s="107"/>
      <c r="V115" s="107"/>
    </row>
    <row r="116" spans="1:22" s="12" customFormat="1" ht="19.149999999999999" customHeight="1" x14ac:dyDescent="0.2">
      <c r="A116" s="107"/>
      <c r="B116" s="107"/>
      <c r="C116" s="107"/>
      <c r="D116" s="107"/>
      <c r="E116" s="14"/>
      <c r="F116" s="24"/>
      <c r="G116" s="25"/>
      <c r="H116" s="17"/>
      <c r="I116" s="18"/>
      <c r="J116" s="19"/>
      <c r="K116" s="14"/>
      <c r="L116" s="19"/>
      <c r="M116" s="20"/>
      <c r="N116" s="21"/>
      <c r="O116" s="107"/>
      <c r="P116" s="22"/>
      <c r="Q116" s="23"/>
      <c r="R116" s="107"/>
      <c r="S116" s="107"/>
      <c r="T116" s="107"/>
      <c r="U116" s="107"/>
      <c r="V116" s="107"/>
    </row>
    <row r="117" spans="1:22" s="12" customFormat="1" ht="19.149999999999999" customHeight="1" x14ac:dyDescent="0.2">
      <c r="A117" s="107"/>
      <c r="B117" s="107"/>
      <c r="C117" s="30"/>
      <c r="D117" s="107"/>
      <c r="E117" s="14"/>
      <c r="F117" s="24"/>
      <c r="G117" s="25"/>
      <c r="H117" s="17"/>
      <c r="I117" s="18"/>
      <c r="J117" s="19"/>
      <c r="K117" s="14"/>
      <c r="L117" s="19"/>
      <c r="M117" s="20"/>
      <c r="N117" s="21"/>
      <c r="O117" s="107"/>
      <c r="P117" s="22"/>
      <c r="Q117" s="23"/>
      <c r="R117" s="107"/>
      <c r="S117" s="107"/>
      <c r="T117" s="107"/>
      <c r="U117" s="107"/>
      <c r="V117" s="107"/>
    </row>
    <row r="118" spans="1:22" s="12" customFormat="1" ht="19.149999999999999" customHeight="1" x14ac:dyDescent="0.2">
      <c r="A118" s="107"/>
      <c r="B118" s="107"/>
      <c r="C118" s="107"/>
      <c r="D118" s="107"/>
      <c r="E118" s="14"/>
      <c r="F118" s="24"/>
      <c r="G118" s="25"/>
      <c r="H118" s="17"/>
      <c r="I118" s="18"/>
      <c r="J118" s="19"/>
      <c r="K118" s="14"/>
      <c r="L118" s="19"/>
      <c r="M118" s="20"/>
      <c r="N118" s="21"/>
      <c r="O118" s="107"/>
      <c r="P118" s="22"/>
      <c r="Q118" s="23"/>
      <c r="R118" s="107"/>
      <c r="S118" s="107"/>
      <c r="T118" s="107"/>
      <c r="U118" s="107"/>
      <c r="V118" s="107"/>
    </row>
    <row r="119" spans="1:22" s="12" customFormat="1" ht="19.149999999999999" customHeight="1" x14ac:dyDescent="0.2">
      <c r="A119" s="107"/>
      <c r="B119" s="107"/>
      <c r="C119" s="107"/>
      <c r="D119" s="107"/>
      <c r="E119" s="14"/>
      <c r="F119" s="24"/>
      <c r="G119" s="25"/>
      <c r="H119" s="17"/>
      <c r="I119" s="18"/>
      <c r="J119" s="19"/>
      <c r="K119" s="14"/>
      <c r="L119" s="19"/>
      <c r="M119" s="20"/>
      <c r="N119" s="21"/>
      <c r="O119" s="107"/>
      <c r="P119" s="22"/>
      <c r="Q119" s="23"/>
      <c r="R119" s="107"/>
      <c r="S119" s="107"/>
      <c r="T119" s="107"/>
      <c r="U119" s="107"/>
      <c r="V119" s="107"/>
    </row>
    <row r="120" spans="1:22" s="12" customFormat="1" ht="19.149999999999999" customHeight="1" x14ac:dyDescent="0.2">
      <c r="A120" s="107"/>
      <c r="B120" s="107"/>
      <c r="C120" s="107"/>
      <c r="D120" s="107"/>
      <c r="E120" s="14"/>
      <c r="F120" s="24"/>
      <c r="G120" s="25"/>
      <c r="H120" s="17"/>
      <c r="I120" s="18"/>
      <c r="J120" s="19"/>
      <c r="K120" s="14"/>
      <c r="L120" s="19"/>
      <c r="M120" s="20"/>
      <c r="N120" s="21"/>
      <c r="O120" s="107"/>
      <c r="P120" s="22"/>
      <c r="Q120" s="23"/>
      <c r="R120" s="107"/>
      <c r="S120" s="107"/>
      <c r="T120" s="107"/>
      <c r="U120" s="107"/>
      <c r="V120" s="107"/>
    </row>
    <row r="121" spans="1:22" s="12" customFormat="1" ht="19.149999999999999" customHeight="1" x14ac:dyDescent="0.2">
      <c r="A121" s="107"/>
      <c r="B121" s="107"/>
      <c r="C121" s="107"/>
      <c r="D121" s="107"/>
      <c r="E121" s="14"/>
      <c r="F121" s="24"/>
      <c r="G121" s="25"/>
      <c r="H121" s="17"/>
      <c r="I121" s="18"/>
      <c r="J121" s="19"/>
      <c r="K121" s="14"/>
      <c r="L121" s="19"/>
      <c r="M121" s="20"/>
      <c r="N121" s="21"/>
      <c r="O121" s="107"/>
      <c r="P121" s="22"/>
      <c r="Q121" s="23"/>
      <c r="R121" s="107"/>
      <c r="S121" s="107"/>
      <c r="T121" s="107"/>
      <c r="U121" s="107"/>
      <c r="V121" s="107"/>
    </row>
    <row r="122" spans="1:22" s="12" customFormat="1" ht="19.149999999999999" customHeight="1" x14ac:dyDescent="0.2">
      <c r="A122" s="107"/>
      <c r="B122" s="107"/>
      <c r="C122" s="107"/>
      <c r="D122" s="107"/>
      <c r="E122" s="14"/>
      <c r="F122" s="24"/>
      <c r="G122" s="25"/>
      <c r="H122" s="17"/>
      <c r="I122" s="18"/>
      <c r="J122" s="19"/>
      <c r="K122" s="14"/>
      <c r="L122" s="19"/>
      <c r="M122" s="20"/>
      <c r="N122" s="21"/>
      <c r="O122" s="107"/>
      <c r="P122" s="22"/>
      <c r="Q122" s="23"/>
      <c r="R122" s="107"/>
      <c r="S122" s="107"/>
      <c r="T122" s="107"/>
      <c r="U122" s="107"/>
      <c r="V122" s="107"/>
    </row>
    <row r="123" spans="1:22" s="12" customFormat="1" ht="19.149999999999999" customHeight="1" x14ac:dyDescent="0.2">
      <c r="A123" s="107"/>
      <c r="B123" s="107"/>
      <c r="C123" s="107"/>
      <c r="D123" s="107"/>
      <c r="E123" s="14"/>
      <c r="F123" s="24"/>
      <c r="G123" s="25"/>
      <c r="H123" s="17"/>
      <c r="I123" s="18"/>
      <c r="J123" s="19"/>
      <c r="K123" s="14"/>
      <c r="L123" s="19"/>
      <c r="M123" s="20"/>
      <c r="N123" s="21"/>
      <c r="O123" s="107"/>
      <c r="P123" s="22"/>
      <c r="Q123" s="23"/>
      <c r="R123" s="107"/>
      <c r="S123" s="107"/>
      <c r="T123" s="107"/>
      <c r="U123" s="107"/>
      <c r="V123" s="107"/>
    </row>
    <row r="124" spans="1:22" s="12" customFormat="1" ht="19.149999999999999" customHeight="1" x14ac:dyDescent="0.2">
      <c r="A124" s="107"/>
      <c r="B124" s="107"/>
      <c r="C124" s="107"/>
      <c r="D124" s="107"/>
      <c r="E124" s="14"/>
      <c r="F124" s="24"/>
      <c r="G124" s="25"/>
      <c r="H124" s="17"/>
      <c r="I124" s="18"/>
      <c r="J124" s="19"/>
      <c r="K124" s="14"/>
      <c r="L124" s="19"/>
      <c r="M124" s="20"/>
      <c r="N124" s="21"/>
      <c r="O124" s="107"/>
      <c r="P124" s="22"/>
      <c r="Q124" s="23"/>
      <c r="R124" s="107"/>
      <c r="S124" s="107"/>
      <c r="T124" s="107"/>
      <c r="U124" s="107"/>
      <c r="V124" s="107"/>
    </row>
    <row r="125" spans="1:22" s="12" customFormat="1" ht="19.149999999999999" customHeight="1" x14ac:dyDescent="0.2">
      <c r="A125" s="107"/>
      <c r="B125" s="107"/>
      <c r="C125" s="107"/>
      <c r="D125" s="107"/>
      <c r="E125" s="14"/>
      <c r="F125" s="24"/>
      <c r="G125" s="25"/>
      <c r="H125" s="17"/>
      <c r="I125" s="18"/>
      <c r="J125" s="19"/>
      <c r="K125" s="14"/>
      <c r="L125" s="19"/>
      <c r="M125" s="20"/>
      <c r="N125" s="21"/>
      <c r="O125" s="107"/>
      <c r="P125" s="22"/>
      <c r="Q125" s="23"/>
      <c r="R125" s="107"/>
      <c r="S125" s="107"/>
      <c r="T125" s="107"/>
      <c r="U125" s="107"/>
      <c r="V125" s="107"/>
    </row>
    <row r="126" spans="1:22" s="12" customFormat="1" ht="19.149999999999999" customHeight="1" x14ac:dyDescent="0.2">
      <c r="A126" s="107"/>
      <c r="B126" s="107"/>
      <c r="C126" s="107"/>
      <c r="D126" s="107"/>
      <c r="E126" s="14"/>
      <c r="F126" s="24"/>
      <c r="G126" s="25"/>
      <c r="H126" s="17"/>
      <c r="I126" s="18"/>
      <c r="J126" s="19"/>
      <c r="K126" s="14"/>
      <c r="L126" s="19"/>
      <c r="M126" s="20"/>
      <c r="N126" s="21"/>
      <c r="O126" s="107"/>
      <c r="P126" s="22"/>
      <c r="Q126" s="23"/>
      <c r="R126" s="107"/>
      <c r="S126" s="107"/>
      <c r="T126" s="107"/>
      <c r="U126" s="107"/>
      <c r="V126" s="107"/>
    </row>
    <row r="127" spans="1:22" s="12" customFormat="1" ht="19.149999999999999" customHeight="1" x14ac:dyDescent="0.2">
      <c r="A127" s="107"/>
      <c r="B127" s="107"/>
      <c r="C127" s="107"/>
      <c r="D127" s="107"/>
      <c r="E127" s="14"/>
      <c r="F127" s="24"/>
      <c r="G127" s="25"/>
      <c r="H127" s="17"/>
      <c r="I127" s="18"/>
      <c r="J127" s="19"/>
      <c r="K127" s="14"/>
      <c r="L127" s="19"/>
      <c r="M127" s="20"/>
      <c r="N127" s="21"/>
      <c r="O127" s="107"/>
      <c r="P127" s="20"/>
      <c r="Q127" s="21"/>
      <c r="R127" s="107"/>
      <c r="S127" s="107"/>
      <c r="T127" s="107"/>
      <c r="U127" s="107"/>
      <c r="V127" s="107"/>
    </row>
    <row r="128" spans="1:22" s="12" customFormat="1" ht="19.149999999999999" customHeight="1" x14ac:dyDescent="0.2">
      <c r="A128" s="107"/>
      <c r="B128" s="107"/>
      <c r="C128" s="107"/>
      <c r="D128" s="107"/>
      <c r="E128" s="14"/>
      <c r="F128" s="24"/>
      <c r="G128" s="25"/>
      <c r="H128" s="17"/>
      <c r="I128" s="18"/>
      <c r="J128" s="19"/>
      <c r="K128" s="14"/>
      <c r="L128" s="19"/>
      <c r="M128" s="20"/>
      <c r="N128" s="21"/>
      <c r="O128" s="107"/>
      <c r="P128" s="20"/>
      <c r="Q128" s="21"/>
      <c r="R128" s="107"/>
      <c r="S128" s="107"/>
      <c r="T128" s="107"/>
      <c r="U128" s="107"/>
      <c r="V128" s="107"/>
    </row>
    <row r="129" spans="1:22" s="12" customFormat="1" ht="19.149999999999999" customHeight="1" x14ac:dyDescent="0.2">
      <c r="A129" s="107"/>
      <c r="B129" s="107"/>
      <c r="C129" s="107"/>
      <c r="D129" s="107"/>
      <c r="E129" s="14"/>
      <c r="F129" s="24"/>
      <c r="G129" s="25"/>
      <c r="H129" s="17"/>
      <c r="I129" s="18"/>
      <c r="J129" s="19"/>
      <c r="K129" s="14"/>
      <c r="L129" s="19"/>
      <c r="M129" s="20"/>
      <c r="N129" s="21"/>
      <c r="O129" s="107"/>
      <c r="P129" s="20"/>
      <c r="Q129" s="21"/>
      <c r="R129" s="107"/>
      <c r="S129" s="107"/>
      <c r="T129" s="107"/>
      <c r="U129" s="107"/>
      <c r="V129" s="107"/>
    </row>
    <row r="130" spans="1:22" s="12" customFormat="1" ht="19.149999999999999" customHeight="1" x14ac:dyDescent="0.2">
      <c r="A130" s="107"/>
      <c r="B130" s="107"/>
      <c r="C130" s="107"/>
      <c r="D130" s="107"/>
      <c r="E130" s="14"/>
      <c r="F130" s="24"/>
      <c r="G130" s="25"/>
      <c r="H130" s="17"/>
      <c r="I130" s="18"/>
      <c r="J130" s="19"/>
      <c r="K130" s="14"/>
      <c r="L130" s="19"/>
      <c r="M130" s="20"/>
      <c r="N130" s="21"/>
      <c r="O130" s="107"/>
      <c r="P130" s="20"/>
      <c r="Q130" s="21"/>
      <c r="R130" s="107"/>
      <c r="S130" s="107"/>
      <c r="T130" s="107"/>
      <c r="U130" s="107"/>
      <c r="V130" s="107"/>
    </row>
    <row r="131" spans="1:22" s="12" customFormat="1" ht="19.149999999999999" customHeight="1" x14ac:dyDescent="0.2">
      <c r="A131" s="107"/>
      <c r="B131" s="107"/>
      <c r="C131" s="107"/>
      <c r="D131" s="107"/>
      <c r="E131" s="14"/>
      <c r="F131" s="24"/>
      <c r="G131" s="25"/>
      <c r="H131" s="17"/>
      <c r="I131" s="18"/>
      <c r="J131" s="19"/>
      <c r="K131" s="14"/>
      <c r="L131" s="19"/>
      <c r="M131" s="20"/>
      <c r="N131" s="21"/>
      <c r="O131" s="107"/>
      <c r="P131" s="22"/>
      <c r="Q131" s="23"/>
      <c r="R131" s="107"/>
      <c r="S131" s="107"/>
      <c r="T131" s="107"/>
      <c r="U131" s="107"/>
      <c r="V131" s="107"/>
    </row>
    <row r="132" spans="1:22" s="12" customFormat="1" ht="19.149999999999999" customHeight="1" x14ac:dyDescent="0.2">
      <c r="A132" s="107"/>
      <c r="B132" s="107"/>
      <c r="C132" s="107"/>
      <c r="D132" s="107"/>
      <c r="E132" s="14"/>
      <c r="F132" s="24"/>
      <c r="G132" s="25"/>
      <c r="H132" s="17"/>
      <c r="I132" s="18"/>
      <c r="J132" s="19"/>
      <c r="K132" s="14"/>
      <c r="L132" s="19"/>
      <c r="M132" s="20"/>
      <c r="N132" s="21"/>
      <c r="O132" s="107"/>
      <c r="P132" s="22"/>
      <c r="Q132" s="23"/>
      <c r="R132" s="107"/>
      <c r="S132" s="107"/>
      <c r="T132" s="107"/>
      <c r="U132" s="107"/>
      <c r="V132" s="107"/>
    </row>
    <row r="133" spans="1:22" s="12" customFormat="1" x14ac:dyDescent="0.2">
      <c r="A133" s="107"/>
      <c r="B133" s="107"/>
      <c r="C133" s="107"/>
      <c r="D133" s="107"/>
      <c r="E133" s="31"/>
      <c r="F133" s="24"/>
      <c r="G133" s="32"/>
      <c r="H133" s="17"/>
      <c r="I133" s="18"/>
      <c r="J133" s="19"/>
      <c r="K133" s="33"/>
      <c r="L133" s="19"/>
      <c r="M133" s="20"/>
      <c r="N133" s="34"/>
      <c r="O133" s="107"/>
      <c r="P133" s="22"/>
      <c r="Q133" s="23"/>
      <c r="R133" s="107"/>
      <c r="S133" s="107"/>
      <c r="T133" s="107"/>
      <c r="U133" s="107"/>
      <c r="V133" s="107"/>
    </row>
    <row r="134" spans="1:22" s="12" customFormat="1" x14ac:dyDescent="0.2">
      <c r="A134" s="107"/>
      <c r="B134" s="28"/>
      <c r="C134" s="107"/>
      <c r="D134" s="107"/>
      <c r="E134" s="35"/>
      <c r="F134" s="36"/>
      <c r="G134" s="37"/>
      <c r="H134" s="38"/>
      <c r="I134" s="39"/>
      <c r="J134" s="39"/>
      <c r="K134" s="35"/>
      <c r="L134" s="107"/>
      <c r="M134" s="40"/>
      <c r="O134" s="107"/>
      <c r="P134" s="22"/>
      <c r="Q134" s="23"/>
      <c r="R134" s="107"/>
      <c r="S134" s="107"/>
      <c r="T134" s="107"/>
      <c r="U134" s="107"/>
      <c r="V134" s="107"/>
    </row>
    <row r="135" spans="1:22" s="12" customFormat="1" x14ac:dyDescent="0.2">
      <c r="A135" s="107"/>
      <c r="B135" s="107"/>
      <c r="C135" s="107"/>
      <c r="D135" s="107"/>
      <c r="E135" s="35"/>
      <c r="F135" s="36"/>
      <c r="G135" s="37"/>
      <c r="H135" s="38"/>
      <c r="I135" s="39"/>
      <c r="J135" s="39"/>
      <c r="K135" s="35"/>
      <c r="L135" s="107"/>
      <c r="M135" s="40"/>
      <c r="O135" s="107"/>
      <c r="P135" s="22"/>
      <c r="Q135" s="23"/>
      <c r="R135" s="107"/>
      <c r="S135" s="107"/>
      <c r="T135" s="107"/>
      <c r="U135" s="107"/>
      <c r="V135" s="107"/>
    </row>
    <row r="136" spans="1:22" s="12" customFormat="1" x14ac:dyDescent="0.2">
      <c r="A136" s="107"/>
      <c r="B136" s="107"/>
      <c r="C136" s="107"/>
      <c r="D136" s="107"/>
      <c r="E136" s="35"/>
      <c r="F136" s="36"/>
      <c r="G136" s="37"/>
      <c r="H136" s="38"/>
      <c r="I136" s="39"/>
      <c r="J136" s="39"/>
      <c r="K136" s="35"/>
      <c r="L136" s="107"/>
      <c r="M136" s="40"/>
      <c r="O136" s="107"/>
      <c r="P136" s="22"/>
      <c r="Q136" s="23"/>
      <c r="R136" s="107"/>
      <c r="S136" s="107"/>
      <c r="T136" s="107"/>
      <c r="U136" s="107"/>
      <c r="V136" s="107"/>
    </row>
    <row r="137" spans="1:22" s="12" customFormat="1" x14ac:dyDescent="0.2">
      <c r="A137" s="107"/>
      <c r="B137" s="107"/>
      <c r="C137" s="107"/>
      <c r="D137" s="107"/>
      <c r="E137" s="35"/>
      <c r="F137" s="36"/>
      <c r="G137" s="37"/>
      <c r="H137" s="38"/>
      <c r="I137" s="39"/>
      <c r="J137" s="39"/>
      <c r="K137" s="35"/>
      <c r="L137" s="107"/>
      <c r="M137" s="40"/>
      <c r="O137" s="107"/>
      <c r="P137" s="22"/>
      <c r="Q137" s="23"/>
      <c r="R137" s="107"/>
      <c r="S137" s="107"/>
      <c r="T137" s="107"/>
      <c r="U137" s="107"/>
      <c r="V137" s="107"/>
    </row>
    <row r="138" spans="1:22" s="12" customFormat="1" x14ac:dyDescent="0.2">
      <c r="A138" s="107"/>
      <c r="B138" s="107"/>
      <c r="C138" s="107"/>
      <c r="D138" s="107"/>
      <c r="E138" s="35"/>
      <c r="F138" s="36"/>
      <c r="G138" s="37"/>
      <c r="H138" s="38"/>
      <c r="I138" s="39"/>
      <c r="J138" s="39"/>
      <c r="K138" s="35"/>
      <c r="L138" s="107"/>
      <c r="M138" s="40"/>
      <c r="O138" s="107"/>
      <c r="P138" s="22"/>
      <c r="Q138" s="23"/>
      <c r="R138" s="107"/>
      <c r="S138" s="107"/>
      <c r="T138" s="107"/>
      <c r="U138" s="107"/>
      <c r="V138" s="107"/>
    </row>
    <row r="139" spans="1:22" s="12" customFormat="1" x14ac:dyDescent="0.2">
      <c r="A139" s="107"/>
      <c r="B139" s="107"/>
      <c r="C139" s="107"/>
      <c r="D139" s="107"/>
      <c r="E139" s="35"/>
      <c r="F139" s="36"/>
      <c r="G139" s="37"/>
      <c r="H139" s="38"/>
      <c r="I139" s="39"/>
      <c r="J139" s="39"/>
      <c r="K139" s="35"/>
      <c r="L139" s="107"/>
      <c r="M139" s="40"/>
      <c r="O139" s="107"/>
      <c r="P139" s="22"/>
      <c r="Q139" s="23"/>
      <c r="R139" s="107"/>
      <c r="S139" s="107"/>
      <c r="T139" s="107"/>
      <c r="U139" s="107"/>
      <c r="V139" s="107"/>
    </row>
    <row r="140" spans="1:22" s="12" customFormat="1" x14ac:dyDescent="0.2">
      <c r="A140" s="107"/>
      <c r="B140" s="107"/>
      <c r="C140" s="107"/>
      <c r="D140" s="107"/>
      <c r="E140" s="35"/>
      <c r="F140" s="36"/>
      <c r="G140" s="37"/>
      <c r="H140" s="38"/>
      <c r="I140" s="39"/>
      <c r="J140" s="39"/>
      <c r="K140" s="35"/>
      <c r="L140" s="107"/>
      <c r="M140" s="40"/>
      <c r="O140" s="107"/>
      <c r="P140" s="22"/>
      <c r="Q140" s="23"/>
      <c r="R140" s="107"/>
      <c r="S140" s="107"/>
      <c r="T140" s="107"/>
      <c r="U140" s="107"/>
      <c r="V140" s="107"/>
    </row>
    <row r="141" spans="1:22" s="12" customFormat="1" x14ac:dyDescent="0.2">
      <c r="A141" s="107"/>
      <c r="B141" s="107"/>
      <c r="C141" s="107"/>
      <c r="D141" s="107"/>
      <c r="E141" s="35"/>
      <c r="F141" s="36"/>
      <c r="G141" s="37"/>
      <c r="H141" s="38"/>
      <c r="I141" s="39"/>
      <c r="J141" s="39"/>
      <c r="K141" s="35"/>
      <c r="L141" s="107"/>
      <c r="M141" s="40"/>
      <c r="O141" s="107"/>
      <c r="P141" s="22"/>
      <c r="Q141" s="23"/>
      <c r="R141" s="107"/>
      <c r="S141" s="107"/>
      <c r="T141" s="107"/>
      <c r="U141" s="107"/>
      <c r="V141" s="107"/>
    </row>
    <row r="142" spans="1:22" s="12" customFormat="1" x14ac:dyDescent="0.2">
      <c r="A142" s="107"/>
      <c r="B142" s="107"/>
      <c r="C142" s="107"/>
      <c r="D142" s="107"/>
      <c r="E142" s="35"/>
      <c r="F142" s="36"/>
      <c r="G142" s="37"/>
      <c r="H142" s="38"/>
      <c r="I142" s="39"/>
      <c r="J142" s="39"/>
      <c r="K142" s="35"/>
      <c r="L142" s="107"/>
      <c r="M142" s="40"/>
      <c r="O142" s="107"/>
      <c r="P142" s="22"/>
      <c r="Q142" s="23"/>
      <c r="R142" s="107"/>
      <c r="S142" s="107"/>
      <c r="T142" s="107"/>
      <c r="U142" s="107"/>
      <c r="V142" s="107"/>
    </row>
    <row r="143" spans="1:22" s="12" customFormat="1" x14ac:dyDescent="0.2">
      <c r="A143" s="107"/>
      <c r="B143" s="107"/>
      <c r="C143" s="107"/>
      <c r="D143" s="107"/>
      <c r="E143" s="35"/>
      <c r="F143" s="36"/>
      <c r="G143" s="37"/>
      <c r="H143" s="38"/>
      <c r="I143" s="39"/>
      <c r="J143" s="39"/>
      <c r="K143" s="35"/>
      <c r="L143" s="107"/>
      <c r="M143" s="40"/>
      <c r="O143" s="107"/>
      <c r="P143" s="22"/>
      <c r="Q143" s="23"/>
      <c r="R143" s="107"/>
      <c r="S143" s="107"/>
      <c r="T143" s="107"/>
      <c r="U143" s="107"/>
      <c r="V143" s="107"/>
    </row>
    <row r="144" spans="1:22" s="12" customFormat="1" x14ac:dyDescent="0.2">
      <c r="A144" s="107"/>
      <c r="B144" s="107"/>
      <c r="C144" s="107"/>
      <c r="D144" s="107"/>
      <c r="E144" s="35"/>
      <c r="F144" s="36"/>
      <c r="G144" s="37"/>
      <c r="H144" s="38"/>
      <c r="I144" s="39"/>
      <c r="J144" s="39"/>
      <c r="K144" s="35"/>
      <c r="L144" s="107"/>
      <c r="M144" s="40"/>
      <c r="O144" s="107"/>
      <c r="P144" s="22"/>
      <c r="Q144" s="23"/>
      <c r="R144" s="107"/>
      <c r="S144" s="107"/>
      <c r="T144" s="107"/>
      <c r="U144" s="107"/>
      <c r="V144" s="107"/>
    </row>
    <row r="145" spans="1:22" s="12" customFormat="1" x14ac:dyDescent="0.2">
      <c r="A145" s="107"/>
      <c r="B145" s="107"/>
      <c r="C145" s="107"/>
      <c r="D145" s="107"/>
      <c r="E145" s="35"/>
      <c r="F145" s="36"/>
      <c r="G145" s="37"/>
      <c r="H145" s="38"/>
      <c r="I145" s="39"/>
      <c r="J145" s="39"/>
      <c r="K145" s="35"/>
      <c r="L145" s="107"/>
      <c r="M145" s="40"/>
      <c r="O145" s="107"/>
      <c r="P145" s="22"/>
      <c r="Q145" s="23"/>
      <c r="R145" s="107"/>
      <c r="S145" s="107"/>
      <c r="T145" s="107"/>
      <c r="U145" s="107"/>
      <c r="V145" s="107"/>
    </row>
    <row r="146" spans="1:22" s="12" customFormat="1" x14ac:dyDescent="0.2">
      <c r="A146" s="107"/>
      <c r="B146" s="107"/>
      <c r="C146" s="107"/>
      <c r="D146" s="107"/>
      <c r="E146" s="35"/>
      <c r="F146" s="36"/>
      <c r="G146" s="37"/>
      <c r="H146" s="38"/>
      <c r="I146" s="39"/>
      <c r="J146" s="39"/>
      <c r="K146" s="35"/>
      <c r="L146" s="107"/>
      <c r="M146" s="40"/>
      <c r="O146" s="107"/>
      <c r="P146" s="22"/>
      <c r="Q146" s="23"/>
      <c r="R146" s="107"/>
      <c r="S146" s="107"/>
      <c r="T146" s="107"/>
      <c r="U146" s="107"/>
      <c r="V146" s="107"/>
    </row>
    <row r="147" spans="1:22" s="12" customFormat="1" x14ac:dyDescent="0.2">
      <c r="A147" s="107"/>
      <c r="B147" s="107"/>
      <c r="C147" s="107"/>
      <c r="D147" s="107"/>
      <c r="E147" s="35"/>
      <c r="F147" s="36"/>
      <c r="G147" s="37"/>
      <c r="H147" s="38"/>
      <c r="I147" s="39"/>
      <c r="J147" s="39"/>
      <c r="K147" s="35"/>
      <c r="L147" s="107"/>
      <c r="M147" s="40"/>
      <c r="O147" s="107"/>
      <c r="P147" s="22"/>
      <c r="Q147" s="23"/>
      <c r="R147" s="107"/>
      <c r="S147" s="107"/>
      <c r="T147" s="107"/>
      <c r="U147" s="107"/>
      <c r="V147" s="107"/>
    </row>
    <row r="148" spans="1:22" s="12" customFormat="1" x14ac:dyDescent="0.2">
      <c r="A148" s="107"/>
      <c r="B148" s="107"/>
      <c r="C148" s="107"/>
      <c r="D148" s="107"/>
      <c r="E148" s="35"/>
      <c r="F148" s="36"/>
      <c r="G148" s="37"/>
      <c r="H148" s="38"/>
      <c r="I148" s="39"/>
      <c r="J148" s="39"/>
      <c r="K148" s="35"/>
      <c r="L148" s="107"/>
      <c r="M148" s="40"/>
      <c r="O148" s="107"/>
      <c r="P148" s="22"/>
      <c r="Q148" s="23"/>
      <c r="R148" s="107"/>
      <c r="S148" s="107"/>
      <c r="T148" s="107"/>
      <c r="U148" s="107"/>
      <c r="V148" s="107"/>
    </row>
    <row r="149" spans="1:22" s="12" customFormat="1" x14ac:dyDescent="0.2">
      <c r="A149" s="107"/>
      <c r="B149" s="107"/>
      <c r="C149" s="107"/>
      <c r="D149" s="107"/>
      <c r="E149" s="35"/>
      <c r="F149" s="36"/>
      <c r="G149" s="37"/>
      <c r="H149" s="38"/>
      <c r="I149" s="39"/>
      <c r="J149" s="39"/>
      <c r="K149" s="35"/>
      <c r="L149" s="107"/>
      <c r="M149" s="40"/>
      <c r="O149" s="107"/>
      <c r="P149" s="22"/>
      <c r="Q149" s="23"/>
      <c r="R149" s="107"/>
      <c r="S149" s="107"/>
      <c r="T149" s="107"/>
      <c r="U149" s="107"/>
      <c r="V149" s="107"/>
    </row>
    <row r="150" spans="1:22" s="12" customFormat="1" x14ac:dyDescent="0.2">
      <c r="A150" s="107"/>
      <c r="B150" s="107"/>
      <c r="C150" s="107"/>
      <c r="D150" s="107"/>
      <c r="E150" s="35"/>
      <c r="F150" s="36"/>
      <c r="G150" s="37"/>
      <c r="H150" s="38"/>
      <c r="I150" s="39"/>
      <c r="J150" s="39"/>
      <c r="K150" s="35"/>
      <c r="L150" s="107"/>
      <c r="M150" s="40"/>
      <c r="O150" s="107"/>
      <c r="P150" s="22"/>
      <c r="Q150" s="23"/>
      <c r="R150" s="107"/>
      <c r="S150" s="107"/>
      <c r="T150" s="107"/>
      <c r="U150" s="107"/>
      <c r="V150" s="107"/>
    </row>
    <row r="151" spans="1:22" s="12" customFormat="1" x14ac:dyDescent="0.2">
      <c r="A151" s="107"/>
      <c r="B151" s="107"/>
      <c r="C151" s="107"/>
      <c r="D151" s="107"/>
      <c r="E151" s="35"/>
      <c r="F151" s="36"/>
      <c r="G151" s="37"/>
      <c r="H151" s="38"/>
      <c r="I151" s="39"/>
      <c r="J151" s="39"/>
      <c r="K151" s="35"/>
      <c r="L151" s="107"/>
      <c r="M151" s="40"/>
      <c r="O151" s="107"/>
      <c r="P151" s="22"/>
      <c r="Q151" s="23"/>
      <c r="R151" s="107"/>
      <c r="S151" s="107"/>
      <c r="T151" s="107"/>
      <c r="U151" s="107"/>
      <c r="V151" s="107"/>
    </row>
    <row r="152" spans="1:22" s="12" customFormat="1" x14ac:dyDescent="0.2">
      <c r="A152" s="107"/>
      <c r="B152" s="107"/>
      <c r="C152" s="107"/>
      <c r="D152" s="107"/>
      <c r="E152" s="35"/>
      <c r="F152" s="36"/>
      <c r="G152" s="37"/>
      <c r="H152" s="38"/>
      <c r="I152" s="39"/>
      <c r="J152" s="39"/>
      <c r="K152" s="35"/>
      <c r="L152" s="107"/>
      <c r="M152" s="40"/>
      <c r="O152" s="107"/>
      <c r="P152" s="22"/>
      <c r="Q152" s="23"/>
      <c r="R152" s="107"/>
      <c r="S152" s="107"/>
      <c r="T152" s="107"/>
      <c r="U152" s="107"/>
      <c r="V152" s="107"/>
    </row>
    <row r="153" spans="1:22" s="12" customFormat="1" x14ac:dyDescent="0.2">
      <c r="A153" s="107"/>
      <c r="B153" s="107"/>
      <c r="C153" s="107"/>
      <c r="D153" s="107"/>
      <c r="E153" s="35"/>
      <c r="F153" s="36"/>
      <c r="G153" s="37"/>
      <c r="H153" s="38"/>
      <c r="I153" s="39"/>
      <c r="J153" s="39"/>
      <c r="K153" s="35"/>
      <c r="L153" s="107"/>
      <c r="M153" s="40"/>
      <c r="O153" s="107"/>
      <c r="P153" s="22"/>
      <c r="Q153" s="23"/>
      <c r="R153" s="107"/>
      <c r="S153" s="107"/>
      <c r="T153" s="107"/>
      <c r="U153" s="107"/>
      <c r="V153" s="107"/>
    </row>
    <row r="154" spans="1:22" s="12" customFormat="1" x14ac:dyDescent="0.2">
      <c r="A154" s="107"/>
      <c r="B154" s="107"/>
      <c r="C154" s="107"/>
      <c r="D154" s="107"/>
      <c r="E154" s="35"/>
      <c r="F154" s="36"/>
      <c r="G154" s="37"/>
      <c r="H154" s="38"/>
      <c r="I154" s="39"/>
      <c r="J154" s="39"/>
      <c r="K154" s="35"/>
      <c r="L154" s="107"/>
      <c r="M154" s="40"/>
      <c r="O154" s="107"/>
      <c r="P154" s="22"/>
      <c r="Q154" s="23"/>
      <c r="R154" s="107"/>
      <c r="S154" s="107"/>
      <c r="T154" s="107"/>
      <c r="U154" s="107"/>
      <c r="V154" s="107"/>
    </row>
    <row r="155" spans="1:22" s="12" customFormat="1" x14ac:dyDescent="0.2">
      <c r="A155" s="107"/>
      <c r="B155" s="107"/>
      <c r="C155" s="107"/>
      <c r="D155" s="107"/>
      <c r="E155" s="35"/>
      <c r="F155" s="36"/>
      <c r="G155" s="37"/>
      <c r="H155" s="38"/>
      <c r="I155" s="39"/>
      <c r="J155" s="39"/>
      <c r="K155" s="35"/>
      <c r="L155" s="107"/>
      <c r="M155" s="40"/>
      <c r="O155" s="107"/>
      <c r="P155" s="22"/>
      <c r="Q155" s="23"/>
      <c r="R155" s="107"/>
      <c r="S155" s="107"/>
      <c r="T155" s="107"/>
      <c r="U155" s="107"/>
      <c r="V155" s="107"/>
    </row>
    <row r="156" spans="1:22" s="12" customFormat="1" x14ac:dyDescent="0.2">
      <c r="A156" s="107"/>
      <c r="B156" s="28"/>
      <c r="C156" s="107"/>
      <c r="D156" s="107"/>
      <c r="E156" s="35"/>
      <c r="F156" s="36"/>
      <c r="G156" s="37"/>
      <c r="H156" s="38"/>
      <c r="I156" s="39"/>
      <c r="J156" s="39"/>
      <c r="K156" s="35"/>
      <c r="L156" s="107"/>
      <c r="M156" s="40"/>
      <c r="O156" s="107"/>
      <c r="P156" s="22"/>
      <c r="Q156" s="23"/>
      <c r="R156" s="107"/>
      <c r="S156" s="107"/>
      <c r="T156" s="107"/>
      <c r="U156" s="107"/>
      <c r="V156" s="107"/>
    </row>
    <row r="157" spans="1:22" s="12" customFormat="1" x14ac:dyDescent="0.2">
      <c r="A157" s="107"/>
      <c r="B157" s="107"/>
      <c r="C157" s="107"/>
      <c r="D157" s="107"/>
      <c r="E157" s="35"/>
      <c r="F157" s="36"/>
      <c r="G157" s="37"/>
      <c r="H157" s="38"/>
      <c r="I157" s="39"/>
      <c r="J157" s="39"/>
      <c r="K157" s="35"/>
      <c r="L157" s="107"/>
      <c r="M157" s="40"/>
      <c r="O157" s="107"/>
      <c r="P157" s="22"/>
      <c r="Q157" s="23"/>
      <c r="R157" s="107"/>
      <c r="S157" s="107"/>
      <c r="T157" s="107"/>
      <c r="U157" s="107"/>
      <c r="V157" s="107"/>
    </row>
    <row r="158" spans="1:22" s="12" customFormat="1" x14ac:dyDescent="0.2">
      <c r="A158" s="107"/>
      <c r="B158" s="107"/>
      <c r="C158" s="107"/>
      <c r="D158" s="107"/>
      <c r="E158" s="35"/>
      <c r="F158" s="36"/>
      <c r="G158" s="37"/>
      <c r="H158" s="38"/>
      <c r="I158" s="39"/>
      <c r="J158" s="39"/>
      <c r="K158" s="35"/>
      <c r="L158" s="107"/>
      <c r="M158" s="40"/>
      <c r="O158" s="107"/>
      <c r="P158" s="22"/>
      <c r="Q158" s="23"/>
      <c r="R158" s="107"/>
      <c r="S158" s="107"/>
      <c r="T158" s="107"/>
      <c r="U158" s="107"/>
      <c r="V158" s="107"/>
    </row>
    <row r="159" spans="1:22" s="12" customFormat="1" x14ac:dyDescent="0.2">
      <c r="A159" s="107"/>
      <c r="B159" s="107"/>
      <c r="C159" s="107"/>
      <c r="D159" s="107"/>
      <c r="E159" s="35"/>
      <c r="F159" s="36"/>
      <c r="G159" s="37"/>
      <c r="H159" s="38"/>
      <c r="I159" s="39"/>
      <c r="J159" s="39"/>
      <c r="K159" s="35"/>
      <c r="L159" s="107"/>
      <c r="M159" s="40"/>
      <c r="O159" s="107"/>
      <c r="P159" s="22"/>
      <c r="Q159" s="23"/>
      <c r="R159" s="107"/>
      <c r="S159" s="107"/>
      <c r="T159" s="107"/>
      <c r="U159" s="107"/>
      <c r="V159" s="107"/>
    </row>
    <row r="160" spans="1:22" s="12" customFormat="1" x14ac:dyDescent="0.2">
      <c r="A160" s="107"/>
      <c r="B160" s="107"/>
      <c r="C160" s="107"/>
      <c r="D160" s="107"/>
      <c r="E160" s="35"/>
      <c r="F160" s="36"/>
      <c r="G160" s="37"/>
      <c r="H160" s="38"/>
      <c r="I160" s="39"/>
      <c r="J160" s="39"/>
      <c r="K160" s="35"/>
      <c r="L160" s="107"/>
      <c r="M160" s="40"/>
      <c r="O160" s="107"/>
      <c r="P160" s="22"/>
      <c r="Q160" s="23"/>
      <c r="R160" s="107"/>
      <c r="S160" s="107"/>
      <c r="T160" s="107"/>
      <c r="U160" s="107"/>
      <c r="V160" s="107"/>
    </row>
    <row r="161" spans="1:22" s="12" customFormat="1" x14ac:dyDescent="0.2">
      <c r="A161" s="107"/>
      <c r="B161" s="107"/>
      <c r="C161" s="107"/>
      <c r="D161" s="107"/>
      <c r="E161" s="35"/>
      <c r="F161" s="36"/>
      <c r="G161" s="37"/>
      <c r="H161" s="38"/>
      <c r="I161" s="39"/>
      <c r="J161" s="39"/>
      <c r="K161" s="35"/>
      <c r="L161" s="107"/>
      <c r="M161" s="40"/>
      <c r="O161" s="107"/>
      <c r="P161" s="22"/>
      <c r="Q161" s="23"/>
      <c r="R161" s="107"/>
      <c r="S161" s="107"/>
      <c r="T161" s="107"/>
      <c r="U161" s="107"/>
      <c r="V161" s="107"/>
    </row>
    <row r="162" spans="1:22" s="12" customFormat="1" x14ac:dyDescent="0.2">
      <c r="A162" s="107"/>
      <c r="B162" s="107"/>
      <c r="C162" s="107"/>
      <c r="D162" s="107"/>
      <c r="E162" s="35"/>
      <c r="F162" s="36"/>
      <c r="G162" s="37"/>
      <c r="H162" s="38"/>
      <c r="I162" s="39"/>
      <c r="J162" s="39"/>
      <c r="K162" s="35"/>
      <c r="L162" s="107"/>
      <c r="M162" s="40"/>
      <c r="O162" s="107"/>
      <c r="P162" s="22"/>
      <c r="Q162" s="23"/>
      <c r="R162" s="107"/>
      <c r="S162" s="107"/>
      <c r="T162" s="107"/>
      <c r="U162" s="107"/>
      <c r="V162" s="107"/>
    </row>
    <row r="163" spans="1:22" s="12" customFormat="1" x14ac:dyDescent="0.2">
      <c r="A163" s="107"/>
      <c r="B163" s="107"/>
      <c r="C163" s="107"/>
      <c r="D163" s="107"/>
      <c r="E163" s="35"/>
      <c r="F163" s="36"/>
      <c r="G163" s="37"/>
      <c r="H163" s="38"/>
      <c r="I163" s="39"/>
      <c r="J163" s="39"/>
      <c r="K163" s="35"/>
      <c r="L163" s="107"/>
      <c r="M163" s="40"/>
      <c r="O163" s="107"/>
      <c r="P163" s="22"/>
      <c r="Q163" s="23"/>
      <c r="R163" s="107"/>
      <c r="S163" s="107"/>
      <c r="T163" s="107"/>
      <c r="U163" s="107"/>
      <c r="V163" s="107"/>
    </row>
    <row r="164" spans="1:22" s="12" customFormat="1" x14ac:dyDescent="0.2">
      <c r="A164" s="107"/>
      <c r="B164" s="107"/>
      <c r="C164" s="107"/>
      <c r="D164" s="107"/>
      <c r="E164" s="35"/>
      <c r="F164" s="36"/>
      <c r="G164" s="37"/>
      <c r="H164" s="38"/>
      <c r="I164" s="39"/>
      <c r="J164" s="39"/>
      <c r="K164" s="35"/>
      <c r="L164" s="107"/>
      <c r="M164" s="40"/>
      <c r="O164" s="107"/>
      <c r="P164" s="22"/>
      <c r="Q164" s="23"/>
      <c r="R164" s="107"/>
      <c r="S164" s="107"/>
      <c r="T164" s="107"/>
      <c r="U164" s="107"/>
      <c r="V164" s="107"/>
    </row>
    <row r="165" spans="1:22" s="12" customFormat="1" x14ac:dyDescent="0.2">
      <c r="A165" s="107"/>
      <c r="B165" s="107"/>
      <c r="C165" s="107"/>
      <c r="D165" s="107"/>
      <c r="E165" s="35"/>
      <c r="F165" s="36"/>
      <c r="G165" s="37"/>
      <c r="H165" s="38"/>
      <c r="I165" s="39"/>
      <c r="J165" s="39"/>
      <c r="K165" s="35"/>
      <c r="L165" s="107"/>
      <c r="M165" s="40"/>
      <c r="O165" s="107"/>
      <c r="P165" s="22"/>
      <c r="Q165" s="23"/>
      <c r="R165" s="107"/>
      <c r="S165" s="107"/>
      <c r="T165" s="107"/>
      <c r="U165" s="107"/>
      <c r="V165" s="107"/>
    </row>
    <row r="166" spans="1:22" s="12" customFormat="1" x14ac:dyDescent="0.2">
      <c r="A166" s="107"/>
      <c r="B166" s="107"/>
      <c r="C166" s="107"/>
      <c r="D166" s="107"/>
      <c r="E166" s="35"/>
      <c r="F166" s="36"/>
      <c r="G166" s="37"/>
      <c r="H166" s="38"/>
      <c r="I166" s="39"/>
      <c r="J166" s="39"/>
      <c r="K166" s="35"/>
      <c r="L166" s="107"/>
      <c r="M166" s="40"/>
      <c r="O166" s="107"/>
      <c r="P166" s="22"/>
      <c r="Q166" s="23"/>
      <c r="R166" s="107"/>
      <c r="S166" s="107"/>
      <c r="T166" s="107"/>
      <c r="U166" s="107"/>
      <c r="V166" s="107"/>
    </row>
    <row r="167" spans="1:22" s="12" customFormat="1" x14ac:dyDescent="0.2">
      <c r="A167" s="107"/>
      <c r="B167" s="107"/>
      <c r="C167" s="107"/>
      <c r="D167" s="107"/>
      <c r="E167" s="35"/>
      <c r="F167" s="36"/>
      <c r="G167" s="37"/>
      <c r="H167" s="38"/>
      <c r="I167" s="39"/>
      <c r="J167" s="39"/>
      <c r="K167" s="35"/>
      <c r="L167" s="107"/>
      <c r="M167" s="40"/>
      <c r="O167" s="107"/>
      <c r="P167" s="22"/>
      <c r="Q167" s="23"/>
      <c r="R167" s="107"/>
      <c r="S167" s="107"/>
      <c r="T167" s="107"/>
      <c r="U167" s="107"/>
      <c r="V167" s="107"/>
    </row>
    <row r="168" spans="1:22" s="12" customFormat="1" x14ac:dyDescent="0.2">
      <c r="A168" s="107"/>
      <c r="B168" s="107"/>
      <c r="C168" s="107"/>
      <c r="D168" s="107"/>
      <c r="E168" s="35"/>
      <c r="F168" s="36"/>
      <c r="G168" s="37"/>
      <c r="H168" s="38"/>
      <c r="I168" s="39"/>
      <c r="J168" s="39"/>
      <c r="K168" s="35"/>
      <c r="L168" s="107"/>
      <c r="M168" s="40"/>
      <c r="O168" s="107"/>
      <c r="P168" s="22"/>
      <c r="Q168" s="23"/>
      <c r="R168" s="107"/>
      <c r="S168" s="107"/>
      <c r="T168" s="107"/>
      <c r="U168" s="107"/>
      <c r="V168" s="107"/>
    </row>
    <row r="169" spans="1:22" s="12" customFormat="1" x14ac:dyDescent="0.2">
      <c r="A169" s="107"/>
      <c r="B169" s="107"/>
      <c r="C169" s="107"/>
      <c r="D169" s="107"/>
      <c r="E169" s="35"/>
      <c r="F169" s="36"/>
      <c r="G169" s="37"/>
      <c r="H169" s="38"/>
      <c r="I169" s="39"/>
      <c r="J169" s="39"/>
      <c r="K169" s="35"/>
      <c r="L169" s="107"/>
      <c r="M169" s="40"/>
      <c r="O169" s="107"/>
      <c r="P169" s="22"/>
      <c r="Q169" s="23"/>
      <c r="R169" s="107"/>
      <c r="S169" s="107"/>
      <c r="T169" s="107"/>
      <c r="U169" s="107"/>
      <c r="V169" s="107"/>
    </row>
    <row r="170" spans="1:22" s="12" customFormat="1" x14ac:dyDescent="0.2">
      <c r="A170" s="107"/>
      <c r="B170" s="107"/>
      <c r="C170" s="107"/>
      <c r="D170" s="107"/>
      <c r="E170" s="35"/>
      <c r="F170" s="36"/>
      <c r="G170" s="37"/>
      <c r="H170" s="38"/>
      <c r="I170" s="39"/>
      <c r="J170" s="39"/>
      <c r="K170" s="35"/>
      <c r="L170" s="107"/>
      <c r="M170" s="40"/>
      <c r="O170" s="107"/>
      <c r="P170" s="22"/>
      <c r="Q170" s="23"/>
      <c r="R170" s="107"/>
      <c r="S170" s="107"/>
      <c r="T170" s="107"/>
      <c r="U170" s="107"/>
      <c r="V170" s="107"/>
    </row>
    <row r="171" spans="1:22" s="12" customFormat="1" x14ac:dyDescent="0.2">
      <c r="A171" s="107"/>
      <c r="B171" s="107"/>
      <c r="C171" s="107"/>
      <c r="D171" s="107"/>
      <c r="E171" s="35"/>
      <c r="F171" s="36"/>
      <c r="G171" s="37"/>
      <c r="H171" s="38"/>
      <c r="I171" s="39"/>
      <c r="J171" s="39"/>
      <c r="K171" s="35"/>
      <c r="L171" s="107"/>
      <c r="M171" s="40"/>
      <c r="O171" s="107"/>
      <c r="P171" s="22"/>
      <c r="Q171" s="23"/>
      <c r="R171" s="107"/>
      <c r="S171" s="107"/>
      <c r="T171" s="107"/>
      <c r="U171" s="107"/>
      <c r="V171" s="107"/>
    </row>
    <row r="172" spans="1:22" s="12" customFormat="1" x14ac:dyDescent="0.2">
      <c r="A172" s="107"/>
      <c r="B172" s="107"/>
      <c r="C172" s="107"/>
      <c r="D172" s="107"/>
      <c r="E172" s="35"/>
      <c r="F172" s="36"/>
      <c r="G172" s="37"/>
      <c r="H172" s="38"/>
      <c r="I172" s="39"/>
      <c r="J172" s="39"/>
      <c r="K172" s="35"/>
      <c r="L172" s="107"/>
      <c r="M172" s="40"/>
      <c r="O172" s="107"/>
      <c r="P172" s="22"/>
      <c r="Q172" s="23"/>
      <c r="R172" s="107"/>
      <c r="S172" s="107"/>
      <c r="T172" s="107"/>
      <c r="U172" s="107"/>
      <c r="V172" s="107"/>
    </row>
    <row r="173" spans="1:22" s="12" customFormat="1" x14ac:dyDescent="0.2">
      <c r="A173" s="107"/>
      <c r="B173" s="107"/>
      <c r="C173" s="107"/>
      <c r="D173" s="107"/>
      <c r="E173" s="35"/>
      <c r="F173" s="36"/>
      <c r="G173" s="37"/>
      <c r="H173" s="38"/>
      <c r="I173" s="39"/>
      <c r="J173" s="39"/>
      <c r="K173" s="35"/>
      <c r="L173" s="107"/>
      <c r="M173" s="40"/>
      <c r="O173" s="107"/>
      <c r="P173" s="22"/>
      <c r="Q173" s="23"/>
      <c r="R173" s="107"/>
      <c r="S173" s="107"/>
      <c r="T173" s="107"/>
      <c r="U173" s="107"/>
      <c r="V173" s="107"/>
    </row>
    <row r="174" spans="1:22" s="12" customFormat="1" x14ac:dyDescent="0.2">
      <c r="A174" s="107"/>
      <c r="B174" s="107"/>
      <c r="C174" s="107"/>
      <c r="D174" s="107"/>
      <c r="E174" s="35"/>
      <c r="F174" s="36"/>
      <c r="G174" s="37"/>
      <c r="H174" s="38"/>
      <c r="I174" s="39"/>
      <c r="J174" s="39"/>
      <c r="K174" s="35"/>
      <c r="L174" s="107"/>
      <c r="M174" s="40"/>
      <c r="O174" s="107"/>
      <c r="P174" s="22"/>
      <c r="Q174" s="23"/>
      <c r="R174" s="107"/>
      <c r="S174" s="107"/>
      <c r="T174" s="107"/>
      <c r="U174" s="107"/>
      <c r="V174" s="107"/>
    </row>
    <row r="175" spans="1:22" s="12" customFormat="1" x14ac:dyDescent="0.2">
      <c r="A175" s="107"/>
      <c r="B175" s="107"/>
      <c r="C175" s="107"/>
      <c r="D175" s="107"/>
      <c r="E175" s="35"/>
      <c r="F175" s="36"/>
      <c r="G175" s="37"/>
      <c r="H175" s="38"/>
      <c r="I175" s="39"/>
      <c r="J175" s="39"/>
      <c r="K175" s="35"/>
      <c r="L175" s="107"/>
      <c r="M175" s="40"/>
      <c r="O175" s="107"/>
      <c r="P175" s="22"/>
      <c r="Q175" s="23"/>
      <c r="R175" s="107"/>
      <c r="S175" s="107"/>
      <c r="T175" s="107"/>
      <c r="U175" s="107"/>
      <c r="V175" s="107"/>
    </row>
    <row r="176" spans="1:22" s="12" customFormat="1" x14ac:dyDescent="0.2">
      <c r="A176" s="107"/>
      <c r="B176" s="107"/>
      <c r="C176" s="107"/>
      <c r="D176" s="107"/>
      <c r="E176" s="35"/>
      <c r="F176" s="36"/>
      <c r="G176" s="37"/>
      <c r="H176" s="38"/>
      <c r="I176" s="39"/>
      <c r="J176" s="39"/>
      <c r="K176" s="35"/>
      <c r="L176" s="107"/>
      <c r="M176" s="40"/>
      <c r="O176" s="107"/>
      <c r="P176" s="22"/>
      <c r="Q176" s="23"/>
      <c r="R176" s="107"/>
      <c r="S176" s="107"/>
      <c r="T176" s="107"/>
      <c r="U176" s="107"/>
      <c r="V176" s="107"/>
    </row>
    <row r="177" spans="1:22" s="12" customFormat="1" x14ac:dyDescent="0.2">
      <c r="A177" s="107"/>
      <c r="B177" s="28"/>
      <c r="C177" s="107"/>
      <c r="D177" s="107"/>
      <c r="E177" s="35"/>
      <c r="F177" s="36"/>
      <c r="G177" s="37"/>
      <c r="H177" s="38"/>
      <c r="I177" s="39"/>
      <c r="J177" s="39"/>
      <c r="K177" s="35"/>
      <c r="L177" s="107"/>
      <c r="M177" s="40"/>
      <c r="O177" s="107"/>
      <c r="P177" s="22"/>
      <c r="Q177" s="23"/>
      <c r="R177" s="107"/>
      <c r="S177" s="107"/>
      <c r="T177" s="107"/>
      <c r="U177" s="107"/>
      <c r="V177" s="107"/>
    </row>
    <row r="178" spans="1:22" s="12" customFormat="1" x14ac:dyDescent="0.2">
      <c r="A178" s="107"/>
      <c r="B178" s="107"/>
      <c r="C178" s="107"/>
      <c r="D178" s="107"/>
      <c r="E178" s="35"/>
      <c r="F178" s="36"/>
      <c r="G178" s="37"/>
      <c r="H178" s="38"/>
      <c r="I178" s="39"/>
      <c r="J178" s="39"/>
      <c r="K178" s="35"/>
      <c r="L178" s="107"/>
      <c r="M178" s="40"/>
      <c r="O178" s="107"/>
      <c r="P178" s="22"/>
      <c r="Q178" s="23"/>
      <c r="R178" s="107"/>
      <c r="S178" s="107"/>
      <c r="T178" s="107"/>
      <c r="U178" s="107"/>
      <c r="V178" s="107"/>
    </row>
    <row r="179" spans="1:22" s="12" customFormat="1" x14ac:dyDescent="0.2">
      <c r="A179" s="107"/>
      <c r="B179" s="107"/>
      <c r="C179" s="107"/>
      <c r="D179" s="107"/>
      <c r="E179" s="35"/>
      <c r="F179" s="36"/>
      <c r="G179" s="37"/>
      <c r="H179" s="38"/>
      <c r="I179" s="39"/>
      <c r="J179" s="39"/>
      <c r="K179" s="35"/>
      <c r="L179" s="107"/>
      <c r="M179" s="40"/>
      <c r="O179" s="107"/>
      <c r="P179" s="22"/>
      <c r="Q179" s="23"/>
      <c r="R179" s="107"/>
      <c r="S179" s="107"/>
      <c r="T179" s="107"/>
      <c r="U179" s="107"/>
      <c r="V179" s="107"/>
    </row>
    <row r="180" spans="1:22" s="12" customFormat="1" x14ac:dyDescent="0.2">
      <c r="A180" s="107"/>
      <c r="B180" s="107"/>
      <c r="C180" s="107"/>
      <c r="D180" s="107"/>
      <c r="E180" s="35"/>
      <c r="F180" s="36"/>
      <c r="G180" s="37"/>
      <c r="H180" s="38"/>
      <c r="I180" s="39"/>
      <c r="J180" s="39"/>
      <c r="K180" s="35"/>
      <c r="L180" s="107"/>
      <c r="M180" s="40"/>
      <c r="O180" s="107"/>
      <c r="P180" s="22"/>
      <c r="Q180" s="23"/>
      <c r="R180" s="107"/>
      <c r="S180" s="107"/>
      <c r="T180" s="107"/>
      <c r="U180" s="107"/>
      <c r="V180" s="107"/>
    </row>
    <row r="181" spans="1:22" s="12" customFormat="1" x14ac:dyDescent="0.2">
      <c r="A181" s="107"/>
      <c r="B181" s="107"/>
      <c r="C181" s="107"/>
      <c r="D181" s="107"/>
      <c r="E181" s="35"/>
      <c r="F181" s="36"/>
      <c r="G181" s="37"/>
      <c r="H181" s="38"/>
      <c r="I181" s="39"/>
      <c r="J181" s="39"/>
      <c r="K181" s="35"/>
      <c r="L181" s="107"/>
      <c r="M181" s="40"/>
      <c r="O181" s="107"/>
      <c r="P181" s="22"/>
      <c r="Q181" s="23"/>
      <c r="R181" s="107"/>
      <c r="S181" s="107"/>
      <c r="T181" s="107"/>
      <c r="U181" s="107"/>
      <c r="V181" s="107"/>
    </row>
    <row r="182" spans="1:22" s="12" customFormat="1" x14ac:dyDescent="0.2">
      <c r="A182" s="107"/>
      <c r="B182" s="107"/>
      <c r="C182" s="107"/>
      <c r="D182" s="107"/>
      <c r="E182" s="35"/>
      <c r="F182" s="36"/>
      <c r="G182" s="37"/>
      <c r="H182" s="38"/>
      <c r="I182" s="39"/>
      <c r="J182" s="39"/>
      <c r="K182" s="35"/>
      <c r="L182" s="107"/>
      <c r="M182" s="40"/>
      <c r="O182" s="107"/>
      <c r="P182" s="22"/>
      <c r="Q182" s="23"/>
      <c r="R182" s="107"/>
      <c r="S182" s="107"/>
      <c r="T182" s="107"/>
      <c r="U182" s="107"/>
      <c r="V182" s="107"/>
    </row>
    <row r="183" spans="1:22" s="12" customFormat="1" x14ac:dyDescent="0.2">
      <c r="A183" s="107"/>
      <c r="B183" s="107"/>
      <c r="C183" s="107"/>
      <c r="D183" s="107"/>
      <c r="E183" s="35"/>
      <c r="F183" s="36"/>
      <c r="G183" s="37"/>
      <c r="H183" s="38"/>
      <c r="I183" s="39"/>
      <c r="J183" s="39"/>
      <c r="K183" s="35"/>
      <c r="L183" s="107"/>
      <c r="M183" s="40"/>
      <c r="O183" s="107"/>
      <c r="P183" s="22"/>
      <c r="Q183" s="23"/>
      <c r="R183" s="107"/>
      <c r="S183" s="107"/>
      <c r="T183" s="107"/>
      <c r="U183" s="107"/>
      <c r="V183" s="107"/>
    </row>
    <row r="184" spans="1:22" s="12" customFormat="1" x14ac:dyDescent="0.2">
      <c r="A184" s="107"/>
      <c r="B184" s="107"/>
      <c r="C184" s="107"/>
      <c r="D184" s="107"/>
      <c r="E184" s="35"/>
      <c r="F184" s="36"/>
      <c r="G184" s="37"/>
      <c r="H184" s="38"/>
      <c r="I184" s="39"/>
      <c r="J184" s="39"/>
      <c r="K184" s="35"/>
      <c r="L184" s="107"/>
      <c r="M184" s="40"/>
      <c r="O184" s="107"/>
      <c r="P184" s="22"/>
      <c r="Q184" s="23"/>
      <c r="R184" s="107"/>
      <c r="S184" s="107"/>
      <c r="T184" s="107"/>
      <c r="U184" s="107"/>
      <c r="V184" s="107"/>
    </row>
    <row r="185" spans="1:22" s="12" customFormat="1" x14ac:dyDescent="0.2">
      <c r="A185" s="107"/>
      <c r="B185" s="107"/>
      <c r="C185" s="107"/>
      <c r="D185" s="107"/>
      <c r="E185" s="35"/>
      <c r="F185" s="36"/>
      <c r="G185" s="37"/>
      <c r="H185" s="38"/>
      <c r="I185" s="39"/>
      <c r="J185" s="39"/>
      <c r="K185" s="35"/>
      <c r="L185" s="107"/>
      <c r="M185" s="40"/>
      <c r="O185" s="107"/>
      <c r="P185" s="22"/>
      <c r="Q185" s="23"/>
      <c r="R185" s="107"/>
      <c r="S185" s="107"/>
      <c r="T185" s="107"/>
      <c r="U185" s="107"/>
      <c r="V185" s="107"/>
    </row>
    <row r="186" spans="1:22" s="12" customFormat="1" x14ac:dyDescent="0.2">
      <c r="A186" s="107"/>
      <c r="B186" s="107"/>
      <c r="C186" s="107"/>
      <c r="D186" s="107"/>
      <c r="E186" s="35"/>
      <c r="F186" s="36"/>
      <c r="G186" s="37"/>
      <c r="H186" s="38"/>
      <c r="I186" s="39"/>
      <c r="J186" s="39"/>
      <c r="K186" s="35"/>
      <c r="L186" s="107"/>
      <c r="M186" s="40"/>
      <c r="O186" s="107"/>
      <c r="P186" s="22"/>
      <c r="Q186" s="23"/>
      <c r="R186" s="107"/>
      <c r="S186" s="107"/>
      <c r="T186" s="107"/>
      <c r="U186" s="107"/>
      <c r="V186" s="107"/>
    </row>
    <row r="187" spans="1:22" s="12" customFormat="1" x14ac:dyDescent="0.2">
      <c r="A187" s="107"/>
      <c r="B187" s="107"/>
      <c r="C187" s="107"/>
      <c r="D187" s="107"/>
      <c r="E187" s="35"/>
      <c r="F187" s="36"/>
      <c r="G187" s="37"/>
      <c r="H187" s="38"/>
      <c r="I187" s="39"/>
      <c r="J187" s="39"/>
      <c r="K187" s="35"/>
      <c r="L187" s="107"/>
      <c r="M187" s="40"/>
      <c r="O187" s="107"/>
      <c r="P187" s="22"/>
      <c r="Q187" s="23"/>
      <c r="R187" s="107"/>
      <c r="S187" s="107"/>
      <c r="T187" s="107"/>
      <c r="U187" s="107"/>
      <c r="V187" s="107"/>
    </row>
    <row r="188" spans="1:22" s="12" customFormat="1" x14ac:dyDescent="0.2">
      <c r="A188" s="107"/>
      <c r="B188" s="107"/>
      <c r="C188" s="107"/>
      <c r="D188" s="107"/>
      <c r="E188" s="35"/>
      <c r="F188" s="36"/>
      <c r="G188" s="37"/>
      <c r="H188" s="38"/>
      <c r="I188" s="39"/>
      <c r="J188" s="39"/>
      <c r="K188" s="35"/>
      <c r="L188" s="107"/>
      <c r="M188" s="40"/>
      <c r="O188" s="107"/>
      <c r="P188" s="22"/>
      <c r="Q188" s="23"/>
      <c r="R188" s="107"/>
      <c r="S188" s="107"/>
      <c r="T188" s="107"/>
      <c r="U188" s="107"/>
      <c r="V188" s="107"/>
    </row>
    <row r="189" spans="1:22" s="12" customFormat="1" x14ac:dyDescent="0.2">
      <c r="A189" s="107"/>
      <c r="B189" s="107"/>
      <c r="C189" s="107"/>
      <c r="D189" s="107"/>
      <c r="E189" s="35"/>
      <c r="F189" s="36"/>
      <c r="G189" s="37"/>
      <c r="H189" s="38"/>
      <c r="I189" s="39"/>
      <c r="J189" s="39"/>
      <c r="K189" s="35"/>
      <c r="L189" s="107"/>
      <c r="M189" s="40"/>
      <c r="O189" s="107"/>
      <c r="P189" s="22"/>
      <c r="Q189" s="23"/>
      <c r="R189" s="107"/>
      <c r="S189" s="107"/>
      <c r="T189" s="107"/>
      <c r="U189" s="107"/>
      <c r="V189" s="107"/>
    </row>
    <row r="190" spans="1:22" s="12" customFormat="1" x14ac:dyDescent="0.2">
      <c r="A190" s="107"/>
      <c r="B190" s="107"/>
      <c r="C190" s="107"/>
      <c r="D190" s="107"/>
      <c r="E190" s="35"/>
      <c r="F190" s="36"/>
      <c r="G190" s="37"/>
      <c r="H190" s="38"/>
      <c r="I190" s="39"/>
      <c r="J190" s="39"/>
      <c r="K190" s="35"/>
      <c r="L190" s="107"/>
      <c r="M190" s="40"/>
      <c r="O190" s="107"/>
      <c r="P190" s="22"/>
      <c r="Q190" s="23"/>
      <c r="R190" s="107"/>
      <c r="S190" s="107"/>
      <c r="T190" s="107"/>
      <c r="U190" s="107"/>
      <c r="V190" s="107"/>
    </row>
    <row r="191" spans="1:22" s="12" customFormat="1" x14ac:dyDescent="0.2">
      <c r="A191" s="107"/>
      <c r="B191" s="107"/>
      <c r="C191" s="107"/>
      <c r="D191" s="107"/>
      <c r="E191" s="35"/>
      <c r="F191" s="36"/>
      <c r="G191" s="37"/>
      <c r="H191" s="38"/>
      <c r="I191" s="39"/>
      <c r="J191" s="39"/>
      <c r="K191" s="35"/>
      <c r="L191" s="107"/>
      <c r="M191" s="40"/>
      <c r="O191" s="107"/>
      <c r="P191" s="22"/>
      <c r="Q191" s="23"/>
      <c r="R191" s="107"/>
      <c r="S191" s="107"/>
      <c r="T191" s="107"/>
      <c r="U191" s="107"/>
      <c r="V191" s="107"/>
    </row>
    <row r="192" spans="1:22" s="12" customFormat="1" x14ac:dyDescent="0.2">
      <c r="A192" s="107"/>
      <c r="B192" s="107"/>
      <c r="C192" s="107"/>
      <c r="D192" s="107"/>
      <c r="E192" s="35"/>
      <c r="F192" s="36"/>
      <c r="G192" s="37"/>
      <c r="H192" s="38"/>
      <c r="I192" s="39"/>
      <c r="J192" s="39"/>
      <c r="K192" s="35"/>
      <c r="L192" s="107"/>
      <c r="M192" s="40"/>
      <c r="O192" s="107"/>
      <c r="P192" s="22"/>
      <c r="Q192" s="23"/>
      <c r="R192" s="107"/>
      <c r="S192" s="107"/>
      <c r="T192" s="107"/>
      <c r="U192" s="107"/>
      <c r="V192" s="107"/>
    </row>
    <row r="193" spans="1:22" s="12" customFormat="1" x14ac:dyDescent="0.2">
      <c r="A193" s="107"/>
      <c r="B193" s="107"/>
      <c r="C193" s="107"/>
      <c r="D193" s="107"/>
      <c r="E193" s="35"/>
      <c r="F193" s="36"/>
      <c r="G193" s="37"/>
      <c r="H193" s="38"/>
      <c r="I193" s="39"/>
      <c r="J193" s="39"/>
      <c r="K193" s="35"/>
      <c r="L193" s="107"/>
      <c r="M193" s="40"/>
      <c r="O193" s="107"/>
      <c r="P193" s="22"/>
      <c r="Q193" s="23"/>
      <c r="R193" s="107"/>
      <c r="S193" s="107"/>
      <c r="T193" s="107"/>
      <c r="U193" s="107"/>
      <c r="V193" s="107"/>
    </row>
    <row r="194" spans="1:22" s="12" customFormat="1" x14ac:dyDescent="0.2">
      <c r="A194" s="107"/>
      <c r="B194" s="107"/>
      <c r="C194" s="107"/>
      <c r="D194" s="107"/>
      <c r="E194" s="35"/>
      <c r="F194" s="36"/>
      <c r="G194" s="37"/>
      <c r="H194" s="38"/>
      <c r="I194" s="39"/>
      <c r="J194" s="39"/>
      <c r="K194" s="35"/>
      <c r="L194" s="107"/>
      <c r="M194" s="40"/>
      <c r="O194" s="107"/>
      <c r="P194" s="22"/>
      <c r="Q194" s="23"/>
      <c r="R194" s="107"/>
      <c r="S194" s="107"/>
      <c r="T194" s="107"/>
      <c r="U194" s="107"/>
      <c r="V194" s="107"/>
    </row>
    <row r="195" spans="1:22" s="12" customFormat="1" x14ac:dyDescent="0.2">
      <c r="A195" s="107"/>
      <c r="B195" s="107"/>
      <c r="C195" s="107"/>
      <c r="D195" s="107"/>
      <c r="E195" s="35"/>
      <c r="F195" s="36"/>
      <c r="G195" s="37"/>
      <c r="H195" s="38"/>
      <c r="I195" s="39"/>
      <c r="J195" s="39"/>
      <c r="K195" s="35"/>
      <c r="L195" s="107"/>
      <c r="M195" s="40"/>
      <c r="O195" s="107"/>
      <c r="P195" s="22"/>
      <c r="Q195" s="23"/>
      <c r="R195" s="107"/>
      <c r="S195" s="107"/>
      <c r="T195" s="107"/>
      <c r="U195" s="107"/>
      <c r="V195" s="107"/>
    </row>
    <row r="196" spans="1:22" s="12" customFormat="1" x14ac:dyDescent="0.2">
      <c r="A196" s="107"/>
      <c r="B196" s="107"/>
      <c r="C196" s="107"/>
      <c r="D196" s="107"/>
      <c r="E196" s="35"/>
      <c r="F196" s="36"/>
      <c r="G196" s="37"/>
      <c r="H196" s="38"/>
      <c r="I196" s="39"/>
      <c r="J196" s="39"/>
      <c r="K196" s="35"/>
      <c r="L196" s="107"/>
      <c r="M196" s="40"/>
      <c r="O196" s="107"/>
      <c r="P196" s="22"/>
      <c r="Q196" s="23"/>
      <c r="R196" s="107"/>
      <c r="S196" s="107"/>
      <c r="T196" s="107"/>
      <c r="U196" s="107"/>
      <c r="V196" s="107"/>
    </row>
    <row r="197" spans="1:22" s="12" customFormat="1" x14ac:dyDescent="0.2">
      <c r="A197" s="107"/>
      <c r="B197" s="107"/>
      <c r="C197" s="107"/>
      <c r="D197" s="107"/>
      <c r="E197" s="35"/>
      <c r="F197" s="36"/>
      <c r="G197" s="37"/>
      <c r="H197" s="38"/>
      <c r="I197" s="39"/>
      <c r="J197" s="39"/>
      <c r="K197" s="35"/>
      <c r="L197" s="107"/>
      <c r="M197" s="40"/>
      <c r="O197" s="107"/>
      <c r="P197" s="22"/>
      <c r="Q197" s="23"/>
      <c r="R197" s="107"/>
      <c r="S197" s="107"/>
      <c r="T197" s="107"/>
      <c r="U197" s="107"/>
      <c r="V197" s="107"/>
    </row>
    <row r="198" spans="1:22" s="12" customFormat="1" x14ac:dyDescent="0.2">
      <c r="A198" s="107"/>
      <c r="B198" s="28"/>
      <c r="C198" s="107"/>
      <c r="D198" s="107"/>
      <c r="E198" s="35"/>
      <c r="F198" s="36"/>
      <c r="G198" s="37"/>
      <c r="H198" s="38"/>
      <c r="I198" s="39"/>
      <c r="J198" s="39"/>
      <c r="K198" s="35"/>
      <c r="L198" s="107"/>
      <c r="M198" s="40"/>
      <c r="O198" s="107"/>
      <c r="P198" s="22"/>
      <c r="Q198" s="23"/>
      <c r="R198" s="107"/>
      <c r="S198" s="107"/>
      <c r="T198" s="107"/>
      <c r="U198" s="107"/>
      <c r="V198" s="107"/>
    </row>
    <row r="199" spans="1:22" s="12" customFormat="1" x14ac:dyDescent="0.2">
      <c r="A199" s="107"/>
      <c r="B199" s="107"/>
      <c r="C199" s="107"/>
      <c r="D199" s="107"/>
      <c r="E199" s="35"/>
      <c r="F199" s="36"/>
      <c r="G199" s="37"/>
      <c r="H199" s="38"/>
      <c r="I199" s="39"/>
      <c r="J199" s="39"/>
      <c r="K199" s="35"/>
      <c r="L199" s="107"/>
      <c r="M199" s="40"/>
      <c r="O199" s="107"/>
      <c r="P199" s="22"/>
      <c r="Q199" s="23"/>
      <c r="R199" s="107"/>
      <c r="S199" s="107"/>
      <c r="T199" s="107"/>
      <c r="U199" s="107"/>
      <c r="V199" s="107"/>
    </row>
    <row r="200" spans="1:22" s="12" customFormat="1" x14ac:dyDescent="0.2">
      <c r="A200" s="107"/>
      <c r="B200" s="107"/>
      <c r="C200" s="107"/>
      <c r="D200" s="107"/>
      <c r="E200" s="35"/>
      <c r="F200" s="36"/>
      <c r="G200" s="37"/>
      <c r="H200" s="38"/>
      <c r="I200" s="39"/>
      <c r="J200" s="39"/>
      <c r="K200" s="35"/>
      <c r="L200" s="107"/>
      <c r="M200" s="40"/>
      <c r="O200" s="107"/>
      <c r="P200" s="22"/>
      <c r="Q200" s="23"/>
      <c r="R200" s="107"/>
      <c r="S200" s="107"/>
      <c r="T200" s="107"/>
      <c r="U200" s="107"/>
      <c r="V200" s="107"/>
    </row>
    <row r="201" spans="1:22" s="12" customFormat="1" x14ac:dyDescent="0.2">
      <c r="A201" s="107"/>
      <c r="B201" s="107"/>
      <c r="C201" s="107"/>
      <c r="D201" s="107"/>
      <c r="E201" s="35"/>
      <c r="F201" s="36"/>
      <c r="G201" s="37"/>
      <c r="H201" s="38"/>
      <c r="I201" s="39"/>
      <c r="J201" s="39"/>
      <c r="K201" s="35"/>
      <c r="L201" s="107"/>
      <c r="M201" s="40"/>
      <c r="O201" s="107"/>
      <c r="P201" s="22"/>
      <c r="Q201" s="23"/>
      <c r="R201" s="107"/>
      <c r="S201" s="107"/>
      <c r="T201" s="107"/>
      <c r="U201" s="107"/>
      <c r="V201" s="107"/>
    </row>
    <row r="202" spans="1:22" s="12" customFormat="1" x14ac:dyDescent="0.2">
      <c r="A202" s="107"/>
      <c r="B202" s="107"/>
      <c r="C202" s="107"/>
      <c r="D202" s="107"/>
      <c r="E202" s="35"/>
      <c r="F202" s="36"/>
      <c r="G202" s="37"/>
      <c r="H202" s="38"/>
      <c r="I202" s="39"/>
      <c r="J202" s="39"/>
      <c r="K202" s="35"/>
      <c r="L202" s="107"/>
      <c r="M202" s="40"/>
      <c r="O202" s="107"/>
      <c r="P202" s="22"/>
      <c r="Q202" s="23"/>
      <c r="R202" s="107"/>
      <c r="S202" s="107"/>
      <c r="T202" s="107"/>
      <c r="U202" s="107"/>
      <c r="V202" s="107"/>
    </row>
    <row r="203" spans="1:22" s="12" customFormat="1" x14ac:dyDescent="0.2">
      <c r="D203" s="107"/>
      <c r="E203" s="35"/>
      <c r="F203" s="36"/>
      <c r="G203" s="37"/>
      <c r="H203" s="38"/>
      <c r="I203" s="39"/>
      <c r="J203" s="39"/>
      <c r="K203" s="35"/>
      <c r="L203" s="107"/>
      <c r="M203" s="40"/>
      <c r="O203" s="107"/>
      <c r="P203" s="22"/>
      <c r="Q203" s="23"/>
      <c r="R203" s="107"/>
      <c r="S203" s="107"/>
      <c r="T203" s="107"/>
      <c r="U203" s="107"/>
      <c r="V203" s="107"/>
    </row>
    <row r="204" spans="1:22" s="12" customFormat="1" x14ac:dyDescent="0.2">
      <c r="D204" s="107"/>
      <c r="E204" s="35"/>
      <c r="F204" s="36"/>
      <c r="G204" s="37"/>
      <c r="H204" s="38"/>
      <c r="I204" s="39"/>
      <c r="J204" s="39"/>
      <c r="K204" s="35"/>
      <c r="L204" s="107"/>
      <c r="M204" s="40"/>
      <c r="O204" s="107"/>
      <c r="P204" s="22"/>
      <c r="Q204" s="23"/>
      <c r="R204" s="107"/>
      <c r="S204" s="107"/>
      <c r="T204" s="107"/>
      <c r="U204" s="107"/>
      <c r="V204" s="107"/>
    </row>
    <row r="205" spans="1:22" s="12" customFormat="1" x14ac:dyDescent="0.2">
      <c r="D205" s="107"/>
      <c r="E205" s="35"/>
      <c r="F205" s="36"/>
      <c r="G205" s="37"/>
      <c r="H205" s="38"/>
      <c r="I205" s="39"/>
      <c r="J205" s="39"/>
      <c r="K205" s="35"/>
      <c r="L205" s="107"/>
      <c r="M205" s="40"/>
      <c r="O205" s="107"/>
      <c r="P205" s="22"/>
      <c r="Q205" s="23"/>
      <c r="R205" s="107"/>
      <c r="S205" s="107"/>
      <c r="T205" s="107"/>
      <c r="U205" s="107"/>
      <c r="V205" s="107"/>
    </row>
    <row r="206" spans="1:22" s="12" customFormat="1" x14ac:dyDescent="0.2">
      <c r="D206" s="107"/>
      <c r="E206" s="35"/>
      <c r="F206" s="36"/>
      <c r="G206" s="37"/>
      <c r="H206" s="38"/>
      <c r="I206" s="39"/>
      <c r="J206" s="39"/>
      <c r="K206" s="35"/>
      <c r="L206" s="107"/>
      <c r="M206" s="40"/>
      <c r="O206" s="107"/>
      <c r="P206" s="22"/>
      <c r="Q206" s="23"/>
      <c r="R206" s="107"/>
      <c r="S206" s="107"/>
      <c r="T206" s="107"/>
      <c r="U206" s="107"/>
      <c r="V206" s="107"/>
    </row>
    <row r="207" spans="1:22" s="12" customFormat="1" x14ac:dyDescent="0.2">
      <c r="D207" s="107"/>
      <c r="E207" s="35"/>
      <c r="F207" s="36"/>
      <c r="G207" s="37"/>
      <c r="H207" s="38"/>
      <c r="I207" s="39"/>
      <c r="J207" s="39"/>
      <c r="K207" s="35"/>
      <c r="L207" s="107"/>
      <c r="M207" s="40"/>
      <c r="O207" s="107"/>
      <c r="P207" s="22"/>
      <c r="Q207" s="23"/>
      <c r="R207" s="107"/>
      <c r="S207" s="107"/>
      <c r="T207" s="107"/>
      <c r="U207" s="107"/>
      <c r="V207" s="107"/>
    </row>
    <row r="208" spans="1:22" s="12" customFormat="1" x14ac:dyDescent="0.2">
      <c r="D208" s="107"/>
      <c r="E208" s="35"/>
      <c r="F208" s="36"/>
      <c r="G208" s="37"/>
      <c r="H208" s="38"/>
      <c r="I208" s="39"/>
      <c r="J208" s="39"/>
      <c r="K208" s="35"/>
      <c r="L208" s="107"/>
      <c r="M208" s="40"/>
      <c r="O208" s="107"/>
      <c r="P208" s="22"/>
      <c r="Q208" s="23"/>
      <c r="R208" s="107"/>
      <c r="S208" s="107"/>
      <c r="T208" s="107"/>
      <c r="U208" s="107"/>
      <c r="V208" s="107"/>
    </row>
    <row r="209" spans="4:22" s="12" customFormat="1" x14ac:dyDescent="0.2">
      <c r="D209" s="107"/>
      <c r="E209" s="35"/>
      <c r="F209" s="36"/>
      <c r="G209" s="37"/>
      <c r="H209" s="38"/>
      <c r="I209" s="39"/>
      <c r="J209" s="39"/>
      <c r="K209" s="35"/>
      <c r="L209" s="107"/>
      <c r="M209" s="40"/>
      <c r="O209" s="107"/>
      <c r="P209" s="22"/>
      <c r="Q209" s="23"/>
      <c r="R209" s="107"/>
      <c r="S209" s="107"/>
      <c r="T209" s="107"/>
      <c r="U209" s="107"/>
      <c r="V209" s="107"/>
    </row>
    <row r="210" spans="4:22" s="12" customFormat="1" x14ac:dyDescent="0.2">
      <c r="D210" s="107"/>
      <c r="E210" s="35"/>
      <c r="F210" s="36"/>
      <c r="G210" s="37"/>
      <c r="H210" s="38"/>
      <c r="I210" s="39"/>
      <c r="J210" s="39"/>
      <c r="K210" s="35"/>
      <c r="L210" s="107"/>
      <c r="M210" s="40"/>
      <c r="O210" s="107"/>
      <c r="P210" s="22"/>
      <c r="Q210" s="23"/>
      <c r="R210" s="107"/>
      <c r="S210" s="107"/>
      <c r="T210" s="107"/>
      <c r="U210" s="107"/>
      <c r="V210" s="107"/>
    </row>
    <row r="211" spans="4:22" s="12" customFormat="1" x14ac:dyDescent="0.2">
      <c r="D211" s="107"/>
      <c r="E211" s="35"/>
      <c r="F211" s="36"/>
      <c r="G211" s="37"/>
      <c r="H211" s="38"/>
      <c r="I211" s="39"/>
      <c r="J211" s="39"/>
      <c r="K211" s="35"/>
      <c r="L211" s="107"/>
      <c r="M211" s="40"/>
      <c r="O211" s="107"/>
      <c r="P211" s="22"/>
      <c r="Q211" s="23"/>
      <c r="R211" s="107"/>
      <c r="S211" s="107"/>
      <c r="T211" s="107"/>
      <c r="U211" s="107"/>
      <c r="V211" s="107"/>
    </row>
    <row r="212" spans="4:22" s="12" customFormat="1" x14ac:dyDescent="0.2">
      <c r="D212" s="107"/>
      <c r="E212" s="35"/>
      <c r="F212" s="36"/>
      <c r="G212" s="37"/>
      <c r="H212" s="38"/>
      <c r="I212" s="39"/>
      <c r="J212" s="39"/>
      <c r="K212" s="35"/>
      <c r="L212" s="107"/>
      <c r="M212" s="40"/>
      <c r="O212" s="107"/>
      <c r="P212" s="22"/>
      <c r="Q212" s="23"/>
      <c r="R212" s="107"/>
      <c r="S212" s="107"/>
      <c r="T212" s="107"/>
      <c r="U212" s="107"/>
      <c r="V212" s="107"/>
    </row>
    <row r="213" spans="4:22" s="12" customFormat="1" x14ac:dyDescent="0.2">
      <c r="D213" s="107"/>
      <c r="E213" s="35"/>
      <c r="F213" s="36"/>
      <c r="G213" s="37"/>
      <c r="H213" s="38"/>
      <c r="I213" s="39"/>
      <c r="J213" s="39"/>
      <c r="K213" s="35"/>
      <c r="L213" s="107"/>
      <c r="M213" s="40"/>
      <c r="O213" s="107"/>
      <c r="P213" s="22"/>
      <c r="Q213" s="23"/>
      <c r="R213" s="107"/>
      <c r="S213" s="107"/>
      <c r="T213" s="107"/>
      <c r="U213" s="107"/>
      <c r="V213" s="107"/>
    </row>
    <row r="214" spans="4:22" s="12" customFormat="1" x14ac:dyDescent="0.2">
      <c r="D214" s="107"/>
      <c r="E214" s="35"/>
      <c r="F214" s="36"/>
      <c r="G214" s="37"/>
      <c r="H214" s="38"/>
      <c r="I214" s="39"/>
      <c r="J214" s="39"/>
      <c r="K214" s="35"/>
      <c r="L214" s="107"/>
      <c r="M214" s="40"/>
      <c r="O214" s="107"/>
      <c r="P214" s="22"/>
      <c r="Q214" s="23"/>
      <c r="R214" s="107"/>
      <c r="S214" s="107"/>
      <c r="T214" s="107"/>
      <c r="U214" s="107"/>
      <c r="V214" s="107"/>
    </row>
    <row r="215" spans="4:22" s="12" customFormat="1" x14ac:dyDescent="0.2">
      <c r="D215" s="107"/>
      <c r="E215" s="35"/>
      <c r="F215" s="36"/>
      <c r="G215" s="37"/>
      <c r="H215" s="38"/>
      <c r="I215" s="39"/>
      <c r="J215" s="39"/>
      <c r="K215" s="35"/>
      <c r="L215" s="107"/>
      <c r="M215" s="40"/>
      <c r="O215" s="107"/>
      <c r="P215" s="22"/>
      <c r="Q215" s="23"/>
      <c r="R215" s="107"/>
      <c r="S215" s="107"/>
      <c r="T215" s="107"/>
      <c r="U215" s="107"/>
      <c r="V215" s="107"/>
    </row>
    <row r="216" spans="4:22" s="12" customFormat="1" x14ac:dyDescent="0.2">
      <c r="D216" s="107"/>
      <c r="E216" s="35"/>
      <c r="F216" s="36"/>
      <c r="G216" s="37"/>
      <c r="H216" s="38"/>
      <c r="I216" s="39"/>
      <c r="J216" s="39"/>
      <c r="K216" s="35"/>
      <c r="L216" s="107"/>
      <c r="M216" s="40"/>
      <c r="O216" s="107"/>
      <c r="P216" s="22"/>
      <c r="Q216" s="23"/>
      <c r="R216" s="107"/>
      <c r="S216" s="107"/>
      <c r="T216" s="107"/>
      <c r="U216" s="107"/>
      <c r="V216" s="107"/>
    </row>
    <row r="217" spans="4:22" s="12" customFormat="1" x14ac:dyDescent="0.2">
      <c r="D217" s="107"/>
      <c r="E217" s="35"/>
      <c r="F217" s="36"/>
      <c r="G217" s="37"/>
      <c r="H217" s="38"/>
      <c r="I217" s="39"/>
      <c r="J217" s="39"/>
      <c r="K217" s="35"/>
      <c r="L217" s="107"/>
      <c r="M217" s="40"/>
      <c r="O217" s="107"/>
      <c r="P217" s="22"/>
      <c r="Q217" s="23"/>
      <c r="R217" s="107"/>
      <c r="S217" s="107"/>
      <c r="T217" s="107"/>
      <c r="U217" s="107"/>
      <c r="V217" s="107"/>
    </row>
    <row r="218" spans="4:22" s="12" customFormat="1" x14ac:dyDescent="0.2">
      <c r="D218" s="107"/>
      <c r="E218" s="35"/>
      <c r="F218" s="36"/>
      <c r="G218" s="37"/>
      <c r="H218" s="38"/>
      <c r="I218" s="39"/>
      <c r="J218" s="39"/>
      <c r="K218" s="35"/>
      <c r="L218" s="107"/>
      <c r="M218" s="40"/>
      <c r="O218" s="107"/>
      <c r="P218" s="22"/>
      <c r="Q218" s="23"/>
      <c r="R218" s="107"/>
      <c r="S218" s="107"/>
      <c r="T218" s="107"/>
      <c r="U218" s="107"/>
      <c r="V218" s="107"/>
    </row>
    <row r="219" spans="4:22" s="12" customFormat="1" x14ac:dyDescent="0.2">
      <c r="D219" s="107"/>
      <c r="E219" s="35"/>
      <c r="F219" s="36"/>
      <c r="G219" s="37"/>
      <c r="H219" s="38"/>
      <c r="I219" s="39"/>
      <c r="J219" s="39"/>
      <c r="K219" s="35"/>
      <c r="L219" s="107"/>
      <c r="M219" s="40"/>
      <c r="O219" s="107"/>
      <c r="P219" s="22"/>
      <c r="Q219" s="23"/>
      <c r="R219" s="107"/>
      <c r="S219" s="107"/>
      <c r="T219" s="107"/>
      <c r="U219" s="107"/>
      <c r="V219" s="107"/>
    </row>
    <row r="220" spans="4:22" s="12" customFormat="1" x14ac:dyDescent="0.2">
      <c r="D220" s="107"/>
      <c r="E220" s="35"/>
      <c r="F220" s="36"/>
      <c r="G220" s="37"/>
      <c r="H220" s="38"/>
      <c r="I220" s="39"/>
      <c r="J220" s="39"/>
      <c r="K220" s="35"/>
      <c r="L220" s="107"/>
      <c r="M220" s="40"/>
      <c r="O220" s="107"/>
      <c r="P220" s="22"/>
      <c r="Q220" s="23"/>
      <c r="R220" s="107"/>
      <c r="S220" s="107"/>
      <c r="T220" s="107"/>
      <c r="U220" s="107"/>
      <c r="V220" s="107"/>
    </row>
    <row r="221" spans="4:22" s="12" customFormat="1" x14ac:dyDescent="0.2">
      <c r="D221" s="107"/>
      <c r="E221" s="35"/>
      <c r="F221" s="36"/>
      <c r="G221" s="37"/>
      <c r="H221" s="38"/>
      <c r="I221" s="39"/>
      <c r="J221" s="39"/>
      <c r="K221" s="35"/>
      <c r="L221" s="107"/>
      <c r="M221" s="40"/>
      <c r="O221" s="107"/>
      <c r="P221" s="22"/>
      <c r="Q221" s="23"/>
      <c r="R221" s="107"/>
      <c r="S221" s="107"/>
      <c r="T221" s="107"/>
      <c r="U221" s="107"/>
      <c r="V221" s="107"/>
    </row>
    <row r="222" spans="4:22" s="12" customFormat="1" x14ac:dyDescent="0.2">
      <c r="D222" s="107"/>
      <c r="E222" s="35"/>
      <c r="F222" s="36"/>
      <c r="G222" s="37"/>
      <c r="H222" s="38"/>
      <c r="I222" s="39"/>
      <c r="J222" s="39"/>
      <c r="K222" s="35"/>
      <c r="L222" s="107"/>
      <c r="M222" s="40"/>
      <c r="O222" s="107"/>
      <c r="P222" s="22"/>
      <c r="Q222" s="23"/>
      <c r="R222" s="107"/>
      <c r="S222" s="107"/>
      <c r="T222" s="107"/>
      <c r="U222" s="107"/>
      <c r="V222" s="107"/>
    </row>
    <row r="223" spans="4:22" s="12" customFormat="1" x14ac:dyDescent="0.2">
      <c r="D223" s="107"/>
      <c r="E223" s="35"/>
      <c r="F223" s="36"/>
      <c r="G223" s="37"/>
      <c r="H223" s="38"/>
      <c r="I223" s="39"/>
      <c r="J223" s="39"/>
      <c r="K223" s="35"/>
      <c r="L223" s="107"/>
      <c r="M223" s="40"/>
      <c r="O223" s="107"/>
      <c r="P223" s="22"/>
      <c r="Q223" s="23"/>
      <c r="R223" s="107"/>
      <c r="S223" s="107"/>
      <c r="T223" s="107"/>
      <c r="U223" s="107"/>
      <c r="V223" s="107"/>
    </row>
    <row r="224" spans="4:22" s="12" customFormat="1" x14ac:dyDescent="0.2">
      <c r="D224" s="107"/>
      <c r="E224" s="35"/>
      <c r="F224" s="36"/>
      <c r="G224" s="37"/>
      <c r="H224" s="38"/>
      <c r="I224" s="39"/>
      <c r="J224" s="39"/>
      <c r="K224" s="35"/>
      <c r="L224" s="107"/>
      <c r="M224" s="40"/>
      <c r="O224" s="107"/>
      <c r="P224" s="22"/>
      <c r="Q224" s="23"/>
      <c r="R224" s="107"/>
      <c r="S224" s="107"/>
      <c r="T224" s="107"/>
      <c r="U224" s="107"/>
      <c r="V224" s="107"/>
    </row>
    <row r="225" spans="4:22" s="12" customFormat="1" x14ac:dyDescent="0.2">
      <c r="D225" s="107"/>
      <c r="E225" s="35"/>
      <c r="F225" s="36"/>
      <c r="G225" s="37"/>
      <c r="H225" s="38"/>
      <c r="I225" s="39"/>
      <c r="J225" s="39"/>
      <c r="K225" s="35"/>
      <c r="L225" s="107"/>
      <c r="M225" s="40"/>
      <c r="O225" s="107"/>
      <c r="P225" s="22"/>
      <c r="Q225" s="23"/>
      <c r="R225" s="107"/>
      <c r="S225" s="107"/>
      <c r="T225" s="107"/>
      <c r="U225" s="107"/>
      <c r="V225" s="107"/>
    </row>
    <row r="226" spans="4:22" s="12" customFormat="1" x14ac:dyDescent="0.2">
      <c r="D226" s="107"/>
      <c r="E226" s="35"/>
      <c r="F226" s="36"/>
      <c r="G226" s="37"/>
      <c r="H226" s="38"/>
      <c r="I226" s="39"/>
      <c r="J226" s="39"/>
      <c r="K226" s="35"/>
      <c r="L226" s="107"/>
      <c r="M226" s="40"/>
      <c r="O226" s="107"/>
      <c r="P226" s="22"/>
      <c r="Q226" s="23"/>
      <c r="R226" s="107"/>
      <c r="S226" s="107"/>
      <c r="T226" s="107"/>
      <c r="U226" s="107"/>
      <c r="V226" s="107"/>
    </row>
    <row r="227" spans="4:22" s="12" customFormat="1" x14ac:dyDescent="0.2">
      <c r="D227" s="107"/>
      <c r="E227" s="35"/>
      <c r="F227" s="36"/>
      <c r="G227" s="37"/>
      <c r="H227" s="38"/>
      <c r="I227" s="39"/>
      <c r="J227" s="39"/>
      <c r="K227" s="35"/>
      <c r="L227" s="107"/>
      <c r="M227" s="40"/>
      <c r="O227" s="107"/>
      <c r="P227" s="22"/>
      <c r="Q227" s="23"/>
      <c r="R227" s="107"/>
      <c r="S227" s="107"/>
      <c r="T227" s="107"/>
      <c r="U227" s="107"/>
      <c r="V227" s="107"/>
    </row>
    <row r="228" spans="4:22" s="12" customFormat="1" x14ac:dyDescent="0.2">
      <c r="D228" s="107"/>
      <c r="E228" s="35"/>
      <c r="F228" s="36"/>
      <c r="G228" s="37"/>
      <c r="H228" s="38"/>
      <c r="I228" s="39"/>
      <c r="J228" s="39"/>
      <c r="K228" s="35"/>
      <c r="L228" s="107"/>
      <c r="M228" s="40"/>
      <c r="O228" s="107"/>
      <c r="P228" s="22"/>
      <c r="Q228" s="23"/>
      <c r="R228" s="107"/>
      <c r="S228" s="107"/>
      <c r="T228" s="107"/>
      <c r="U228" s="107"/>
      <c r="V228" s="107"/>
    </row>
    <row r="229" spans="4:22" s="12" customFormat="1" x14ac:dyDescent="0.2">
      <c r="D229" s="107"/>
      <c r="E229" s="35"/>
      <c r="F229" s="36"/>
      <c r="G229" s="37"/>
      <c r="H229" s="38"/>
      <c r="I229" s="39"/>
      <c r="J229" s="39"/>
      <c r="K229" s="35"/>
      <c r="L229" s="107"/>
      <c r="M229" s="40"/>
      <c r="O229" s="107"/>
      <c r="P229" s="22"/>
      <c r="Q229" s="23"/>
      <c r="R229" s="107"/>
      <c r="S229" s="107"/>
      <c r="T229" s="107"/>
      <c r="U229" s="107"/>
      <c r="V229" s="107"/>
    </row>
    <row r="230" spans="4:22" s="12" customFormat="1" x14ac:dyDescent="0.2">
      <c r="D230" s="107"/>
      <c r="E230" s="35"/>
      <c r="F230" s="36"/>
      <c r="G230" s="37"/>
      <c r="H230" s="38"/>
      <c r="I230" s="39"/>
      <c r="J230" s="39"/>
      <c r="K230" s="35"/>
      <c r="L230" s="107"/>
      <c r="M230" s="40"/>
      <c r="O230" s="107"/>
      <c r="P230" s="22"/>
      <c r="Q230" s="23"/>
      <c r="R230" s="107"/>
      <c r="S230" s="107"/>
      <c r="T230" s="107"/>
      <c r="U230" s="107"/>
      <c r="V230" s="107"/>
    </row>
    <row r="231" spans="4:22" s="12" customFormat="1" x14ac:dyDescent="0.2">
      <c r="D231" s="107"/>
      <c r="E231" s="35"/>
      <c r="F231" s="36"/>
      <c r="G231" s="37"/>
      <c r="H231" s="38"/>
      <c r="I231" s="39"/>
      <c r="J231" s="39"/>
      <c r="K231" s="35"/>
      <c r="L231" s="107"/>
      <c r="M231" s="40"/>
      <c r="O231" s="107"/>
      <c r="P231" s="22"/>
      <c r="Q231" s="23"/>
      <c r="R231" s="107"/>
      <c r="S231" s="107"/>
      <c r="T231" s="107"/>
      <c r="U231" s="107"/>
      <c r="V231" s="107"/>
    </row>
    <row r="232" spans="4:22" s="12" customFormat="1" x14ac:dyDescent="0.2">
      <c r="D232" s="107"/>
      <c r="E232" s="35"/>
      <c r="F232" s="36"/>
      <c r="G232" s="37"/>
      <c r="H232" s="38"/>
      <c r="I232" s="39"/>
      <c r="J232" s="39"/>
      <c r="K232" s="35"/>
      <c r="L232" s="107"/>
      <c r="M232" s="40"/>
      <c r="O232" s="107"/>
      <c r="P232" s="22"/>
      <c r="Q232" s="23"/>
      <c r="R232" s="107"/>
      <c r="S232" s="107"/>
      <c r="T232" s="107"/>
      <c r="U232" s="107"/>
      <c r="V232" s="107"/>
    </row>
    <row r="233" spans="4:22" s="12" customFormat="1" x14ac:dyDescent="0.2">
      <c r="D233" s="107"/>
      <c r="E233" s="35"/>
      <c r="F233" s="36"/>
      <c r="G233" s="37"/>
      <c r="H233" s="38"/>
      <c r="I233" s="39"/>
      <c r="J233" s="39"/>
      <c r="K233" s="35"/>
      <c r="L233" s="107"/>
      <c r="M233" s="40"/>
      <c r="O233" s="107"/>
      <c r="P233" s="22"/>
      <c r="Q233" s="23"/>
      <c r="R233" s="107"/>
      <c r="S233" s="107"/>
      <c r="T233" s="107"/>
      <c r="U233" s="107"/>
      <c r="V233" s="107"/>
    </row>
    <row r="234" spans="4:22" s="12" customFormat="1" x14ac:dyDescent="0.2">
      <c r="D234" s="107"/>
      <c r="E234" s="35"/>
      <c r="F234" s="36"/>
      <c r="G234" s="37"/>
      <c r="H234" s="38"/>
      <c r="I234" s="39"/>
      <c r="J234" s="39"/>
      <c r="K234" s="35"/>
      <c r="L234" s="107"/>
      <c r="M234" s="40"/>
      <c r="O234" s="107"/>
      <c r="P234" s="22"/>
      <c r="Q234" s="23"/>
      <c r="R234" s="107"/>
      <c r="S234" s="107"/>
      <c r="T234" s="107"/>
      <c r="U234" s="107"/>
      <c r="V234" s="107"/>
    </row>
    <row r="235" spans="4:22" s="12" customFormat="1" x14ac:dyDescent="0.2">
      <c r="D235" s="107"/>
      <c r="E235" s="35"/>
      <c r="F235" s="36"/>
      <c r="G235" s="37"/>
      <c r="H235" s="38"/>
      <c r="I235" s="39"/>
      <c r="J235" s="39"/>
      <c r="K235" s="35"/>
      <c r="L235" s="107"/>
      <c r="M235" s="40"/>
      <c r="O235" s="107"/>
      <c r="P235" s="22"/>
      <c r="Q235" s="23"/>
      <c r="R235" s="107"/>
      <c r="S235" s="107"/>
      <c r="T235" s="107"/>
      <c r="U235" s="107"/>
      <c r="V235" s="107"/>
    </row>
    <row r="236" spans="4:22" s="12" customFormat="1" x14ac:dyDescent="0.2">
      <c r="D236" s="107"/>
      <c r="E236" s="35"/>
      <c r="F236" s="36"/>
      <c r="G236" s="37"/>
      <c r="H236" s="38"/>
      <c r="I236" s="39"/>
      <c r="J236" s="39"/>
      <c r="K236" s="35"/>
      <c r="L236" s="107"/>
      <c r="M236" s="40"/>
      <c r="O236" s="107"/>
      <c r="P236" s="22"/>
      <c r="Q236" s="23"/>
      <c r="R236" s="107"/>
      <c r="S236" s="107"/>
      <c r="T236" s="107"/>
      <c r="U236" s="107"/>
      <c r="V236" s="107"/>
    </row>
    <row r="237" spans="4:22" s="12" customFormat="1" x14ac:dyDescent="0.2">
      <c r="D237" s="107"/>
      <c r="E237" s="35"/>
      <c r="F237" s="36"/>
      <c r="G237" s="37"/>
      <c r="H237" s="38"/>
      <c r="I237" s="39"/>
      <c r="J237" s="39"/>
      <c r="K237" s="35"/>
      <c r="L237" s="107"/>
      <c r="M237" s="40"/>
      <c r="O237" s="107"/>
      <c r="P237" s="22"/>
      <c r="Q237" s="23"/>
      <c r="R237" s="107"/>
      <c r="S237" s="107"/>
      <c r="T237" s="107"/>
      <c r="U237" s="107"/>
      <c r="V237" s="107"/>
    </row>
    <row r="238" spans="4:22" s="12" customFormat="1" x14ac:dyDescent="0.2">
      <c r="D238" s="107"/>
      <c r="E238" s="35"/>
      <c r="F238" s="36"/>
      <c r="G238" s="37"/>
      <c r="H238" s="38"/>
      <c r="I238" s="39"/>
      <c r="J238" s="39"/>
      <c r="K238" s="35"/>
      <c r="L238" s="107"/>
      <c r="M238" s="40"/>
      <c r="O238" s="107"/>
      <c r="P238" s="22"/>
      <c r="Q238" s="23"/>
      <c r="R238" s="107"/>
      <c r="S238" s="107"/>
      <c r="T238" s="107"/>
      <c r="U238" s="107"/>
      <c r="V238" s="107"/>
    </row>
    <row r="239" spans="4:22" s="12" customFormat="1" x14ac:dyDescent="0.2">
      <c r="D239" s="107"/>
      <c r="E239" s="35"/>
      <c r="F239" s="36"/>
      <c r="G239" s="37"/>
      <c r="H239" s="38"/>
      <c r="I239" s="39"/>
      <c r="J239" s="39"/>
      <c r="K239" s="35"/>
      <c r="L239" s="107"/>
      <c r="M239" s="40"/>
      <c r="O239" s="107"/>
      <c r="P239" s="22"/>
      <c r="Q239" s="23"/>
      <c r="R239" s="107"/>
      <c r="S239" s="107"/>
      <c r="T239" s="107"/>
      <c r="U239" s="107"/>
      <c r="V239" s="107"/>
    </row>
    <row r="240" spans="4:22" s="12" customFormat="1" x14ac:dyDescent="0.2">
      <c r="D240" s="107"/>
      <c r="E240" s="35"/>
      <c r="F240" s="36"/>
      <c r="G240" s="37"/>
      <c r="H240" s="38"/>
      <c r="I240" s="39"/>
      <c r="J240" s="39"/>
      <c r="K240" s="35"/>
      <c r="L240" s="107"/>
      <c r="M240" s="40"/>
      <c r="O240" s="107"/>
      <c r="P240" s="22"/>
      <c r="Q240" s="23"/>
      <c r="R240" s="107"/>
      <c r="S240" s="107"/>
      <c r="T240" s="107"/>
      <c r="U240" s="107"/>
      <c r="V240" s="107"/>
    </row>
    <row r="241" spans="4:22" s="12" customFormat="1" x14ac:dyDescent="0.2">
      <c r="D241" s="107"/>
      <c r="E241" s="35"/>
      <c r="F241" s="36"/>
      <c r="G241" s="37"/>
      <c r="H241" s="38"/>
      <c r="I241" s="39"/>
      <c r="J241" s="39"/>
      <c r="K241" s="35"/>
      <c r="L241" s="107"/>
      <c r="M241" s="40"/>
      <c r="O241" s="107"/>
      <c r="P241" s="22"/>
      <c r="Q241" s="23"/>
      <c r="R241" s="107"/>
      <c r="S241" s="107"/>
      <c r="T241" s="107"/>
      <c r="U241" s="107"/>
      <c r="V241" s="107"/>
    </row>
    <row r="242" spans="4:22" s="12" customFormat="1" x14ac:dyDescent="0.2">
      <c r="D242" s="107"/>
      <c r="E242" s="35"/>
      <c r="F242" s="36"/>
      <c r="G242" s="37"/>
      <c r="H242" s="38"/>
      <c r="I242" s="39"/>
      <c r="J242" s="39"/>
      <c r="K242" s="35"/>
      <c r="L242" s="107"/>
      <c r="M242" s="40"/>
      <c r="O242" s="107"/>
      <c r="P242" s="22"/>
      <c r="Q242" s="23"/>
      <c r="R242" s="107"/>
      <c r="S242" s="107"/>
      <c r="T242" s="107"/>
      <c r="U242" s="107"/>
      <c r="V242" s="107"/>
    </row>
    <row r="243" spans="4:22" s="12" customFormat="1" x14ac:dyDescent="0.2">
      <c r="D243" s="107"/>
      <c r="E243" s="35"/>
      <c r="F243" s="36"/>
      <c r="G243" s="37"/>
      <c r="H243" s="38"/>
      <c r="I243" s="39"/>
      <c r="J243" s="39"/>
      <c r="K243" s="35"/>
      <c r="L243" s="107"/>
      <c r="M243" s="40"/>
      <c r="O243" s="107"/>
      <c r="P243" s="22"/>
      <c r="Q243" s="23"/>
      <c r="R243" s="107"/>
      <c r="S243" s="107"/>
      <c r="T243" s="107"/>
      <c r="U243" s="107"/>
      <c r="V243" s="107"/>
    </row>
    <row r="244" spans="4:22" s="12" customFormat="1" x14ac:dyDescent="0.2">
      <c r="D244" s="107"/>
      <c r="E244" s="35"/>
      <c r="F244" s="36"/>
      <c r="G244" s="37"/>
      <c r="H244" s="38"/>
      <c r="I244" s="39"/>
      <c r="J244" s="39"/>
      <c r="K244" s="35"/>
      <c r="L244" s="107"/>
      <c r="M244" s="40"/>
      <c r="O244" s="107"/>
      <c r="P244" s="22"/>
      <c r="Q244" s="23"/>
      <c r="R244" s="107"/>
      <c r="S244" s="107"/>
      <c r="T244" s="107"/>
      <c r="U244" s="107"/>
      <c r="V244" s="107"/>
    </row>
    <row r="245" spans="4:22" s="12" customFormat="1" x14ac:dyDescent="0.2">
      <c r="D245" s="107"/>
      <c r="E245" s="35"/>
      <c r="F245" s="36"/>
      <c r="G245" s="37"/>
      <c r="H245" s="38"/>
      <c r="I245" s="39"/>
      <c r="J245" s="39"/>
      <c r="K245" s="35"/>
      <c r="L245" s="107"/>
      <c r="M245" s="40"/>
      <c r="O245" s="107"/>
      <c r="P245" s="22"/>
      <c r="Q245" s="23"/>
      <c r="R245" s="107"/>
      <c r="S245" s="107"/>
      <c r="T245" s="107"/>
      <c r="U245" s="107"/>
      <c r="V245" s="107"/>
    </row>
    <row r="246" spans="4:22" s="12" customFormat="1" x14ac:dyDescent="0.2">
      <c r="D246" s="107"/>
      <c r="E246" s="35"/>
      <c r="F246" s="36"/>
      <c r="G246" s="37"/>
      <c r="H246" s="38"/>
      <c r="I246" s="39"/>
      <c r="J246" s="39"/>
      <c r="K246" s="35"/>
      <c r="L246" s="107"/>
      <c r="M246" s="40"/>
      <c r="O246" s="107"/>
      <c r="P246" s="22"/>
      <c r="Q246" s="23"/>
      <c r="R246" s="107"/>
      <c r="S246" s="107"/>
      <c r="T246" s="107"/>
      <c r="U246" s="107"/>
      <c r="V246" s="107"/>
    </row>
    <row r="247" spans="4:22" s="12" customFormat="1" x14ac:dyDescent="0.2">
      <c r="D247" s="107"/>
      <c r="E247" s="35"/>
      <c r="F247" s="36"/>
      <c r="G247" s="37"/>
      <c r="H247" s="38"/>
      <c r="I247" s="39"/>
      <c r="J247" s="39"/>
      <c r="K247" s="35"/>
      <c r="L247" s="107"/>
      <c r="M247" s="40"/>
      <c r="O247" s="107"/>
      <c r="P247" s="22"/>
      <c r="Q247" s="23"/>
      <c r="R247" s="107"/>
      <c r="S247" s="107"/>
      <c r="T247" s="107"/>
      <c r="U247" s="107"/>
      <c r="V247" s="107"/>
    </row>
    <row r="248" spans="4:22" s="12" customFormat="1" x14ac:dyDescent="0.2">
      <c r="D248" s="107"/>
      <c r="E248" s="35"/>
      <c r="F248" s="36"/>
      <c r="G248" s="37"/>
      <c r="H248" s="38"/>
      <c r="I248" s="39"/>
      <c r="J248" s="39"/>
      <c r="K248" s="35"/>
      <c r="L248" s="107"/>
      <c r="M248" s="40"/>
      <c r="O248" s="107"/>
      <c r="P248" s="22"/>
      <c r="Q248" s="23"/>
      <c r="R248" s="107"/>
      <c r="S248" s="107"/>
      <c r="T248" s="107"/>
      <c r="U248" s="107"/>
      <c r="V248" s="107"/>
    </row>
    <row r="249" spans="4:22" s="12" customFormat="1" x14ac:dyDescent="0.2">
      <c r="D249" s="107"/>
      <c r="E249" s="35"/>
      <c r="F249" s="36"/>
      <c r="G249" s="37"/>
      <c r="H249" s="38"/>
      <c r="I249" s="39"/>
      <c r="J249" s="39"/>
      <c r="K249" s="35"/>
      <c r="L249" s="107"/>
      <c r="M249" s="40"/>
      <c r="O249" s="107"/>
      <c r="P249" s="22"/>
      <c r="Q249" s="23"/>
      <c r="R249" s="107"/>
      <c r="S249" s="107"/>
      <c r="T249" s="107"/>
      <c r="U249" s="107"/>
      <c r="V249" s="107"/>
    </row>
    <row r="250" spans="4:22" s="12" customFormat="1" x14ac:dyDescent="0.2">
      <c r="D250" s="107"/>
      <c r="E250" s="35"/>
      <c r="F250" s="36"/>
      <c r="G250" s="37"/>
      <c r="H250" s="38"/>
      <c r="I250" s="39"/>
      <c r="J250" s="39"/>
      <c r="K250" s="35"/>
      <c r="L250" s="107"/>
      <c r="M250" s="40"/>
      <c r="O250" s="107"/>
      <c r="P250" s="22"/>
      <c r="Q250" s="23"/>
      <c r="R250" s="107"/>
      <c r="S250" s="107"/>
      <c r="T250" s="107"/>
      <c r="U250" s="107"/>
      <c r="V250" s="107"/>
    </row>
    <row r="251" spans="4:22" s="12" customFormat="1" x14ac:dyDescent="0.2">
      <c r="D251" s="107"/>
      <c r="E251" s="35"/>
      <c r="F251" s="36"/>
      <c r="G251" s="37"/>
      <c r="H251" s="38"/>
      <c r="I251" s="39"/>
      <c r="J251" s="39"/>
      <c r="K251" s="35"/>
      <c r="L251" s="107"/>
      <c r="M251" s="40"/>
      <c r="O251" s="107"/>
      <c r="P251" s="22"/>
      <c r="Q251" s="23"/>
      <c r="R251" s="107"/>
      <c r="S251" s="107"/>
      <c r="T251" s="107"/>
      <c r="U251" s="107"/>
      <c r="V251" s="107"/>
    </row>
    <row r="252" spans="4:22" s="12" customFormat="1" x14ac:dyDescent="0.2">
      <c r="D252" s="107"/>
      <c r="E252" s="35"/>
      <c r="F252" s="36"/>
      <c r="G252" s="37"/>
      <c r="H252" s="38"/>
      <c r="I252" s="39"/>
      <c r="J252" s="39"/>
      <c r="K252" s="35"/>
      <c r="L252" s="107"/>
      <c r="M252" s="40"/>
      <c r="O252" s="107"/>
      <c r="P252" s="22"/>
      <c r="Q252" s="23"/>
      <c r="R252" s="107"/>
      <c r="S252" s="107"/>
      <c r="T252" s="107"/>
      <c r="U252" s="107"/>
      <c r="V252" s="107"/>
    </row>
    <row r="253" spans="4:22" s="12" customFormat="1" x14ac:dyDescent="0.2">
      <c r="D253" s="107"/>
      <c r="E253" s="35"/>
      <c r="F253" s="36"/>
      <c r="G253" s="37"/>
      <c r="H253" s="38"/>
      <c r="I253" s="39"/>
      <c r="J253" s="39"/>
      <c r="K253" s="35"/>
      <c r="L253" s="107"/>
      <c r="M253" s="40"/>
      <c r="O253" s="107"/>
      <c r="P253" s="22"/>
      <c r="Q253" s="23"/>
      <c r="R253" s="107"/>
      <c r="S253" s="107"/>
      <c r="T253" s="107"/>
      <c r="U253" s="107"/>
      <c r="V253" s="107"/>
    </row>
    <row r="254" spans="4:22" s="12" customFormat="1" x14ac:dyDescent="0.2">
      <c r="D254" s="107"/>
      <c r="E254" s="35"/>
      <c r="F254" s="36"/>
      <c r="G254" s="37"/>
      <c r="H254" s="38"/>
      <c r="I254" s="39"/>
      <c r="J254" s="39"/>
      <c r="K254" s="35"/>
      <c r="L254" s="107"/>
      <c r="M254" s="40"/>
      <c r="O254" s="107"/>
      <c r="P254" s="22"/>
      <c r="Q254" s="23"/>
      <c r="R254" s="107"/>
      <c r="S254" s="107"/>
      <c r="T254" s="107"/>
      <c r="U254" s="107"/>
      <c r="V254" s="107"/>
    </row>
    <row r="255" spans="4:22" s="12" customFormat="1" x14ac:dyDescent="0.2">
      <c r="D255" s="107"/>
      <c r="E255" s="35"/>
      <c r="F255" s="36"/>
      <c r="G255" s="37"/>
      <c r="H255" s="38"/>
      <c r="I255" s="39"/>
      <c r="J255" s="39"/>
      <c r="K255" s="35"/>
      <c r="L255" s="107"/>
      <c r="M255" s="40"/>
      <c r="O255" s="107"/>
      <c r="P255" s="22"/>
      <c r="Q255" s="23"/>
      <c r="R255" s="107"/>
      <c r="S255" s="107"/>
      <c r="T255" s="107"/>
      <c r="U255" s="107"/>
      <c r="V255" s="107"/>
    </row>
    <row r="256" spans="4:22" s="12" customFormat="1" x14ac:dyDescent="0.2">
      <c r="D256" s="107"/>
      <c r="E256" s="35"/>
      <c r="F256" s="36"/>
      <c r="G256" s="37"/>
      <c r="H256" s="38"/>
      <c r="I256" s="39"/>
      <c r="J256" s="39"/>
      <c r="K256" s="35"/>
      <c r="L256" s="107"/>
      <c r="M256" s="40"/>
      <c r="O256" s="107"/>
      <c r="P256" s="22"/>
      <c r="Q256" s="23"/>
      <c r="R256" s="107"/>
      <c r="S256" s="107"/>
      <c r="T256" s="107"/>
      <c r="U256" s="107"/>
      <c r="V256" s="107"/>
    </row>
    <row r="257" spans="4:22" s="12" customFormat="1" x14ac:dyDescent="0.2">
      <c r="D257" s="107"/>
      <c r="E257" s="35"/>
      <c r="F257" s="36"/>
      <c r="G257" s="37"/>
      <c r="H257" s="38"/>
      <c r="I257" s="39"/>
      <c r="J257" s="39"/>
      <c r="K257" s="35"/>
      <c r="L257" s="107"/>
      <c r="M257" s="40"/>
      <c r="O257" s="107"/>
      <c r="P257" s="22"/>
      <c r="Q257" s="23"/>
      <c r="R257" s="107"/>
      <c r="S257" s="107"/>
      <c r="T257" s="107"/>
      <c r="U257" s="107"/>
      <c r="V257" s="107"/>
    </row>
    <row r="258" spans="4:22" s="12" customFormat="1" x14ac:dyDescent="0.2">
      <c r="D258" s="107"/>
      <c r="E258" s="35"/>
      <c r="F258" s="36"/>
      <c r="G258" s="37"/>
      <c r="H258" s="38"/>
      <c r="I258" s="39"/>
      <c r="J258" s="39"/>
      <c r="K258" s="35"/>
      <c r="L258" s="107"/>
      <c r="M258" s="40"/>
      <c r="O258" s="107"/>
      <c r="P258" s="22"/>
      <c r="Q258" s="23"/>
      <c r="R258" s="107"/>
      <c r="S258" s="107"/>
      <c r="T258" s="107"/>
      <c r="U258" s="107"/>
      <c r="V258" s="107"/>
    </row>
    <row r="259" spans="4:22" s="12" customFormat="1" x14ac:dyDescent="0.2">
      <c r="D259" s="107"/>
      <c r="E259" s="35"/>
      <c r="F259" s="36"/>
      <c r="G259" s="37"/>
      <c r="H259" s="38"/>
      <c r="I259" s="39"/>
      <c r="J259" s="39"/>
      <c r="K259" s="35"/>
      <c r="L259" s="107"/>
      <c r="M259" s="40"/>
      <c r="O259" s="107"/>
      <c r="P259" s="22"/>
      <c r="Q259" s="23"/>
      <c r="R259" s="107"/>
      <c r="S259" s="107"/>
      <c r="T259" s="107"/>
      <c r="U259" s="107"/>
      <c r="V259" s="107"/>
    </row>
    <row r="260" spans="4:22" s="12" customFormat="1" x14ac:dyDescent="0.2">
      <c r="D260" s="107"/>
      <c r="E260" s="35"/>
      <c r="F260" s="36"/>
      <c r="G260" s="37"/>
      <c r="H260" s="38"/>
      <c r="I260" s="39"/>
      <c r="J260" s="39"/>
      <c r="K260" s="35"/>
      <c r="L260" s="107"/>
      <c r="M260" s="40"/>
      <c r="O260" s="107"/>
      <c r="P260" s="22"/>
      <c r="Q260" s="23"/>
      <c r="R260" s="107"/>
      <c r="S260" s="107"/>
      <c r="T260" s="107"/>
      <c r="U260" s="107"/>
      <c r="V260" s="107"/>
    </row>
    <row r="261" spans="4:22" s="12" customFormat="1" x14ac:dyDescent="0.2">
      <c r="D261" s="107"/>
      <c r="E261" s="35"/>
      <c r="F261" s="36"/>
      <c r="G261" s="37"/>
      <c r="H261" s="38"/>
      <c r="I261" s="39"/>
      <c r="J261" s="39"/>
      <c r="K261" s="35"/>
      <c r="L261" s="107"/>
      <c r="M261" s="40"/>
      <c r="O261" s="107"/>
      <c r="P261" s="22"/>
      <c r="Q261" s="23"/>
      <c r="R261" s="107"/>
      <c r="S261" s="107"/>
      <c r="T261" s="107"/>
      <c r="U261" s="107"/>
      <c r="V261" s="107"/>
    </row>
    <row r="262" spans="4:22" s="12" customFormat="1" x14ac:dyDescent="0.2">
      <c r="D262" s="107"/>
      <c r="E262" s="35"/>
      <c r="F262" s="36"/>
      <c r="G262" s="37"/>
      <c r="H262" s="38"/>
      <c r="I262" s="39"/>
      <c r="J262" s="39"/>
      <c r="K262" s="35"/>
      <c r="L262" s="107"/>
      <c r="M262" s="40"/>
      <c r="O262" s="107"/>
      <c r="P262" s="22"/>
      <c r="Q262" s="23"/>
      <c r="R262" s="107"/>
      <c r="S262" s="107"/>
      <c r="T262" s="107"/>
      <c r="U262" s="107"/>
      <c r="V262" s="107"/>
    </row>
    <row r="263" spans="4:22" s="12" customFormat="1" x14ac:dyDescent="0.2">
      <c r="D263" s="107"/>
      <c r="E263" s="35"/>
      <c r="F263" s="36"/>
      <c r="G263" s="37"/>
      <c r="H263" s="38"/>
      <c r="I263" s="39"/>
      <c r="J263" s="39"/>
      <c r="K263" s="35"/>
      <c r="L263" s="107"/>
      <c r="M263" s="40"/>
      <c r="O263" s="107"/>
      <c r="P263" s="22"/>
      <c r="Q263" s="23"/>
      <c r="R263" s="107"/>
      <c r="S263" s="107"/>
      <c r="T263" s="107"/>
      <c r="U263" s="107"/>
      <c r="V263" s="107"/>
    </row>
    <row r="264" spans="4:22" s="12" customFormat="1" x14ac:dyDescent="0.2">
      <c r="D264" s="107"/>
      <c r="E264" s="35"/>
      <c r="F264" s="36"/>
      <c r="G264" s="37"/>
      <c r="H264" s="38"/>
      <c r="I264" s="39"/>
      <c r="J264" s="39"/>
      <c r="K264" s="35"/>
      <c r="L264" s="107"/>
      <c r="M264" s="40"/>
      <c r="O264" s="107"/>
      <c r="P264" s="22"/>
      <c r="Q264" s="23"/>
      <c r="R264" s="107"/>
      <c r="S264" s="107"/>
      <c r="T264" s="107"/>
      <c r="U264" s="107"/>
      <c r="V264" s="107"/>
    </row>
    <row r="265" spans="4:22" s="12" customFormat="1" x14ac:dyDescent="0.2">
      <c r="D265" s="107"/>
      <c r="E265" s="35"/>
      <c r="F265" s="36"/>
      <c r="G265" s="37"/>
      <c r="H265" s="38"/>
      <c r="I265" s="39"/>
      <c r="J265" s="39"/>
      <c r="K265" s="35"/>
      <c r="L265" s="107"/>
      <c r="M265" s="40"/>
      <c r="O265" s="107"/>
      <c r="P265" s="22"/>
      <c r="Q265" s="23"/>
      <c r="R265" s="107"/>
      <c r="S265" s="107"/>
      <c r="T265" s="107"/>
      <c r="U265" s="107"/>
      <c r="V265" s="107"/>
    </row>
    <row r="266" spans="4:22" s="12" customFormat="1" x14ac:dyDescent="0.2">
      <c r="D266" s="107"/>
      <c r="E266" s="35"/>
      <c r="F266" s="36"/>
      <c r="G266" s="37"/>
      <c r="H266" s="38"/>
      <c r="I266" s="39"/>
      <c r="J266" s="39"/>
      <c r="K266" s="35"/>
      <c r="L266" s="107"/>
      <c r="M266" s="40"/>
      <c r="O266" s="107"/>
      <c r="P266" s="22"/>
      <c r="Q266" s="23"/>
      <c r="R266" s="107"/>
      <c r="S266" s="107"/>
      <c r="T266" s="107"/>
      <c r="U266" s="107"/>
      <c r="V266" s="107"/>
    </row>
    <row r="267" spans="4:22" s="12" customFormat="1" x14ac:dyDescent="0.2">
      <c r="D267" s="107"/>
      <c r="E267" s="35"/>
      <c r="F267" s="36"/>
      <c r="G267" s="37"/>
      <c r="H267" s="38"/>
      <c r="I267" s="39"/>
      <c r="J267" s="39"/>
      <c r="K267" s="35"/>
      <c r="L267" s="107"/>
      <c r="M267" s="40"/>
      <c r="O267" s="107"/>
      <c r="P267" s="22"/>
      <c r="Q267" s="23"/>
      <c r="R267" s="107"/>
      <c r="S267" s="107"/>
      <c r="T267" s="107"/>
      <c r="U267" s="107"/>
      <c r="V267" s="107"/>
    </row>
    <row r="268" spans="4:22" s="12" customFormat="1" x14ac:dyDescent="0.2">
      <c r="D268" s="107"/>
      <c r="E268" s="35"/>
      <c r="F268" s="36"/>
      <c r="G268" s="37"/>
      <c r="H268" s="38"/>
      <c r="I268" s="39"/>
      <c r="J268" s="39"/>
      <c r="K268" s="35"/>
      <c r="L268" s="107"/>
      <c r="M268" s="40"/>
      <c r="O268" s="107"/>
      <c r="P268" s="22"/>
      <c r="Q268" s="23"/>
      <c r="R268" s="107"/>
      <c r="S268" s="107"/>
      <c r="T268" s="107"/>
      <c r="U268" s="107"/>
      <c r="V268" s="107"/>
    </row>
    <row r="269" spans="4:22" s="12" customFormat="1" x14ac:dyDescent="0.2">
      <c r="D269" s="107"/>
      <c r="E269" s="35"/>
      <c r="F269" s="36"/>
      <c r="G269" s="37"/>
      <c r="H269" s="38"/>
      <c r="I269" s="39"/>
      <c r="J269" s="39"/>
      <c r="K269" s="35"/>
      <c r="L269" s="107"/>
      <c r="M269" s="40"/>
      <c r="O269" s="107"/>
      <c r="P269" s="22"/>
      <c r="Q269" s="23"/>
      <c r="R269" s="107"/>
      <c r="S269" s="107"/>
      <c r="T269" s="107"/>
      <c r="U269" s="107"/>
      <c r="V269" s="107"/>
    </row>
    <row r="270" spans="4:22" s="12" customFormat="1" x14ac:dyDescent="0.2">
      <c r="D270" s="107"/>
      <c r="E270" s="35"/>
      <c r="F270" s="36"/>
      <c r="G270" s="37"/>
      <c r="H270" s="38"/>
      <c r="I270" s="39"/>
      <c r="J270" s="39"/>
      <c r="K270" s="35"/>
      <c r="L270" s="107"/>
      <c r="M270" s="40"/>
      <c r="O270" s="107"/>
      <c r="P270" s="22"/>
      <c r="Q270" s="23"/>
      <c r="R270" s="107"/>
      <c r="S270" s="107"/>
      <c r="T270" s="107"/>
      <c r="U270" s="107"/>
      <c r="V270" s="107"/>
    </row>
    <row r="271" spans="4:22" s="12" customFormat="1" x14ac:dyDescent="0.2">
      <c r="D271" s="107"/>
      <c r="E271" s="35"/>
      <c r="F271" s="36"/>
      <c r="G271" s="37"/>
      <c r="H271" s="38"/>
      <c r="I271" s="39"/>
      <c r="J271" s="39"/>
      <c r="K271" s="35"/>
      <c r="L271" s="107"/>
      <c r="M271" s="40"/>
      <c r="O271" s="107"/>
      <c r="P271" s="22"/>
      <c r="Q271" s="23"/>
      <c r="R271" s="107"/>
      <c r="S271" s="107"/>
      <c r="T271" s="107"/>
      <c r="U271" s="107"/>
      <c r="V271" s="107"/>
    </row>
    <row r="272" spans="4:22" s="12" customFormat="1" x14ac:dyDescent="0.2">
      <c r="D272" s="107"/>
      <c r="E272" s="35"/>
      <c r="F272" s="36"/>
      <c r="G272" s="37"/>
      <c r="H272" s="38"/>
      <c r="I272" s="39"/>
      <c r="J272" s="39"/>
      <c r="K272" s="35"/>
      <c r="L272" s="107"/>
      <c r="M272" s="40"/>
      <c r="O272" s="107"/>
      <c r="P272" s="22"/>
      <c r="Q272" s="23"/>
      <c r="R272" s="107"/>
      <c r="S272" s="107"/>
      <c r="T272" s="107"/>
      <c r="U272" s="107"/>
      <c r="V272" s="107"/>
    </row>
    <row r="273" spans="4:22" s="12" customFormat="1" x14ac:dyDescent="0.2">
      <c r="D273" s="107"/>
      <c r="E273" s="35"/>
      <c r="F273" s="36"/>
      <c r="G273" s="37"/>
      <c r="H273" s="38"/>
      <c r="I273" s="39"/>
      <c r="J273" s="39"/>
      <c r="K273" s="35"/>
      <c r="L273" s="107"/>
      <c r="M273" s="40"/>
      <c r="O273" s="107"/>
      <c r="P273" s="22"/>
      <c r="Q273" s="23"/>
      <c r="R273" s="107"/>
      <c r="S273" s="107"/>
      <c r="T273" s="107"/>
      <c r="U273" s="107"/>
      <c r="V273" s="107"/>
    </row>
    <row r="274" spans="4:22" s="12" customFormat="1" x14ac:dyDescent="0.2">
      <c r="D274" s="107"/>
      <c r="E274" s="35"/>
      <c r="F274" s="36"/>
      <c r="G274" s="37"/>
      <c r="H274" s="38"/>
      <c r="I274" s="39"/>
      <c r="J274" s="39"/>
      <c r="K274" s="35"/>
      <c r="L274" s="107"/>
      <c r="M274" s="40"/>
      <c r="O274" s="107"/>
      <c r="P274" s="22"/>
      <c r="Q274" s="23"/>
      <c r="R274" s="107"/>
      <c r="S274" s="107"/>
      <c r="T274" s="107"/>
      <c r="U274" s="107"/>
      <c r="V274" s="107"/>
    </row>
    <row r="275" spans="4:22" s="12" customFormat="1" x14ac:dyDescent="0.2">
      <c r="D275" s="107"/>
      <c r="E275" s="35"/>
      <c r="F275" s="36"/>
      <c r="G275" s="37"/>
      <c r="H275" s="38"/>
      <c r="I275" s="39"/>
      <c r="J275" s="39"/>
      <c r="K275" s="35"/>
      <c r="L275" s="107"/>
      <c r="M275" s="40"/>
      <c r="O275" s="107"/>
      <c r="P275" s="22"/>
      <c r="Q275" s="23"/>
      <c r="R275" s="107"/>
      <c r="S275" s="107"/>
      <c r="T275" s="107"/>
      <c r="U275" s="107"/>
      <c r="V275" s="107"/>
    </row>
    <row r="276" spans="4:22" s="12" customFormat="1" x14ac:dyDescent="0.2">
      <c r="D276" s="107"/>
      <c r="E276" s="35"/>
      <c r="F276" s="36"/>
      <c r="G276" s="37"/>
      <c r="H276" s="38"/>
      <c r="I276" s="39"/>
      <c r="J276" s="39"/>
      <c r="K276" s="35"/>
      <c r="L276" s="107"/>
      <c r="M276" s="40"/>
      <c r="O276" s="107"/>
      <c r="P276" s="22"/>
      <c r="Q276" s="23"/>
      <c r="R276" s="107"/>
      <c r="S276" s="107"/>
      <c r="T276" s="107"/>
      <c r="U276" s="107"/>
      <c r="V276" s="107"/>
    </row>
    <row r="277" spans="4:22" s="12" customFormat="1" x14ac:dyDescent="0.2">
      <c r="D277" s="107"/>
      <c r="E277" s="35"/>
      <c r="F277" s="36"/>
      <c r="G277" s="37"/>
      <c r="H277" s="38"/>
      <c r="I277" s="39"/>
      <c r="J277" s="39"/>
      <c r="K277" s="35"/>
      <c r="L277" s="107"/>
      <c r="M277" s="40"/>
      <c r="O277" s="107"/>
      <c r="P277" s="22"/>
      <c r="Q277" s="23"/>
      <c r="R277" s="107"/>
      <c r="S277" s="107"/>
      <c r="T277" s="107"/>
      <c r="U277" s="107"/>
      <c r="V277" s="107"/>
    </row>
    <row r="278" spans="4:22" s="12" customFormat="1" x14ac:dyDescent="0.2">
      <c r="D278" s="107"/>
      <c r="E278" s="35"/>
      <c r="F278" s="36"/>
      <c r="G278" s="37"/>
      <c r="H278" s="38"/>
      <c r="I278" s="39"/>
      <c r="J278" s="39"/>
      <c r="K278" s="35"/>
      <c r="L278" s="107"/>
      <c r="M278" s="40"/>
      <c r="O278" s="107"/>
      <c r="P278" s="22"/>
      <c r="Q278" s="23"/>
      <c r="R278" s="107"/>
      <c r="S278" s="107"/>
      <c r="T278" s="107"/>
      <c r="U278" s="107"/>
      <c r="V278" s="107"/>
    </row>
    <row r="279" spans="4:22" s="12" customFormat="1" x14ac:dyDescent="0.2">
      <c r="D279" s="107"/>
      <c r="E279" s="35"/>
      <c r="F279" s="36"/>
      <c r="G279" s="37"/>
      <c r="H279" s="38"/>
      <c r="I279" s="39"/>
      <c r="J279" s="39"/>
      <c r="K279" s="35"/>
      <c r="L279" s="107"/>
      <c r="M279" s="40"/>
      <c r="O279" s="107"/>
      <c r="P279" s="22"/>
      <c r="Q279" s="23"/>
      <c r="R279" s="107"/>
      <c r="S279" s="107"/>
      <c r="T279" s="107"/>
      <c r="U279" s="107"/>
      <c r="V279" s="107"/>
    </row>
    <row r="280" spans="4:22" s="12" customFormat="1" x14ac:dyDescent="0.2">
      <c r="D280" s="107"/>
      <c r="E280" s="35"/>
      <c r="F280" s="36"/>
      <c r="G280" s="37"/>
      <c r="H280" s="38"/>
      <c r="I280" s="39"/>
      <c r="J280" s="39"/>
      <c r="K280" s="35"/>
      <c r="L280" s="107"/>
      <c r="M280" s="40"/>
      <c r="O280" s="107"/>
      <c r="P280" s="22"/>
      <c r="Q280" s="23"/>
      <c r="R280" s="107"/>
      <c r="S280" s="107"/>
      <c r="T280" s="107"/>
      <c r="U280" s="107"/>
      <c r="V280" s="107"/>
    </row>
    <row r="281" spans="4:22" s="12" customFormat="1" x14ac:dyDescent="0.2">
      <c r="D281" s="107"/>
      <c r="E281" s="35"/>
      <c r="F281" s="36"/>
      <c r="G281" s="37"/>
      <c r="H281" s="38"/>
      <c r="I281" s="39"/>
      <c r="J281" s="39"/>
      <c r="K281" s="35"/>
      <c r="L281" s="107"/>
      <c r="M281" s="40"/>
      <c r="O281" s="107"/>
      <c r="P281" s="22"/>
      <c r="Q281" s="23"/>
      <c r="R281" s="107"/>
      <c r="S281" s="107"/>
      <c r="T281" s="107"/>
      <c r="U281" s="107"/>
      <c r="V281" s="107"/>
    </row>
    <row r="282" spans="4:22" s="12" customFormat="1" x14ac:dyDescent="0.2">
      <c r="D282" s="107"/>
      <c r="E282" s="35"/>
      <c r="F282" s="36"/>
      <c r="G282" s="37"/>
      <c r="H282" s="38"/>
      <c r="I282" s="39"/>
      <c r="J282" s="39"/>
      <c r="K282" s="35"/>
      <c r="L282" s="107"/>
      <c r="M282" s="40"/>
      <c r="O282" s="107"/>
      <c r="P282" s="22"/>
      <c r="Q282" s="23"/>
      <c r="R282" s="107"/>
      <c r="S282" s="107"/>
      <c r="T282" s="107"/>
      <c r="U282" s="107"/>
      <c r="V282" s="107"/>
    </row>
    <row r="283" spans="4:22" s="12" customFormat="1" x14ac:dyDescent="0.2">
      <c r="D283" s="107"/>
      <c r="E283" s="35"/>
      <c r="F283" s="36"/>
      <c r="G283" s="37"/>
      <c r="H283" s="38"/>
      <c r="I283" s="39"/>
      <c r="J283" s="39"/>
      <c r="K283" s="35"/>
      <c r="L283" s="107"/>
      <c r="M283" s="40"/>
      <c r="O283" s="107"/>
      <c r="P283" s="22"/>
      <c r="Q283" s="23"/>
      <c r="R283" s="107"/>
      <c r="S283" s="107"/>
      <c r="T283" s="107"/>
      <c r="U283" s="107"/>
      <c r="V283" s="107"/>
    </row>
    <row r="284" spans="4:22" s="12" customFormat="1" x14ac:dyDescent="0.2">
      <c r="D284" s="107"/>
      <c r="E284" s="35"/>
      <c r="F284" s="36"/>
      <c r="G284" s="37"/>
      <c r="H284" s="38"/>
      <c r="I284" s="39"/>
      <c r="J284" s="39"/>
      <c r="K284" s="35"/>
      <c r="L284" s="107"/>
      <c r="M284" s="40"/>
      <c r="O284" s="107"/>
      <c r="P284" s="22"/>
      <c r="Q284" s="23"/>
      <c r="R284" s="107"/>
      <c r="S284" s="107"/>
      <c r="T284" s="107"/>
      <c r="U284" s="107"/>
      <c r="V284" s="107"/>
    </row>
    <row r="285" spans="4:22" s="12" customFormat="1" x14ac:dyDescent="0.2">
      <c r="D285" s="107"/>
      <c r="E285" s="35"/>
      <c r="F285" s="36"/>
      <c r="G285" s="37"/>
      <c r="H285" s="38"/>
      <c r="I285" s="39"/>
      <c r="J285" s="39"/>
      <c r="K285" s="35"/>
      <c r="L285" s="107"/>
      <c r="M285" s="40"/>
      <c r="O285" s="107"/>
      <c r="P285" s="22"/>
      <c r="Q285" s="23"/>
      <c r="R285" s="107"/>
      <c r="S285" s="107"/>
      <c r="T285" s="107"/>
      <c r="U285" s="107"/>
      <c r="V285" s="107"/>
    </row>
    <row r="286" spans="4:22" s="12" customFormat="1" x14ac:dyDescent="0.2">
      <c r="D286" s="107"/>
      <c r="E286" s="35"/>
      <c r="F286" s="36"/>
      <c r="G286" s="37"/>
      <c r="H286" s="38"/>
      <c r="I286" s="39"/>
      <c r="J286" s="39"/>
      <c r="K286" s="35"/>
      <c r="L286" s="107"/>
      <c r="M286" s="40"/>
      <c r="O286" s="107"/>
      <c r="P286" s="22"/>
      <c r="Q286" s="23"/>
      <c r="R286" s="107"/>
      <c r="S286" s="107"/>
      <c r="T286" s="107"/>
      <c r="U286" s="107"/>
      <c r="V286" s="107"/>
    </row>
    <row r="287" spans="4:22" s="12" customFormat="1" x14ac:dyDescent="0.2">
      <c r="D287" s="107"/>
      <c r="E287" s="35"/>
      <c r="F287" s="36"/>
      <c r="G287" s="37"/>
      <c r="H287" s="38"/>
      <c r="I287" s="39"/>
      <c r="J287" s="39"/>
      <c r="K287" s="35"/>
      <c r="L287" s="107"/>
      <c r="M287" s="40"/>
      <c r="O287" s="107"/>
      <c r="P287" s="22"/>
      <c r="Q287" s="23"/>
      <c r="R287" s="107"/>
      <c r="S287" s="107"/>
      <c r="T287" s="107"/>
      <c r="U287" s="107"/>
      <c r="V287" s="107"/>
    </row>
    <row r="288" spans="4:22" s="12" customFormat="1" x14ac:dyDescent="0.2">
      <c r="D288" s="107"/>
      <c r="E288" s="35"/>
      <c r="F288" s="36"/>
      <c r="G288" s="37"/>
      <c r="H288" s="38"/>
      <c r="I288" s="39"/>
      <c r="J288" s="39"/>
      <c r="K288" s="35"/>
      <c r="L288" s="107"/>
      <c r="M288" s="40"/>
      <c r="O288" s="107"/>
      <c r="P288" s="22"/>
      <c r="Q288" s="23"/>
      <c r="R288" s="107"/>
      <c r="S288" s="107"/>
      <c r="T288" s="107"/>
      <c r="U288" s="107"/>
      <c r="V288" s="107"/>
    </row>
    <row r="289" spans="4:22" s="12" customFormat="1" x14ac:dyDescent="0.2">
      <c r="D289" s="107"/>
      <c r="E289" s="35"/>
      <c r="F289" s="36"/>
      <c r="G289" s="37"/>
      <c r="H289" s="38"/>
      <c r="I289" s="39"/>
      <c r="J289" s="39"/>
      <c r="K289" s="35"/>
      <c r="L289" s="107"/>
      <c r="M289" s="40"/>
      <c r="O289" s="107"/>
      <c r="P289" s="22"/>
      <c r="Q289" s="23"/>
      <c r="R289" s="107"/>
      <c r="S289" s="107"/>
      <c r="T289" s="107"/>
      <c r="U289" s="107"/>
      <c r="V289" s="107"/>
    </row>
    <row r="290" spans="4:22" s="12" customFormat="1" x14ac:dyDescent="0.2">
      <c r="D290" s="107"/>
      <c r="E290" s="35"/>
      <c r="F290" s="36"/>
      <c r="G290" s="37"/>
      <c r="H290" s="38"/>
      <c r="I290" s="39"/>
      <c r="J290" s="39"/>
      <c r="K290" s="35"/>
      <c r="L290" s="107"/>
      <c r="M290" s="40"/>
      <c r="O290" s="107"/>
      <c r="P290" s="22"/>
      <c r="Q290" s="23"/>
      <c r="R290" s="107"/>
      <c r="S290" s="107"/>
      <c r="T290" s="107"/>
      <c r="U290" s="107"/>
      <c r="V290" s="107"/>
    </row>
    <row r="291" spans="4:22" s="12" customFormat="1" x14ac:dyDescent="0.2">
      <c r="D291" s="107"/>
      <c r="E291" s="35"/>
      <c r="F291" s="36"/>
      <c r="G291" s="37"/>
      <c r="H291" s="38"/>
      <c r="I291" s="39"/>
      <c r="J291" s="39"/>
      <c r="K291" s="35"/>
      <c r="L291" s="107"/>
      <c r="M291" s="40"/>
      <c r="O291" s="107"/>
      <c r="P291" s="22"/>
      <c r="Q291" s="23"/>
      <c r="R291" s="107"/>
      <c r="S291" s="107"/>
      <c r="T291" s="107"/>
      <c r="U291" s="107"/>
      <c r="V291" s="107"/>
    </row>
    <row r="292" spans="4:22" s="12" customFormat="1" x14ac:dyDescent="0.2">
      <c r="D292" s="107"/>
      <c r="E292" s="35"/>
      <c r="F292" s="36"/>
      <c r="G292" s="37"/>
      <c r="H292" s="38"/>
      <c r="I292" s="39"/>
      <c r="J292" s="39"/>
      <c r="K292" s="35"/>
      <c r="L292" s="107"/>
      <c r="M292" s="40"/>
      <c r="O292" s="107"/>
      <c r="P292" s="22"/>
      <c r="Q292" s="23"/>
      <c r="R292" s="107"/>
      <c r="S292" s="107"/>
      <c r="T292" s="107"/>
      <c r="U292" s="107"/>
      <c r="V292" s="107"/>
    </row>
    <row r="293" spans="4:22" s="12" customFormat="1" x14ac:dyDescent="0.2">
      <c r="D293" s="107"/>
      <c r="E293" s="35"/>
      <c r="F293" s="36"/>
      <c r="G293" s="37"/>
      <c r="H293" s="38"/>
      <c r="I293" s="39"/>
      <c r="J293" s="39"/>
      <c r="K293" s="35"/>
      <c r="L293" s="107"/>
      <c r="M293" s="40"/>
      <c r="O293" s="107"/>
      <c r="P293" s="22"/>
      <c r="Q293" s="23"/>
      <c r="R293" s="107"/>
      <c r="S293" s="107"/>
      <c r="T293" s="107"/>
      <c r="U293" s="107"/>
      <c r="V293" s="107"/>
    </row>
    <row r="294" spans="4:22" s="12" customFormat="1" x14ac:dyDescent="0.2">
      <c r="D294" s="107"/>
      <c r="E294" s="35"/>
      <c r="F294" s="36"/>
      <c r="G294" s="37"/>
      <c r="H294" s="38"/>
      <c r="I294" s="39"/>
      <c r="J294" s="39"/>
      <c r="K294" s="35"/>
      <c r="L294" s="107"/>
      <c r="M294" s="40"/>
      <c r="O294" s="107"/>
      <c r="P294" s="22"/>
      <c r="Q294" s="23"/>
      <c r="R294" s="107"/>
      <c r="S294" s="107"/>
      <c r="T294" s="107"/>
      <c r="U294" s="107"/>
      <c r="V294" s="107"/>
    </row>
    <row r="295" spans="4:22" s="12" customFormat="1" x14ac:dyDescent="0.2">
      <c r="D295" s="107"/>
      <c r="E295" s="35"/>
      <c r="F295" s="36"/>
      <c r="G295" s="37"/>
      <c r="H295" s="38"/>
      <c r="I295" s="39"/>
      <c r="J295" s="39"/>
      <c r="K295" s="35"/>
      <c r="L295" s="107"/>
      <c r="M295" s="40"/>
      <c r="O295" s="107"/>
      <c r="P295" s="22"/>
      <c r="Q295" s="23"/>
      <c r="R295" s="107"/>
      <c r="S295" s="107"/>
      <c r="T295" s="107"/>
      <c r="U295" s="107"/>
      <c r="V295" s="107"/>
    </row>
    <row r="296" spans="4:22" s="12" customFormat="1" x14ac:dyDescent="0.2">
      <c r="D296" s="107"/>
      <c r="E296" s="35"/>
      <c r="F296" s="36"/>
      <c r="G296" s="37"/>
      <c r="H296" s="38"/>
      <c r="I296" s="39"/>
      <c r="J296" s="39"/>
      <c r="K296" s="35"/>
      <c r="L296" s="107"/>
      <c r="M296" s="40"/>
      <c r="O296" s="107"/>
      <c r="P296" s="22"/>
      <c r="Q296" s="23"/>
      <c r="R296" s="107"/>
      <c r="S296" s="107"/>
      <c r="T296" s="107"/>
      <c r="U296" s="107"/>
      <c r="V296" s="107"/>
    </row>
    <row r="297" spans="4:22" s="12" customFormat="1" x14ac:dyDescent="0.2">
      <c r="D297" s="107"/>
      <c r="E297" s="35"/>
      <c r="F297" s="36"/>
      <c r="G297" s="37"/>
      <c r="H297" s="38"/>
      <c r="I297" s="39"/>
      <c r="J297" s="39"/>
      <c r="K297" s="35"/>
      <c r="L297" s="107"/>
      <c r="M297" s="40"/>
      <c r="O297" s="107"/>
      <c r="P297" s="22"/>
      <c r="Q297" s="23"/>
      <c r="R297" s="107"/>
      <c r="S297" s="107"/>
      <c r="T297" s="107"/>
      <c r="U297" s="107"/>
      <c r="V297" s="107"/>
    </row>
    <row r="298" spans="4:22" s="12" customFormat="1" x14ac:dyDescent="0.2">
      <c r="D298" s="107"/>
      <c r="E298" s="35"/>
      <c r="F298" s="36"/>
      <c r="G298" s="37"/>
      <c r="H298" s="38"/>
      <c r="I298" s="39"/>
      <c r="J298" s="39"/>
      <c r="K298" s="35"/>
      <c r="L298" s="107"/>
      <c r="M298" s="40"/>
      <c r="O298" s="107"/>
      <c r="P298" s="22"/>
      <c r="Q298" s="23"/>
      <c r="R298" s="107"/>
      <c r="S298" s="107"/>
      <c r="T298" s="107"/>
      <c r="U298" s="107"/>
      <c r="V298" s="107"/>
    </row>
    <row r="299" spans="4:22" s="12" customFormat="1" x14ac:dyDescent="0.2">
      <c r="D299" s="107"/>
      <c r="E299" s="35"/>
      <c r="F299" s="36"/>
      <c r="G299" s="37"/>
      <c r="H299" s="38"/>
      <c r="I299" s="39"/>
      <c r="J299" s="39"/>
      <c r="K299" s="35"/>
      <c r="L299" s="107"/>
      <c r="M299" s="40"/>
      <c r="O299" s="107"/>
      <c r="P299" s="22"/>
      <c r="Q299" s="23"/>
      <c r="R299" s="107"/>
      <c r="S299" s="107"/>
      <c r="T299" s="107"/>
      <c r="U299" s="107"/>
      <c r="V299" s="107"/>
    </row>
    <row r="300" spans="4:22" s="12" customFormat="1" x14ac:dyDescent="0.2">
      <c r="D300" s="107"/>
      <c r="E300" s="35"/>
      <c r="F300" s="36"/>
      <c r="G300" s="37"/>
      <c r="H300" s="38"/>
      <c r="I300" s="39"/>
      <c r="J300" s="39"/>
      <c r="K300" s="35"/>
      <c r="L300" s="107"/>
      <c r="M300" s="40"/>
      <c r="O300" s="107"/>
      <c r="P300" s="22"/>
      <c r="Q300" s="23"/>
      <c r="R300" s="107"/>
      <c r="S300" s="107"/>
      <c r="T300" s="107"/>
      <c r="U300" s="107"/>
      <c r="V300" s="107"/>
    </row>
    <row r="301" spans="4:22" s="12" customFormat="1" x14ac:dyDescent="0.2">
      <c r="D301" s="107"/>
      <c r="E301" s="35"/>
      <c r="F301" s="36"/>
      <c r="G301" s="37"/>
      <c r="H301" s="38"/>
      <c r="I301" s="39"/>
      <c r="J301" s="39"/>
      <c r="K301" s="35"/>
      <c r="L301" s="107"/>
      <c r="M301" s="40"/>
      <c r="O301" s="107"/>
      <c r="P301" s="22"/>
      <c r="Q301" s="23"/>
      <c r="R301" s="107"/>
      <c r="S301" s="107"/>
      <c r="T301" s="107"/>
      <c r="U301" s="107"/>
      <c r="V301" s="107"/>
    </row>
    <row r="302" spans="4:22" s="12" customFormat="1" x14ac:dyDescent="0.2">
      <c r="D302" s="107"/>
      <c r="E302" s="35"/>
      <c r="F302" s="36"/>
      <c r="G302" s="37"/>
      <c r="H302" s="38"/>
      <c r="I302" s="39"/>
      <c r="J302" s="39"/>
      <c r="K302" s="35"/>
      <c r="L302" s="107"/>
      <c r="M302" s="40"/>
      <c r="O302" s="107"/>
      <c r="P302" s="22"/>
      <c r="Q302" s="23"/>
      <c r="R302" s="107"/>
      <c r="S302" s="107"/>
      <c r="T302" s="107"/>
      <c r="U302" s="107"/>
      <c r="V302" s="107"/>
    </row>
    <row r="303" spans="4:22" s="12" customFormat="1" x14ac:dyDescent="0.2">
      <c r="D303" s="107"/>
      <c r="E303" s="35"/>
      <c r="F303" s="36"/>
      <c r="G303" s="37"/>
      <c r="H303" s="38"/>
      <c r="I303" s="39"/>
      <c r="J303" s="39"/>
      <c r="K303" s="35"/>
      <c r="L303" s="107"/>
      <c r="M303" s="40"/>
      <c r="O303" s="107"/>
      <c r="P303" s="22"/>
      <c r="Q303" s="23"/>
      <c r="R303" s="107"/>
      <c r="S303" s="107"/>
      <c r="T303" s="107"/>
      <c r="U303" s="107"/>
      <c r="V303" s="107"/>
    </row>
    <row r="304" spans="4:22" s="12" customFormat="1" x14ac:dyDescent="0.2">
      <c r="D304" s="107"/>
      <c r="E304" s="35"/>
      <c r="F304" s="36"/>
      <c r="G304" s="37"/>
      <c r="H304" s="38"/>
      <c r="I304" s="39"/>
      <c r="J304" s="39"/>
      <c r="K304" s="35"/>
      <c r="L304" s="107"/>
      <c r="M304" s="40"/>
      <c r="O304" s="107"/>
      <c r="P304" s="22"/>
      <c r="Q304" s="23"/>
      <c r="R304" s="107"/>
      <c r="S304" s="107"/>
      <c r="T304" s="107"/>
      <c r="U304" s="107"/>
      <c r="V304" s="107"/>
    </row>
    <row r="305" spans="4:22" s="12" customFormat="1" x14ac:dyDescent="0.2">
      <c r="D305" s="107"/>
      <c r="E305" s="35"/>
      <c r="F305" s="36"/>
      <c r="G305" s="37"/>
      <c r="H305" s="38"/>
      <c r="I305" s="39"/>
      <c r="J305" s="39"/>
      <c r="K305" s="35"/>
      <c r="L305" s="107"/>
      <c r="M305" s="40"/>
      <c r="O305" s="107"/>
      <c r="P305" s="22"/>
      <c r="Q305" s="23"/>
      <c r="R305" s="107"/>
      <c r="S305" s="107"/>
      <c r="T305" s="107"/>
      <c r="U305" s="107"/>
      <c r="V305" s="107"/>
    </row>
    <row r="306" spans="4:22" s="12" customFormat="1" x14ac:dyDescent="0.2">
      <c r="D306" s="107"/>
      <c r="E306" s="35"/>
      <c r="F306" s="36"/>
      <c r="G306" s="37"/>
      <c r="H306" s="38"/>
      <c r="I306" s="39"/>
      <c r="J306" s="39"/>
      <c r="K306" s="35"/>
      <c r="L306" s="107"/>
      <c r="M306" s="40"/>
      <c r="O306" s="107"/>
      <c r="P306" s="22"/>
      <c r="Q306" s="23"/>
      <c r="R306" s="107"/>
      <c r="S306" s="107"/>
      <c r="T306" s="107"/>
      <c r="U306" s="107"/>
      <c r="V306" s="107"/>
    </row>
    <row r="307" spans="4:22" s="12" customFormat="1" x14ac:dyDescent="0.2">
      <c r="D307" s="107"/>
      <c r="E307" s="35"/>
      <c r="F307" s="36"/>
      <c r="G307" s="37"/>
      <c r="H307" s="38"/>
      <c r="I307" s="39"/>
      <c r="J307" s="39"/>
      <c r="K307" s="35"/>
      <c r="L307" s="107"/>
      <c r="M307" s="40"/>
      <c r="O307" s="107"/>
      <c r="P307" s="22"/>
      <c r="Q307" s="23"/>
      <c r="R307" s="107"/>
      <c r="S307" s="107"/>
      <c r="T307" s="107"/>
      <c r="U307" s="107"/>
      <c r="V307" s="107"/>
    </row>
    <row r="308" spans="4:22" s="12" customFormat="1" x14ac:dyDescent="0.2">
      <c r="D308" s="107"/>
      <c r="E308" s="35"/>
      <c r="F308" s="36"/>
      <c r="G308" s="37"/>
      <c r="H308" s="38"/>
      <c r="I308" s="39"/>
      <c r="J308" s="39"/>
      <c r="K308" s="35"/>
      <c r="L308" s="107"/>
      <c r="M308" s="40"/>
      <c r="O308" s="107"/>
      <c r="P308" s="22"/>
      <c r="Q308" s="23"/>
      <c r="R308" s="107"/>
      <c r="S308" s="107"/>
      <c r="T308" s="107"/>
      <c r="U308" s="107"/>
      <c r="V308" s="107"/>
    </row>
    <row r="309" spans="4:22" s="12" customFormat="1" x14ac:dyDescent="0.2">
      <c r="D309" s="107"/>
      <c r="E309" s="35"/>
      <c r="F309" s="36"/>
      <c r="G309" s="37"/>
      <c r="H309" s="38"/>
      <c r="I309" s="39"/>
      <c r="J309" s="39"/>
      <c r="K309" s="35"/>
      <c r="L309" s="107"/>
      <c r="M309" s="40"/>
      <c r="O309" s="107"/>
      <c r="P309" s="22"/>
      <c r="Q309" s="23"/>
      <c r="R309" s="107"/>
      <c r="S309" s="107"/>
      <c r="T309" s="107"/>
      <c r="U309" s="107"/>
      <c r="V309" s="107"/>
    </row>
    <row r="310" spans="4:22" s="12" customFormat="1" x14ac:dyDescent="0.2">
      <c r="D310" s="107"/>
      <c r="E310" s="35"/>
      <c r="F310" s="36"/>
      <c r="G310" s="37"/>
      <c r="H310" s="38"/>
      <c r="I310" s="39"/>
      <c r="J310" s="39"/>
      <c r="K310" s="35"/>
      <c r="L310" s="107"/>
      <c r="M310" s="40"/>
      <c r="O310" s="107"/>
      <c r="P310" s="22"/>
      <c r="Q310" s="23"/>
      <c r="R310" s="107"/>
      <c r="S310" s="107"/>
      <c r="T310" s="107"/>
      <c r="U310" s="107"/>
      <c r="V310" s="107"/>
    </row>
    <row r="311" spans="4:22" s="12" customFormat="1" x14ac:dyDescent="0.2">
      <c r="D311" s="107"/>
      <c r="E311" s="35"/>
      <c r="F311" s="36"/>
      <c r="G311" s="37"/>
      <c r="H311" s="38"/>
      <c r="I311" s="39"/>
      <c r="J311" s="39"/>
      <c r="K311" s="35"/>
      <c r="L311" s="107"/>
      <c r="M311" s="40"/>
      <c r="O311" s="107"/>
      <c r="P311" s="22"/>
      <c r="Q311" s="23"/>
      <c r="R311" s="107"/>
      <c r="S311" s="107"/>
      <c r="T311" s="107"/>
      <c r="U311" s="107"/>
      <c r="V311" s="107"/>
    </row>
    <row r="312" spans="4:22" s="12" customFormat="1" x14ac:dyDescent="0.2">
      <c r="D312" s="107"/>
      <c r="E312" s="35"/>
      <c r="F312" s="36"/>
      <c r="G312" s="37"/>
      <c r="H312" s="38"/>
      <c r="I312" s="39"/>
      <c r="J312" s="39"/>
      <c r="K312" s="35"/>
      <c r="L312" s="107"/>
      <c r="M312" s="40"/>
      <c r="O312" s="107"/>
      <c r="P312" s="22"/>
      <c r="Q312" s="23"/>
      <c r="R312" s="107"/>
      <c r="S312" s="107"/>
      <c r="T312" s="107"/>
      <c r="U312" s="107"/>
      <c r="V312" s="107"/>
    </row>
    <row r="313" spans="4:22" s="12" customFormat="1" x14ac:dyDescent="0.2">
      <c r="D313" s="107"/>
      <c r="E313" s="35"/>
      <c r="F313" s="36"/>
      <c r="G313" s="37"/>
      <c r="H313" s="38"/>
      <c r="I313" s="39"/>
      <c r="J313" s="39"/>
      <c r="K313" s="35"/>
      <c r="L313" s="107"/>
      <c r="M313" s="40"/>
      <c r="O313" s="107"/>
      <c r="P313" s="22"/>
      <c r="Q313" s="23"/>
      <c r="R313" s="107"/>
      <c r="S313" s="107"/>
      <c r="T313" s="107"/>
      <c r="U313" s="107"/>
      <c r="V313" s="107"/>
    </row>
    <row r="314" spans="4:22" s="12" customFormat="1" x14ac:dyDescent="0.2">
      <c r="D314" s="107"/>
      <c r="E314" s="35"/>
      <c r="F314" s="36"/>
      <c r="G314" s="37"/>
      <c r="H314" s="38"/>
      <c r="I314" s="39"/>
      <c r="J314" s="39"/>
      <c r="K314" s="35"/>
      <c r="L314" s="107"/>
      <c r="M314" s="40"/>
      <c r="O314" s="107"/>
      <c r="P314" s="22"/>
      <c r="Q314" s="23"/>
      <c r="R314" s="107"/>
      <c r="S314" s="107"/>
      <c r="T314" s="107"/>
      <c r="U314" s="107"/>
      <c r="V314" s="107"/>
    </row>
    <row r="315" spans="4:22" s="12" customFormat="1" x14ac:dyDescent="0.2">
      <c r="D315" s="107"/>
      <c r="E315" s="35"/>
      <c r="F315" s="36"/>
      <c r="G315" s="37"/>
      <c r="H315" s="38"/>
      <c r="I315" s="39"/>
      <c r="J315" s="39"/>
      <c r="K315" s="35"/>
      <c r="L315" s="107"/>
      <c r="M315" s="40"/>
      <c r="O315" s="107"/>
      <c r="P315" s="22"/>
      <c r="Q315" s="23"/>
      <c r="R315" s="107"/>
      <c r="S315" s="107"/>
      <c r="T315" s="107"/>
      <c r="U315" s="107"/>
      <c r="V315" s="107"/>
    </row>
    <row r="316" spans="4:22" s="12" customFormat="1" x14ac:dyDescent="0.2">
      <c r="D316" s="107"/>
      <c r="E316" s="35"/>
      <c r="F316" s="36"/>
      <c r="G316" s="37"/>
      <c r="H316" s="38"/>
      <c r="I316" s="39"/>
      <c r="J316" s="39"/>
      <c r="K316" s="35"/>
      <c r="L316" s="107"/>
      <c r="M316" s="40"/>
      <c r="O316" s="107"/>
      <c r="P316" s="22"/>
      <c r="Q316" s="23"/>
      <c r="R316" s="107"/>
      <c r="S316" s="107"/>
      <c r="T316" s="107"/>
      <c r="U316" s="107"/>
      <c r="V316" s="107"/>
    </row>
    <row r="317" spans="4:22" s="12" customFormat="1" x14ac:dyDescent="0.2">
      <c r="D317" s="107"/>
      <c r="E317" s="35"/>
      <c r="F317" s="36"/>
      <c r="G317" s="37"/>
      <c r="H317" s="38"/>
      <c r="I317" s="39"/>
      <c r="J317" s="39"/>
      <c r="K317" s="35"/>
      <c r="L317" s="107"/>
      <c r="M317" s="40"/>
      <c r="O317" s="107"/>
      <c r="P317" s="22"/>
      <c r="Q317" s="23"/>
      <c r="R317" s="107"/>
      <c r="S317" s="107"/>
      <c r="T317" s="107"/>
      <c r="U317" s="107"/>
      <c r="V317" s="107"/>
    </row>
    <row r="318" spans="4:22" s="12" customFormat="1" x14ac:dyDescent="0.2">
      <c r="D318" s="107"/>
      <c r="E318" s="35"/>
      <c r="F318" s="36"/>
      <c r="G318" s="37"/>
      <c r="H318" s="38"/>
      <c r="I318" s="39"/>
      <c r="J318" s="39"/>
      <c r="K318" s="35"/>
      <c r="L318" s="107"/>
      <c r="M318" s="40"/>
      <c r="O318" s="107"/>
      <c r="P318" s="22"/>
      <c r="Q318" s="23"/>
      <c r="R318" s="107"/>
      <c r="S318" s="107"/>
      <c r="T318" s="107"/>
      <c r="U318" s="107"/>
      <c r="V318" s="107"/>
    </row>
    <row r="319" spans="4:22" s="12" customFormat="1" x14ac:dyDescent="0.2">
      <c r="D319" s="107"/>
      <c r="E319" s="35"/>
      <c r="F319" s="36"/>
      <c r="G319" s="37"/>
      <c r="H319" s="38"/>
      <c r="I319" s="39"/>
      <c r="J319" s="39"/>
      <c r="K319" s="35"/>
      <c r="L319" s="107"/>
      <c r="M319" s="40"/>
      <c r="O319" s="107"/>
      <c r="P319" s="22"/>
      <c r="Q319" s="23"/>
      <c r="R319" s="107"/>
      <c r="S319" s="107"/>
      <c r="T319" s="107"/>
      <c r="U319" s="107"/>
      <c r="V319" s="107"/>
    </row>
    <row r="320" spans="4:22" s="12" customFormat="1" x14ac:dyDescent="0.2">
      <c r="D320" s="107"/>
      <c r="E320" s="35"/>
      <c r="F320" s="36"/>
      <c r="G320" s="37"/>
      <c r="H320" s="38"/>
      <c r="I320" s="39"/>
      <c r="J320" s="39"/>
      <c r="K320" s="35"/>
      <c r="L320" s="107"/>
      <c r="M320" s="40"/>
      <c r="O320" s="107"/>
      <c r="P320" s="22"/>
      <c r="Q320" s="23"/>
      <c r="R320" s="107"/>
      <c r="S320" s="107"/>
      <c r="T320" s="107"/>
      <c r="U320" s="107"/>
      <c r="V320" s="107"/>
    </row>
    <row r="321" spans="4:22" s="12" customFormat="1" x14ac:dyDescent="0.2">
      <c r="D321" s="107"/>
      <c r="E321" s="35"/>
      <c r="F321" s="36"/>
      <c r="G321" s="37"/>
      <c r="H321" s="38"/>
      <c r="I321" s="39"/>
      <c r="J321" s="39"/>
      <c r="K321" s="35"/>
      <c r="L321" s="107"/>
      <c r="M321" s="40"/>
      <c r="O321" s="107"/>
      <c r="P321" s="22"/>
      <c r="Q321" s="23"/>
      <c r="R321" s="107"/>
      <c r="S321" s="107"/>
      <c r="T321" s="107"/>
      <c r="U321" s="107"/>
      <c r="V321" s="107"/>
    </row>
    <row r="322" spans="4:22" s="12" customFormat="1" x14ac:dyDescent="0.2">
      <c r="D322" s="107"/>
      <c r="E322" s="35"/>
      <c r="F322" s="36"/>
      <c r="G322" s="37"/>
      <c r="H322" s="38"/>
      <c r="I322" s="39"/>
      <c r="J322" s="39"/>
      <c r="K322" s="35"/>
      <c r="L322" s="107"/>
      <c r="M322" s="40"/>
      <c r="O322" s="107"/>
      <c r="P322" s="22"/>
      <c r="Q322" s="23"/>
      <c r="R322" s="107"/>
      <c r="S322" s="107"/>
      <c r="T322" s="107"/>
      <c r="U322" s="107"/>
      <c r="V322" s="107"/>
    </row>
    <row r="323" spans="4:22" s="12" customFormat="1" x14ac:dyDescent="0.2">
      <c r="D323" s="107"/>
      <c r="E323" s="35"/>
      <c r="F323" s="36"/>
      <c r="G323" s="37"/>
      <c r="H323" s="38"/>
      <c r="I323" s="39"/>
      <c r="J323" s="39"/>
      <c r="K323" s="35"/>
      <c r="L323" s="107"/>
      <c r="M323" s="40"/>
      <c r="O323" s="107"/>
      <c r="P323" s="22"/>
      <c r="Q323" s="23"/>
      <c r="R323" s="107"/>
      <c r="S323" s="107"/>
      <c r="T323" s="107"/>
      <c r="U323" s="107"/>
      <c r="V323" s="107"/>
    </row>
    <row r="324" spans="4:22" s="12" customFormat="1" x14ac:dyDescent="0.2">
      <c r="D324" s="107"/>
      <c r="E324" s="35"/>
      <c r="F324" s="36"/>
      <c r="G324" s="37"/>
      <c r="H324" s="38"/>
      <c r="I324" s="39"/>
      <c r="J324" s="39"/>
      <c r="K324" s="35"/>
      <c r="L324" s="107"/>
      <c r="M324" s="40"/>
      <c r="O324" s="107"/>
      <c r="P324" s="22"/>
      <c r="Q324" s="23"/>
      <c r="R324" s="107"/>
      <c r="S324" s="107"/>
      <c r="T324" s="107"/>
      <c r="U324" s="107"/>
      <c r="V324" s="107"/>
    </row>
    <row r="325" spans="4:22" s="12" customFormat="1" x14ac:dyDescent="0.2">
      <c r="D325" s="107"/>
      <c r="E325" s="35"/>
      <c r="F325" s="36"/>
      <c r="G325" s="37"/>
      <c r="H325" s="38"/>
      <c r="I325" s="39"/>
      <c r="J325" s="39"/>
      <c r="K325" s="35"/>
      <c r="L325" s="107"/>
      <c r="M325" s="40"/>
      <c r="O325" s="107"/>
      <c r="P325" s="22"/>
      <c r="Q325" s="23"/>
      <c r="R325" s="107"/>
      <c r="S325" s="107"/>
      <c r="T325" s="107"/>
      <c r="U325" s="107"/>
      <c r="V325" s="107"/>
    </row>
    <row r="326" spans="4:22" s="12" customFormat="1" x14ac:dyDescent="0.2">
      <c r="D326" s="107"/>
      <c r="E326" s="35"/>
      <c r="F326" s="36"/>
      <c r="G326" s="37"/>
      <c r="H326" s="38"/>
      <c r="I326" s="39"/>
      <c r="J326" s="39"/>
      <c r="K326" s="35"/>
      <c r="L326" s="107"/>
      <c r="M326" s="40"/>
      <c r="O326" s="107"/>
      <c r="P326" s="22"/>
      <c r="Q326" s="23"/>
      <c r="R326" s="107"/>
      <c r="S326" s="107"/>
      <c r="T326" s="107"/>
      <c r="U326" s="107"/>
      <c r="V326" s="107"/>
    </row>
    <row r="327" spans="4:22" s="12" customFormat="1" x14ac:dyDescent="0.2">
      <c r="D327" s="107"/>
      <c r="E327" s="35"/>
      <c r="F327" s="36"/>
      <c r="G327" s="37"/>
      <c r="H327" s="38"/>
      <c r="I327" s="39"/>
      <c r="J327" s="39"/>
      <c r="K327" s="35"/>
      <c r="L327" s="107"/>
      <c r="M327" s="40"/>
      <c r="O327" s="107"/>
      <c r="P327" s="22"/>
      <c r="Q327" s="23"/>
      <c r="R327" s="107"/>
      <c r="S327" s="107"/>
      <c r="T327" s="107"/>
      <c r="U327" s="107"/>
      <c r="V327" s="107"/>
    </row>
    <row r="328" spans="4:22" s="12" customFormat="1" x14ac:dyDescent="0.2">
      <c r="D328" s="107"/>
      <c r="E328" s="35"/>
      <c r="F328" s="36"/>
      <c r="G328" s="37"/>
      <c r="H328" s="38"/>
      <c r="I328" s="39"/>
      <c r="J328" s="39"/>
      <c r="K328" s="35"/>
      <c r="L328" s="107"/>
      <c r="M328" s="40"/>
      <c r="O328" s="107"/>
      <c r="P328" s="22"/>
      <c r="Q328" s="23"/>
      <c r="R328" s="107"/>
      <c r="S328" s="107"/>
      <c r="T328" s="107"/>
      <c r="U328" s="107"/>
      <c r="V328" s="107"/>
    </row>
    <row r="329" spans="4:22" s="12" customFormat="1" x14ac:dyDescent="0.2">
      <c r="D329" s="107"/>
      <c r="E329" s="35"/>
      <c r="F329" s="36"/>
      <c r="G329" s="37"/>
      <c r="H329" s="38"/>
      <c r="I329" s="39"/>
      <c r="J329" s="39"/>
      <c r="K329" s="35"/>
      <c r="L329" s="107"/>
      <c r="M329" s="40"/>
      <c r="O329" s="107"/>
      <c r="P329" s="22"/>
      <c r="Q329" s="23"/>
      <c r="R329" s="107"/>
      <c r="S329" s="107"/>
      <c r="T329" s="107"/>
      <c r="U329" s="107"/>
      <c r="V329" s="107"/>
    </row>
    <row r="330" spans="4:22" s="12" customFormat="1" x14ac:dyDescent="0.2">
      <c r="D330" s="107"/>
      <c r="E330" s="35"/>
      <c r="F330" s="36"/>
      <c r="G330" s="37"/>
      <c r="H330" s="38"/>
      <c r="I330" s="39"/>
      <c r="J330" s="39"/>
      <c r="K330" s="35"/>
      <c r="L330" s="107"/>
      <c r="M330" s="40"/>
      <c r="O330" s="107"/>
      <c r="P330" s="22"/>
      <c r="Q330" s="23"/>
      <c r="R330" s="107"/>
      <c r="S330" s="107"/>
      <c r="T330" s="107"/>
      <c r="U330" s="107"/>
      <c r="V330" s="107"/>
    </row>
    <row r="331" spans="4:22" s="12" customFormat="1" x14ac:dyDescent="0.2">
      <c r="D331" s="107"/>
      <c r="E331" s="35"/>
      <c r="F331" s="36"/>
      <c r="G331" s="37"/>
      <c r="H331" s="38"/>
      <c r="I331" s="39"/>
      <c r="J331" s="39"/>
      <c r="K331" s="35"/>
      <c r="L331" s="107"/>
      <c r="M331" s="40"/>
      <c r="O331" s="107"/>
      <c r="P331" s="22"/>
      <c r="Q331" s="23"/>
      <c r="R331" s="107"/>
      <c r="S331" s="107"/>
      <c r="T331" s="107"/>
      <c r="U331" s="107"/>
      <c r="V331" s="107"/>
    </row>
    <row r="332" spans="4:22" s="12" customFormat="1" x14ac:dyDescent="0.2">
      <c r="D332" s="107"/>
      <c r="E332" s="35"/>
      <c r="F332" s="36"/>
      <c r="G332" s="37"/>
      <c r="H332" s="38"/>
      <c r="I332" s="39"/>
      <c r="J332" s="39"/>
      <c r="K332" s="35"/>
      <c r="L332" s="107"/>
      <c r="M332" s="40"/>
      <c r="O332" s="107"/>
      <c r="P332" s="22"/>
      <c r="Q332" s="23"/>
      <c r="R332" s="107"/>
      <c r="S332" s="107"/>
      <c r="T332" s="107"/>
      <c r="U332" s="107"/>
      <c r="V332" s="107"/>
    </row>
    <row r="333" spans="4:22" s="12" customFormat="1" x14ac:dyDescent="0.2">
      <c r="D333" s="107"/>
      <c r="E333" s="35"/>
      <c r="F333" s="36"/>
      <c r="G333" s="37"/>
      <c r="H333" s="38"/>
      <c r="I333" s="39"/>
      <c r="J333" s="39"/>
      <c r="K333" s="35"/>
      <c r="L333" s="107"/>
      <c r="M333" s="40"/>
      <c r="O333" s="107"/>
      <c r="P333" s="22"/>
      <c r="Q333" s="23"/>
      <c r="R333" s="107"/>
      <c r="S333" s="107"/>
      <c r="T333" s="107"/>
      <c r="U333" s="107"/>
      <c r="V333" s="107"/>
    </row>
    <row r="334" spans="4:22" s="12" customFormat="1" x14ac:dyDescent="0.2">
      <c r="D334" s="107"/>
      <c r="E334" s="35"/>
      <c r="F334" s="36"/>
      <c r="G334" s="37"/>
      <c r="H334" s="38"/>
      <c r="I334" s="39"/>
      <c r="J334" s="39"/>
      <c r="K334" s="35"/>
      <c r="L334" s="107"/>
      <c r="M334" s="40"/>
      <c r="O334" s="107"/>
      <c r="P334" s="22"/>
      <c r="Q334" s="23"/>
      <c r="R334" s="107"/>
      <c r="S334" s="107"/>
      <c r="T334" s="107"/>
      <c r="U334" s="107"/>
      <c r="V334" s="107"/>
    </row>
    <row r="335" spans="4:22" s="12" customFormat="1" x14ac:dyDescent="0.2">
      <c r="D335" s="107"/>
      <c r="E335" s="35"/>
      <c r="F335" s="36"/>
      <c r="G335" s="37"/>
      <c r="H335" s="38"/>
      <c r="I335" s="39"/>
      <c r="J335" s="39"/>
      <c r="K335" s="35"/>
      <c r="L335" s="107"/>
      <c r="M335" s="40"/>
      <c r="O335" s="107"/>
      <c r="P335" s="22"/>
      <c r="Q335" s="23"/>
      <c r="R335" s="107"/>
      <c r="S335" s="107"/>
      <c r="T335" s="107"/>
      <c r="U335" s="107"/>
      <c r="V335" s="107"/>
    </row>
    <row r="336" spans="4:22" s="12" customFormat="1" x14ac:dyDescent="0.2">
      <c r="D336" s="107"/>
      <c r="E336" s="35"/>
      <c r="F336" s="36"/>
      <c r="G336" s="37"/>
      <c r="H336" s="38"/>
      <c r="I336" s="39"/>
      <c r="J336" s="39"/>
      <c r="K336" s="35"/>
      <c r="L336" s="107"/>
      <c r="M336" s="40"/>
      <c r="O336" s="107"/>
      <c r="P336" s="22"/>
      <c r="Q336" s="23"/>
      <c r="R336" s="107"/>
      <c r="S336" s="107"/>
      <c r="T336" s="107"/>
      <c r="U336" s="107"/>
      <c r="V336" s="107"/>
    </row>
    <row r="337" spans="4:22" s="12" customFormat="1" x14ac:dyDescent="0.2">
      <c r="D337" s="107"/>
      <c r="E337" s="35"/>
      <c r="F337" s="36"/>
      <c r="G337" s="37"/>
      <c r="H337" s="38"/>
      <c r="I337" s="39"/>
      <c r="J337" s="39"/>
      <c r="K337" s="35"/>
      <c r="L337" s="107"/>
      <c r="M337" s="40"/>
      <c r="O337" s="107"/>
      <c r="P337" s="22"/>
      <c r="Q337" s="23"/>
      <c r="R337" s="107"/>
      <c r="S337" s="107"/>
      <c r="T337" s="107"/>
      <c r="U337" s="107"/>
      <c r="V337" s="107"/>
    </row>
    <row r="338" spans="4:22" s="12" customFormat="1" x14ac:dyDescent="0.2">
      <c r="D338" s="107"/>
      <c r="E338" s="35"/>
      <c r="F338" s="36"/>
      <c r="G338" s="37"/>
      <c r="H338" s="38"/>
      <c r="I338" s="39"/>
      <c r="J338" s="39"/>
      <c r="K338" s="35"/>
      <c r="L338" s="107"/>
      <c r="M338" s="40"/>
      <c r="O338" s="107"/>
      <c r="P338" s="22"/>
      <c r="Q338" s="23"/>
      <c r="R338" s="107"/>
      <c r="S338" s="107"/>
      <c r="T338" s="107"/>
      <c r="U338" s="107"/>
      <c r="V338" s="107"/>
    </row>
    <row r="339" spans="4:22" s="12" customFormat="1" x14ac:dyDescent="0.2">
      <c r="D339" s="107"/>
      <c r="E339" s="35"/>
      <c r="F339" s="36"/>
      <c r="G339" s="37"/>
      <c r="H339" s="38"/>
      <c r="I339" s="39"/>
      <c r="J339" s="39"/>
      <c r="K339" s="35"/>
      <c r="L339" s="107"/>
      <c r="M339" s="40"/>
      <c r="O339" s="107"/>
      <c r="P339" s="22"/>
      <c r="Q339" s="23"/>
      <c r="R339" s="107"/>
      <c r="S339" s="107"/>
      <c r="T339" s="107"/>
      <c r="U339" s="107"/>
      <c r="V339" s="107"/>
    </row>
    <row r="340" spans="4:22" s="12" customFormat="1" x14ac:dyDescent="0.2">
      <c r="D340" s="107"/>
      <c r="E340" s="35"/>
      <c r="F340" s="36"/>
      <c r="G340" s="37"/>
      <c r="H340" s="38"/>
      <c r="I340" s="39"/>
      <c r="J340" s="39"/>
      <c r="K340" s="35"/>
      <c r="L340" s="107"/>
      <c r="M340" s="40"/>
      <c r="O340" s="107"/>
      <c r="P340" s="22"/>
      <c r="Q340" s="23"/>
      <c r="R340" s="107"/>
      <c r="S340" s="107"/>
      <c r="T340" s="107"/>
      <c r="U340" s="107"/>
      <c r="V340" s="107"/>
    </row>
    <row r="341" spans="4:22" s="12" customFormat="1" x14ac:dyDescent="0.2">
      <c r="D341" s="107"/>
      <c r="E341" s="35"/>
      <c r="F341" s="36"/>
      <c r="G341" s="37"/>
      <c r="H341" s="38"/>
      <c r="I341" s="39"/>
      <c r="J341" s="39"/>
      <c r="K341" s="35"/>
      <c r="L341" s="107"/>
      <c r="M341" s="40"/>
      <c r="O341" s="107"/>
      <c r="P341" s="22"/>
      <c r="Q341" s="23"/>
      <c r="R341" s="107"/>
      <c r="S341" s="107"/>
      <c r="T341" s="107"/>
      <c r="U341" s="107"/>
      <c r="V341" s="107"/>
    </row>
    <row r="342" spans="4:22" s="12" customFormat="1" x14ac:dyDescent="0.2">
      <c r="D342" s="107"/>
      <c r="E342" s="35"/>
      <c r="F342" s="36"/>
      <c r="G342" s="37"/>
      <c r="H342" s="38"/>
      <c r="I342" s="39"/>
      <c r="J342" s="39"/>
      <c r="K342" s="35"/>
      <c r="L342" s="107"/>
      <c r="M342" s="40"/>
      <c r="O342" s="107"/>
      <c r="P342" s="22"/>
      <c r="Q342" s="23"/>
      <c r="R342" s="107"/>
      <c r="S342" s="107"/>
      <c r="T342" s="107"/>
      <c r="U342" s="107"/>
      <c r="V342" s="107"/>
    </row>
    <row r="343" spans="4:22" s="12" customFormat="1" x14ac:dyDescent="0.2">
      <c r="D343" s="107"/>
      <c r="E343" s="35"/>
      <c r="F343" s="36"/>
      <c r="G343" s="37"/>
      <c r="H343" s="38"/>
      <c r="I343" s="39"/>
      <c r="J343" s="39"/>
      <c r="K343" s="35"/>
      <c r="L343" s="107"/>
      <c r="M343" s="40"/>
      <c r="O343" s="107"/>
      <c r="P343" s="22"/>
      <c r="Q343" s="23"/>
      <c r="R343" s="107"/>
      <c r="S343" s="107"/>
      <c r="T343" s="107"/>
      <c r="U343" s="107"/>
      <c r="V343" s="107"/>
    </row>
    <row r="344" spans="4:22" s="12" customFormat="1" x14ac:dyDescent="0.2">
      <c r="D344" s="107"/>
      <c r="E344" s="35"/>
      <c r="F344" s="36"/>
      <c r="G344" s="37"/>
      <c r="H344" s="38"/>
      <c r="I344" s="39"/>
      <c r="J344" s="39"/>
      <c r="K344" s="35"/>
      <c r="L344" s="107"/>
      <c r="M344" s="40"/>
      <c r="O344" s="107"/>
      <c r="P344" s="22"/>
      <c r="Q344" s="23"/>
      <c r="R344" s="107"/>
      <c r="S344" s="107"/>
      <c r="T344" s="107"/>
      <c r="U344" s="107"/>
      <c r="V344" s="107"/>
    </row>
    <row r="345" spans="4:22" s="12" customFormat="1" x14ac:dyDescent="0.2">
      <c r="D345" s="107"/>
      <c r="E345" s="35"/>
      <c r="F345" s="36"/>
      <c r="G345" s="37"/>
      <c r="H345" s="38"/>
      <c r="I345" s="39"/>
      <c r="J345" s="39"/>
      <c r="K345" s="35"/>
      <c r="L345" s="107"/>
      <c r="M345" s="40"/>
      <c r="O345" s="107"/>
      <c r="P345" s="22"/>
      <c r="Q345" s="23"/>
      <c r="R345" s="107"/>
      <c r="S345" s="107"/>
      <c r="T345" s="107"/>
      <c r="U345" s="107"/>
      <c r="V345" s="107"/>
    </row>
    <row r="346" spans="4:22" s="12" customFormat="1" x14ac:dyDescent="0.2">
      <c r="D346" s="107"/>
      <c r="E346" s="35"/>
      <c r="F346" s="36"/>
      <c r="G346" s="37"/>
      <c r="H346" s="38"/>
      <c r="I346" s="39"/>
      <c r="J346" s="39"/>
      <c r="K346" s="35"/>
      <c r="L346" s="107"/>
      <c r="M346" s="40"/>
      <c r="O346" s="107"/>
      <c r="P346" s="22"/>
      <c r="Q346" s="23"/>
      <c r="R346" s="107"/>
      <c r="S346" s="107"/>
      <c r="T346" s="107"/>
      <c r="U346" s="107"/>
      <c r="V346" s="107"/>
    </row>
    <row r="347" spans="4:22" s="12" customFormat="1" x14ac:dyDescent="0.2">
      <c r="D347" s="107"/>
      <c r="E347" s="35"/>
      <c r="F347" s="36"/>
      <c r="G347" s="37"/>
      <c r="H347" s="38"/>
      <c r="I347" s="39"/>
      <c r="J347" s="39"/>
      <c r="K347" s="35"/>
      <c r="L347" s="107"/>
      <c r="M347" s="40"/>
      <c r="O347" s="107"/>
      <c r="P347" s="22"/>
      <c r="Q347" s="23"/>
      <c r="R347" s="107"/>
      <c r="S347" s="107"/>
      <c r="T347" s="107"/>
      <c r="U347" s="107"/>
      <c r="V347" s="107"/>
    </row>
    <row r="348" spans="4:22" s="12" customFormat="1" x14ac:dyDescent="0.2">
      <c r="D348" s="107"/>
      <c r="E348" s="35"/>
      <c r="F348" s="36"/>
      <c r="G348" s="37"/>
      <c r="H348" s="38"/>
      <c r="I348" s="39"/>
      <c r="J348" s="39"/>
      <c r="K348" s="35"/>
      <c r="L348" s="107"/>
      <c r="M348" s="40"/>
      <c r="O348" s="107"/>
      <c r="P348" s="22"/>
      <c r="Q348" s="23"/>
      <c r="R348" s="107"/>
      <c r="S348" s="107"/>
      <c r="T348" s="107"/>
      <c r="U348" s="107"/>
      <c r="V348" s="107"/>
    </row>
    <row r="349" spans="4:22" s="12" customFormat="1" x14ac:dyDescent="0.2">
      <c r="D349" s="107"/>
      <c r="E349" s="35"/>
      <c r="F349" s="36"/>
      <c r="G349" s="37"/>
      <c r="H349" s="38"/>
      <c r="I349" s="39"/>
      <c r="J349" s="39"/>
      <c r="K349" s="35"/>
      <c r="L349" s="107"/>
      <c r="M349" s="40"/>
      <c r="O349" s="107"/>
      <c r="P349" s="22"/>
      <c r="Q349" s="23"/>
      <c r="R349" s="107"/>
      <c r="S349" s="107"/>
      <c r="T349" s="107"/>
      <c r="U349" s="107"/>
      <c r="V349" s="107"/>
    </row>
    <row r="350" spans="4:22" s="12" customFormat="1" x14ac:dyDescent="0.2">
      <c r="D350" s="107"/>
      <c r="E350" s="35"/>
      <c r="F350" s="36"/>
      <c r="G350" s="37"/>
      <c r="H350" s="38"/>
      <c r="I350" s="39"/>
      <c r="J350" s="39"/>
      <c r="K350" s="35"/>
      <c r="L350" s="107"/>
      <c r="M350" s="40"/>
      <c r="O350" s="107"/>
      <c r="P350" s="22"/>
      <c r="Q350" s="23"/>
      <c r="R350" s="107"/>
      <c r="S350" s="107"/>
      <c r="T350" s="107"/>
      <c r="U350" s="107"/>
      <c r="V350" s="107"/>
    </row>
    <row r="351" spans="4:22" s="12" customFormat="1" x14ac:dyDescent="0.2">
      <c r="D351" s="107"/>
      <c r="E351" s="35"/>
      <c r="F351" s="36"/>
      <c r="G351" s="37"/>
      <c r="H351" s="38"/>
      <c r="I351" s="39"/>
      <c r="J351" s="39"/>
      <c r="K351" s="35"/>
      <c r="L351" s="107"/>
      <c r="M351" s="40"/>
      <c r="O351" s="107"/>
      <c r="P351" s="22"/>
      <c r="Q351" s="23"/>
      <c r="R351" s="107"/>
      <c r="S351" s="107"/>
      <c r="T351" s="107"/>
      <c r="U351" s="107"/>
      <c r="V351" s="107"/>
    </row>
    <row r="352" spans="4:22" s="12" customFormat="1" x14ac:dyDescent="0.2">
      <c r="D352" s="107"/>
      <c r="E352" s="35"/>
      <c r="F352" s="36"/>
      <c r="G352" s="37"/>
      <c r="H352" s="38"/>
      <c r="I352" s="39"/>
      <c r="J352" s="39"/>
      <c r="K352" s="35"/>
      <c r="L352" s="107"/>
      <c r="M352" s="40"/>
      <c r="O352" s="107"/>
      <c r="P352" s="22"/>
      <c r="Q352" s="23"/>
      <c r="R352" s="107"/>
      <c r="S352" s="107"/>
      <c r="T352" s="107"/>
      <c r="U352" s="107"/>
      <c r="V352" s="107"/>
    </row>
    <row r="353" spans="4:22" s="12" customFormat="1" x14ac:dyDescent="0.2">
      <c r="D353" s="107"/>
      <c r="E353" s="35"/>
      <c r="F353" s="36"/>
      <c r="G353" s="37"/>
      <c r="H353" s="38"/>
      <c r="I353" s="39"/>
      <c r="J353" s="39"/>
      <c r="K353" s="35"/>
      <c r="L353" s="107"/>
      <c r="M353" s="40"/>
      <c r="O353" s="107"/>
      <c r="P353" s="22"/>
      <c r="Q353" s="23"/>
      <c r="R353" s="107"/>
      <c r="S353" s="107"/>
      <c r="T353" s="107"/>
      <c r="U353" s="107"/>
      <c r="V353" s="107"/>
    </row>
    <row r="354" spans="4:22" s="12" customFormat="1" x14ac:dyDescent="0.2">
      <c r="D354" s="107"/>
      <c r="E354" s="35"/>
      <c r="F354" s="36"/>
      <c r="G354" s="37"/>
      <c r="H354" s="38"/>
      <c r="I354" s="39"/>
      <c r="J354" s="39"/>
      <c r="K354" s="35"/>
      <c r="L354" s="107"/>
      <c r="M354" s="40"/>
      <c r="O354" s="107"/>
      <c r="P354" s="22"/>
      <c r="Q354" s="23"/>
      <c r="R354" s="107"/>
      <c r="S354" s="107"/>
      <c r="T354" s="107"/>
      <c r="U354" s="107"/>
      <c r="V354" s="107"/>
    </row>
    <row r="355" spans="4:22" s="12" customFormat="1" x14ac:dyDescent="0.2">
      <c r="D355" s="107"/>
      <c r="E355" s="35"/>
      <c r="F355" s="36"/>
      <c r="G355" s="37"/>
      <c r="H355" s="38"/>
      <c r="I355" s="39"/>
      <c r="J355" s="39"/>
      <c r="K355" s="35"/>
      <c r="L355" s="107"/>
      <c r="M355" s="40"/>
      <c r="O355" s="107"/>
      <c r="P355" s="22"/>
      <c r="Q355" s="23"/>
      <c r="R355" s="107"/>
      <c r="S355" s="107"/>
      <c r="T355" s="107"/>
      <c r="U355" s="107"/>
      <c r="V355" s="107"/>
    </row>
    <row r="356" spans="4:22" s="12" customFormat="1" x14ac:dyDescent="0.2">
      <c r="D356" s="107"/>
      <c r="E356" s="35"/>
      <c r="F356" s="36"/>
      <c r="G356" s="37"/>
      <c r="H356" s="38"/>
      <c r="I356" s="39"/>
      <c r="J356" s="39"/>
      <c r="K356" s="35"/>
      <c r="L356" s="107"/>
      <c r="M356" s="40"/>
      <c r="O356" s="107"/>
      <c r="P356" s="22"/>
      <c r="Q356" s="23"/>
      <c r="R356" s="107"/>
      <c r="S356" s="107"/>
      <c r="T356" s="107"/>
      <c r="U356" s="107"/>
      <c r="V356" s="107"/>
    </row>
    <row r="357" spans="4:22" s="12" customFormat="1" x14ac:dyDescent="0.2">
      <c r="D357" s="107"/>
      <c r="E357" s="35"/>
      <c r="F357" s="36"/>
      <c r="G357" s="37"/>
      <c r="H357" s="38"/>
      <c r="I357" s="39"/>
      <c r="J357" s="39"/>
      <c r="K357" s="35"/>
      <c r="L357" s="107"/>
      <c r="M357" s="40"/>
      <c r="O357" s="107"/>
      <c r="P357" s="22"/>
      <c r="Q357" s="23"/>
      <c r="R357" s="107"/>
      <c r="S357" s="107"/>
      <c r="T357" s="107"/>
      <c r="U357" s="107"/>
      <c r="V357" s="107"/>
    </row>
    <row r="358" spans="4:22" s="12" customFormat="1" x14ac:dyDescent="0.2">
      <c r="D358" s="107"/>
      <c r="E358" s="35"/>
      <c r="F358" s="36"/>
      <c r="G358" s="37"/>
      <c r="H358" s="38"/>
      <c r="I358" s="39"/>
      <c r="J358" s="39"/>
      <c r="K358" s="35"/>
      <c r="L358" s="107"/>
      <c r="M358" s="40"/>
      <c r="O358" s="107"/>
      <c r="P358" s="22"/>
      <c r="Q358" s="23"/>
      <c r="R358" s="107"/>
      <c r="S358" s="107"/>
      <c r="T358" s="107"/>
      <c r="U358" s="107"/>
      <c r="V358" s="107"/>
    </row>
    <row r="359" spans="4:22" s="12" customFormat="1" x14ac:dyDescent="0.2">
      <c r="D359" s="107"/>
      <c r="E359" s="35"/>
      <c r="F359" s="36"/>
      <c r="G359" s="37"/>
      <c r="H359" s="38"/>
      <c r="I359" s="39"/>
      <c r="J359" s="39"/>
      <c r="K359" s="35"/>
      <c r="L359" s="107"/>
      <c r="M359" s="40"/>
      <c r="O359" s="107"/>
      <c r="P359" s="22"/>
      <c r="Q359" s="23"/>
      <c r="R359" s="107"/>
      <c r="S359" s="107"/>
      <c r="T359" s="107"/>
      <c r="U359" s="107"/>
      <c r="V359" s="107"/>
    </row>
    <row r="360" spans="4:22" s="12" customFormat="1" x14ac:dyDescent="0.2">
      <c r="D360" s="107"/>
      <c r="E360" s="35"/>
      <c r="F360" s="36"/>
      <c r="G360" s="37"/>
      <c r="H360" s="38"/>
      <c r="I360" s="39"/>
      <c r="J360" s="39"/>
      <c r="K360" s="35"/>
      <c r="L360" s="107"/>
      <c r="M360" s="40"/>
      <c r="O360" s="107"/>
      <c r="P360" s="22"/>
      <c r="Q360" s="23"/>
      <c r="R360" s="107"/>
      <c r="S360" s="107"/>
      <c r="T360" s="107"/>
      <c r="U360" s="107"/>
      <c r="V360" s="107"/>
    </row>
    <row r="361" spans="4:22" s="12" customFormat="1" x14ac:dyDescent="0.2">
      <c r="D361" s="107"/>
      <c r="E361" s="35"/>
      <c r="F361" s="36"/>
      <c r="G361" s="37"/>
      <c r="H361" s="38"/>
      <c r="I361" s="39"/>
      <c r="J361" s="39"/>
      <c r="K361" s="35"/>
      <c r="L361" s="107"/>
      <c r="M361" s="40"/>
      <c r="O361" s="107"/>
      <c r="P361" s="22"/>
      <c r="Q361" s="23"/>
      <c r="R361" s="107"/>
      <c r="S361" s="107"/>
      <c r="T361" s="107"/>
      <c r="U361" s="107"/>
      <c r="V361" s="107"/>
    </row>
    <row r="362" spans="4:22" s="12" customFormat="1" x14ac:dyDescent="0.2">
      <c r="D362" s="107"/>
      <c r="E362" s="35"/>
      <c r="F362" s="36"/>
      <c r="G362" s="37"/>
      <c r="H362" s="38"/>
      <c r="I362" s="39"/>
      <c r="J362" s="39"/>
      <c r="K362" s="35"/>
      <c r="L362" s="107"/>
      <c r="M362" s="40"/>
      <c r="O362" s="107"/>
      <c r="P362" s="22"/>
      <c r="Q362" s="23"/>
      <c r="R362" s="107"/>
      <c r="S362" s="107"/>
      <c r="T362" s="107"/>
      <c r="U362" s="107"/>
      <c r="V362" s="107"/>
    </row>
    <row r="363" spans="4:22" s="12" customFormat="1" x14ac:dyDescent="0.2">
      <c r="D363" s="107"/>
      <c r="E363" s="35"/>
      <c r="F363" s="36"/>
      <c r="G363" s="37"/>
      <c r="H363" s="38"/>
      <c r="I363" s="39"/>
      <c r="J363" s="39"/>
      <c r="K363" s="35"/>
      <c r="L363" s="107"/>
      <c r="M363" s="40"/>
      <c r="O363" s="107"/>
      <c r="P363" s="22"/>
      <c r="Q363" s="23"/>
      <c r="R363" s="107"/>
      <c r="S363" s="107"/>
      <c r="T363" s="107"/>
      <c r="U363" s="107"/>
      <c r="V363" s="107"/>
    </row>
    <row r="364" spans="4:22" s="12" customFormat="1" x14ac:dyDescent="0.2">
      <c r="D364" s="107"/>
      <c r="E364" s="35"/>
      <c r="F364" s="36"/>
      <c r="G364" s="37"/>
      <c r="H364" s="38"/>
      <c r="I364" s="39"/>
      <c r="J364" s="39"/>
      <c r="K364" s="35"/>
      <c r="L364" s="107"/>
      <c r="M364" s="40"/>
      <c r="O364" s="107"/>
      <c r="P364" s="22"/>
      <c r="Q364" s="23"/>
      <c r="R364" s="107"/>
      <c r="S364" s="107"/>
      <c r="T364" s="107"/>
      <c r="U364" s="107"/>
      <c r="V364" s="107"/>
    </row>
    <row r="365" spans="4:22" s="12" customFormat="1" x14ac:dyDescent="0.2">
      <c r="D365" s="107"/>
      <c r="E365" s="35"/>
      <c r="F365" s="36"/>
      <c r="G365" s="37"/>
      <c r="H365" s="38"/>
      <c r="I365" s="39"/>
      <c r="J365" s="39"/>
      <c r="K365" s="35"/>
      <c r="L365" s="107"/>
      <c r="M365" s="40"/>
      <c r="O365" s="107"/>
      <c r="P365" s="22"/>
      <c r="Q365" s="23"/>
      <c r="R365" s="107"/>
      <c r="S365" s="107"/>
      <c r="T365" s="107"/>
      <c r="U365" s="107"/>
      <c r="V365" s="107"/>
    </row>
    <row r="366" spans="4:22" s="12" customFormat="1" x14ac:dyDescent="0.2">
      <c r="D366" s="107"/>
      <c r="E366" s="35"/>
      <c r="F366" s="36"/>
      <c r="G366" s="37"/>
      <c r="H366" s="38"/>
      <c r="I366" s="39"/>
      <c r="J366" s="39"/>
      <c r="K366" s="35"/>
      <c r="L366" s="107"/>
      <c r="M366" s="40"/>
      <c r="O366" s="107"/>
      <c r="P366" s="22"/>
      <c r="Q366" s="23"/>
      <c r="R366" s="107"/>
      <c r="S366" s="107"/>
      <c r="T366" s="107"/>
      <c r="U366" s="107"/>
      <c r="V366" s="107"/>
    </row>
    <row r="367" spans="4:22" s="12" customFormat="1" x14ac:dyDescent="0.2">
      <c r="D367" s="107"/>
      <c r="E367" s="35"/>
      <c r="F367" s="36"/>
      <c r="G367" s="37"/>
      <c r="H367" s="38"/>
      <c r="I367" s="39"/>
      <c r="J367" s="39"/>
      <c r="K367" s="35"/>
      <c r="L367" s="107"/>
      <c r="M367" s="40"/>
      <c r="O367" s="107"/>
      <c r="P367" s="22"/>
      <c r="Q367" s="23"/>
      <c r="R367" s="107"/>
      <c r="S367" s="107"/>
      <c r="T367" s="107"/>
      <c r="U367" s="107"/>
      <c r="V367" s="107"/>
    </row>
    <row r="368" spans="4:22" s="12" customFormat="1" x14ac:dyDescent="0.2">
      <c r="D368" s="107"/>
      <c r="E368" s="35"/>
      <c r="F368" s="36"/>
      <c r="G368" s="37"/>
      <c r="H368" s="38"/>
      <c r="I368" s="39"/>
      <c r="J368" s="39"/>
      <c r="K368" s="35"/>
      <c r="L368" s="107"/>
      <c r="M368" s="40"/>
      <c r="O368" s="107"/>
      <c r="P368" s="22"/>
      <c r="Q368" s="23"/>
      <c r="R368" s="107"/>
      <c r="S368" s="107"/>
      <c r="T368" s="107"/>
      <c r="U368" s="107"/>
      <c r="V368" s="107"/>
    </row>
    <row r="369" spans="4:22" s="12" customFormat="1" x14ac:dyDescent="0.2">
      <c r="D369" s="107"/>
      <c r="E369" s="35"/>
      <c r="F369" s="36"/>
      <c r="G369" s="37"/>
      <c r="H369" s="38"/>
      <c r="I369" s="39"/>
      <c r="J369" s="39"/>
      <c r="K369" s="35"/>
      <c r="L369" s="107"/>
      <c r="M369" s="40"/>
      <c r="O369" s="107"/>
      <c r="P369" s="22"/>
      <c r="Q369" s="23"/>
      <c r="R369" s="107"/>
      <c r="S369" s="107"/>
      <c r="T369" s="107"/>
      <c r="U369" s="107"/>
      <c r="V369" s="107"/>
    </row>
    <row r="370" spans="4:22" s="12" customFormat="1" x14ac:dyDescent="0.2">
      <c r="D370" s="107"/>
      <c r="E370" s="35"/>
      <c r="F370" s="36"/>
      <c r="G370" s="37"/>
      <c r="H370" s="38"/>
      <c r="I370" s="39"/>
      <c r="J370" s="39"/>
      <c r="K370" s="35"/>
      <c r="L370" s="107"/>
      <c r="M370" s="40"/>
      <c r="O370" s="107"/>
      <c r="P370" s="22"/>
      <c r="Q370" s="23"/>
      <c r="R370" s="107"/>
      <c r="S370" s="107"/>
      <c r="T370" s="107"/>
      <c r="U370" s="107"/>
      <c r="V370" s="107"/>
    </row>
    <row r="371" spans="4:22" s="12" customFormat="1" x14ac:dyDescent="0.2">
      <c r="D371" s="107"/>
      <c r="E371" s="35"/>
      <c r="F371" s="36"/>
      <c r="G371" s="37"/>
      <c r="H371" s="38"/>
      <c r="I371" s="39"/>
      <c r="J371" s="39"/>
      <c r="K371" s="35"/>
      <c r="L371" s="107"/>
      <c r="M371" s="40"/>
      <c r="O371" s="107"/>
      <c r="P371" s="22"/>
      <c r="Q371" s="23"/>
      <c r="R371" s="107"/>
      <c r="S371" s="107"/>
      <c r="T371" s="107"/>
      <c r="U371" s="107"/>
      <c r="V371" s="107"/>
    </row>
    <row r="372" spans="4:22" s="12" customFormat="1" x14ac:dyDescent="0.2">
      <c r="D372" s="107"/>
      <c r="E372" s="35"/>
      <c r="F372" s="36"/>
      <c r="G372" s="37"/>
      <c r="H372" s="38"/>
      <c r="I372" s="39"/>
      <c r="J372" s="39"/>
      <c r="K372" s="35"/>
      <c r="L372" s="107"/>
      <c r="M372" s="40"/>
      <c r="O372" s="107"/>
      <c r="P372" s="22"/>
      <c r="Q372" s="23"/>
      <c r="R372" s="107"/>
      <c r="S372" s="107"/>
      <c r="T372" s="107"/>
      <c r="U372" s="107"/>
      <c r="V372" s="107"/>
    </row>
    <row r="373" spans="4:22" s="12" customFormat="1" x14ac:dyDescent="0.2">
      <c r="D373" s="107"/>
      <c r="E373" s="35"/>
      <c r="F373" s="36"/>
      <c r="G373" s="37"/>
      <c r="H373" s="38"/>
      <c r="I373" s="39"/>
      <c r="J373" s="39"/>
      <c r="K373" s="35"/>
      <c r="L373" s="107"/>
      <c r="M373" s="40"/>
      <c r="O373" s="107"/>
      <c r="P373" s="22"/>
      <c r="Q373" s="23"/>
      <c r="R373" s="107"/>
      <c r="S373" s="107"/>
      <c r="T373" s="107"/>
      <c r="U373" s="107"/>
      <c r="V373" s="107"/>
    </row>
    <row r="374" spans="4:22" s="12" customFormat="1" x14ac:dyDescent="0.2">
      <c r="D374" s="107"/>
      <c r="E374" s="35"/>
      <c r="F374" s="36"/>
      <c r="G374" s="37"/>
      <c r="H374" s="38"/>
      <c r="I374" s="39"/>
      <c r="J374" s="39"/>
      <c r="K374" s="35"/>
      <c r="L374" s="107"/>
      <c r="M374" s="40"/>
      <c r="O374" s="107"/>
      <c r="P374" s="22"/>
      <c r="Q374" s="23"/>
      <c r="R374" s="107"/>
      <c r="S374" s="107"/>
      <c r="T374" s="107"/>
      <c r="U374" s="107"/>
      <c r="V374" s="107"/>
    </row>
    <row r="375" spans="4:22" s="12" customFormat="1" x14ac:dyDescent="0.2">
      <c r="D375" s="107"/>
      <c r="E375" s="35"/>
      <c r="F375" s="36"/>
      <c r="G375" s="37"/>
      <c r="H375" s="38"/>
      <c r="I375" s="39"/>
      <c r="J375" s="39"/>
      <c r="K375" s="35"/>
      <c r="L375" s="107"/>
      <c r="M375" s="40"/>
      <c r="O375" s="107"/>
      <c r="P375" s="22"/>
      <c r="Q375" s="23"/>
      <c r="R375" s="107"/>
      <c r="S375" s="107"/>
      <c r="T375" s="107"/>
      <c r="U375" s="107"/>
      <c r="V375" s="107"/>
    </row>
    <row r="376" spans="4:22" s="12" customFormat="1" x14ac:dyDescent="0.2">
      <c r="D376" s="107"/>
      <c r="E376" s="35"/>
      <c r="F376" s="36"/>
      <c r="G376" s="37"/>
      <c r="H376" s="38"/>
      <c r="I376" s="39"/>
      <c r="J376" s="39"/>
      <c r="K376" s="35"/>
      <c r="L376" s="107"/>
      <c r="M376" s="40"/>
      <c r="O376" s="107"/>
      <c r="P376" s="22"/>
      <c r="Q376" s="23"/>
      <c r="R376" s="107"/>
      <c r="S376" s="107"/>
      <c r="T376" s="107"/>
      <c r="U376" s="107"/>
      <c r="V376" s="107"/>
    </row>
    <row r="377" spans="4:22" s="12" customFormat="1" x14ac:dyDescent="0.2">
      <c r="D377" s="107"/>
      <c r="E377" s="35"/>
      <c r="F377" s="36"/>
      <c r="G377" s="37"/>
      <c r="H377" s="38"/>
      <c r="I377" s="39"/>
      <c r="J377" s="39"/>
      <c r="K377" s="35"/>
      <c r="L377" s="107"/>
      <c r="M377" s="40"/>
      <c r="O377" s="107"/>
      <c r="P377" s="22"/>
      <c r="Q377" s="23"/>
      <c r="R377" s="107"/>
      <c r="S377" s="107"/>
      <c r="T377" s="107"/>
      <c r="U377" s="107"/>
      <c r="V377" s="107"/>
    </row>
    <row r="378" spans="4:22" s="12" customFormat="1" x14ac:dyDescent="0.2">
      <c r="D378" s="107"/>
      <c r="E378" s="35"/>
      <c r="F378" s="36"/>
      <c r="G378" s="37"/>
      <c r="H378" s="38"/>
      <c r="I378" s="39"/>
      <c r="J378" s="39"/>
      <c r="K378" s="35"/>
      <c r="L378" s="107"/>
      <c r="M378" s="40"/>
      <c r="O378" s="107"/>
      <c r="P378" s="22"/>
      <c r="Q378" s="23"/>
      <c r="R378" s="107"/>
      <c r="S378" s="107"/>
      <c r="T378" s="107"/>
      <c r="U378" s="107"/>
      <c r="V378" s="107"/>
    </row>
    <row r="379" spans="4:22" s="12" customFormat="1" x14ac:dyDescent="0.2">
      <c r="D379" s="107"/>
      <c r="E379" s="35"/>
      <c r="F379" s="36"/>
      <c r="G379" s="37"/>
      <c r="H379" s="38"/>
      <c r="I379" s="39"/>
      <c r="J379" s="39"/>
      <c r="K379" s="35"/>
      <c r="L379" s="107"/>
      <c r="M379" s="40"/>
      <c r="O379" s="107"/>
      <c r="P379" s="22"/>
      <c r="Q379" s="23"/>
      <c r="R379" s="107"/>
      <c r="S379" s="107"/>
      <c r="T379" s="107"/>
      <c r="U379" s="107"/>
      <c r="V379" s="107"/>
    </row>
    <row r="380" spans="4:22" s="12" customFormat="1" x14ac:dyDescent="0.2">
      <c r="D380" s="107"/>
      <c r="E380" s="35"/>
      <c r="F380" s="36"/>
      <c r="G380" s="37"/>
      <c r="H380" s="38"/>
      <c r="I380" s="39"/>
      <c r="J380" s="39"/>
      <c r="K380" s="35"/>
      <c r="L380" s="107"/>
      <c r="M380" s="40"/>
      <c r="O380" s="107"/>
      <c r="P380" s="22"/>
      <c r="Q380" s="23"/>
      <c r="R380" s="107"/>
      <c r="S380" s="107"/>
      <c r="T380" s="107"/>
      <c r="U380" s="107"/>
      <c r="V380" s="107"/>
    </row>
    <row r="381" spans="4:22" s="12" customFormat="1" x14ac:dyDescent="0.2">
      <c r="D381" s="107"/>
      <c r="E381" s="35"/>
      <c r="F381" s="36"/>
      <c r="G381" s="37"/>
      <c r="H381" s="38"/>
      <c r="I381" s="39"/>
      <c r="J381" s="39"/>
      <c r="K381" s="35"/>
      <c r="L381" s="107"/>
      <c r="M381" s="40"/>
      <c r="O381" s="107"/>
      <c r="P381" s="22"/>
      <c r="Q381" s="23"/>
      <c r="R381" s="107"/>
      <c r="S381" s="107"/>
      <c r="T381" s="107"/>
      <c r="U381" s="107"/>
      <c r="V381" s="107"/>
    </row>
    <row r="382" spans="4:22" s="12" customFormat="1" x14ac:dyDescent="0.2">
      <c r="D382" s="107"/>
      <c r="E382" s="35"/>
      <c r="F382" s="36"/>
      <c r="G382" s="37"/>
      <c r="H382" s="38"/>
      <c r="I382" s="39"/>
      <c r="J382" s="39"/>
      <c r="K382" s="35"/>
      <c r="L382" s="107"/>
      <c r="M382" s="40"/>
      <c r="O382" s="107"/>
      <c r="P382" s="22"/>
      <c r="Q382" s="23"/>
      <c r="R382" s="107"/>
      <c r="S382" s="107"/>
      <c r="T382" s="107"/>
      <c r="U382" s="107"/>
      <c r="V382" s="107"/>
    </row>
    <row r="383" spans="4:22" s="12" customFormat="1" x14ac:dyDescent="0.2">
      <c r="D383" s="107"/>
      <c r="E383" s="35"/>
      <c r="F383" s="36"/>
      <c r="G383" s="37"/>
      <c r="H383" s="38"/>
      <c r="I383" s="39"/>
      <c r="J383" s="39"/>
      <c r="K383" s="35"/>
      <c r="L383" s="107"/>
      <c r="M383" s="40"/>
      <c r="O383" s="107"/>
      <c r="P383" s="22"/>
      <c r="Q383" s="23"/>
      <c r="R383" s="107"/>
      <c r="S383" s="107"/>
      <c r="T383" s="107"/>
      <c r="U383" s="107"/>
      <c r="V383" s="107"/>
    </row>
    <row r="384" spans="4:22" s="12" customFormat="1" x14ac:dyDescent="0.2">
      <c r="D384" s="107"/>
      <c r="E384" s="35"/>
      <c r="F384" s="36"/>
      <c r="G384" s="37"/>
      <c r="H384" s="38"/>
      <c r="I384" s="39"/>
      <c r="J384" s="39"/>
      <c r="K384" s="35"/>
      <c r="L384" s="107"/>
      <c r="M384" s="40"/>
      <c r="O384" s="107"/>
      <c r="P384" s="22"/>
      <c r="Q384" s="23"/>
      <c r="R384" s="107"/>
      <c r="S384" s="107"/>
      <c r="T384" s="107"/>
      <c r="U384" s="107"/>
      <c r="V384" s="107"/>
    </row>
    <row r="385" spans="4:22" s="12" customFormat="1" x14ac:dyDescent="0.2">
      <c r="D385" s="107"/>
      <c r="E385" s="35"/>
      <c r="F385" s="36"/>
      <c r="G385" s="37"/>
      <c r="H385" s="38"/>
      <c r="I385" s="39"/>
      <c r="J385" s="39"/>
      <c r="K385" s="35"/>
      <c r="L385" s="107"/>
      <c r="M385" s="40"/>
      <c r="O385" s="107"/>
      <c r="P385" s="22"/>
      <c r="Q385" s="23"/>
      <c r="R385" s="107"/>
      <c r="S385" s="107"/>
      <c r="T385" s="107"/>
      <c r="U385" s="107"/>
      <c r="V385" s="107"/>
    </row>
    <row r="386" spans="4:22" s="12" customFormat="1" x14ac:dyDescent="0.2">
      <c r="D386" s="107"/>
      <c r="E386" s="35"/>
      <c r="F386" s="36"/>
      <c r="G386" s="37"/>
      <c r="H386" s="38"/>
      <c r="I386" s="39"/>
      <c r="J386" s="39"/>
      <c r="K386" s="35"/>
      <c r="L386" s="107"/>
      <c r="M386" s="40"/>
      <c r="O386" s="107"/>
      <c r="P386" s="22"/>
      <c r="Q386" s="23"/>
      <c r="R386" s="107"/>
      <c r="S386" s="107"/>
      <c r="T386" s="107"/>
      <c r="U386" s="107"/>
      <c r="V386" s="107"/>
    </row>
    <row r="387" spans="4:22" s="12" customFormat="1" x14ac:dyDescent="0.2">
      <c r="D387" s="107"/>
      <c r="E387" s="35"/>
      <c r="F387" s="36"/>
      <c r="G387" s="37"/>
      <c r="H387" s="38"/>
      <c r="I387" s="39"/>
      <c r="J387" s="39"/>
      <c r="K387" s="35"/>
      <c r="L387" s="107"/>
      <c r="M387" s="40"/>
      <c r="O387" s="107"/>
      <c r="P387" s="22"/>
      <c r="Q387" s="23"/>
      <c r="R387" s="107"/>
      <c r="S387" s="107"/>
      <c r="T387" s="107"/>
      <c r="U387" s="107"/>
      <c r="V387" s="107"/>
    </row>
    <row r="388" spans="4:22" s="12" customFormat="1" x14ac:dyDescent="0.2">
      <c r="D388" s="107"/>
      <c r="E388" s="35"/>
      <c r="F388" s="36"/>
      <c r="G388" s="37"/>
      <c r="H388" s="38"/>
      <c r="I388" s="39"/>
      <c r="J388" s="39"/>
      <c r="K388" s="35"/>
      <c r="L388" s="107"/>
      <c r="M388" s="40"/>
      <c r="O388" s="107"/>
      <c r="P388" s="22"/>
      <c r="Q388" s="23"/>
      <c r="R388" s="107"/>
      <c r="S388" s="107"/>
      <c r="T388" s="107"/>
      <c r="U388" s="107"/>
      <c r="V388" s="107"/>
    </row>
    <row r="389" spans="4:22" s="12" customFormat="1" x14ac:dyDescent="0.2">
      <c r="D389" s="107"/>
      <c r="E389" s="35"/>
      <c r="F389" s="36"/>
      <c r="G389" s="37"/>
      <c r="H389" s="38"/>
      <c r="I389" s="39"/>
      <c r="J389" s="39"/>
      <c r="K389" s="35"/>
      <c r="L389" s="107"/>
      <c r="M389" s="40"/>
      <c r="O389" s="107"/>
      <c r="P389" s="22"/>
      <c r="Q389" s="23"/>
      <c r="R389" s="107"/>
      <c r="S389" s="107"/>
      <c r="T389" s="107"/>
      <c r="U389" s="107"/>
      <c r="V389" s="107"/>
    </row>
    <row r="390" spans="4:22" s="12" customFormat="1" x14ac:dyDescent="0.2">
      <c r="D390" s="107"/>
      <c r="E390" s="35"/>
      <c r="F390" s="36"/>
      <c r="G390" s="37"/>
      <c r="H390" s="38"/>
      <c r="I390" s="39"/>
      <c r="J390" s="39"/>
      <c r="K390" s="35"/>
      <c r="L390" s="107"/>
      <c r="M390" s="40"/>
      <c r="O390" s="107"/>
      <c r="P390" s="22"/>
      <c r="Q390" s="23"/>
      <c r="R390" s="107"/>
      <c r="S390" s="107"/>
      <c r="T390" s="107"/>
      <c r="U390" s="107"/>
      <c r="V390" s="107"/>
    </row>
    <row r="391" spans="4:22" s="12" customFormat="1" x14ac:dyDescent="0.2">
      <c r="D391" s="107"/>
      <c r="E391" s="35"/>
      <c r="F391" s="36"/>
      <c r="G391" s="37"/>
      <c r="H391" s="38"/>
      <c r="I391" s="39"/>
      <c r="J391" s="39"/>
      <c r="K391" s="35"/>
      <c r="L391" s="107"/>
      <c r="M391" s="40"/>
      <c r="O391" s="107"/>
      <c r="P391" s="22"/>
      <c r="Q391" s="23"/>
      <c r="R391" s="107"/>
      <c r="S391" s="107"/>
      <c r="T391" s="107"/>
      <c r="U391" s="107"/>
      <c r="V391" s="107"/>
    </row>
    <row r="392" spans="4:22" s="12" customFormat="1" x14ac:dyDescent="0.2">
      <c r="D392" s="107"/>
      <c r="E392" s="35"/>
      <c r="F392" s="36"/>
      <c r="G392" s="37"/>
      <c r="H392" s="38"/>
      <c r="I392" s="39"/>
      <c r="J392" s="39"/>
      <c r="K392" s="35"/>
      <c r="L392" s="107"/>
      <c r="M392" s="40"/>
      <c r="O392" s="107"/>
      <c r="P392" s="22"/>
      <c r="Q392" s="23"/>
      <c r="R392" s="107"/>
      <c r="S392" s="107"/>
      <c r="T392" s="107"/>
      <c r="U392" s="107"/>
      <c r="V392" s="107"/>
    </row>
    <row r="393" spans="4:22" s="12" customFormat="1" x14ac:dyDescent="0.2">
      <c r="D393" s="107"/>
      <c r="E393" s="35"/>
      <c r="F393" s="36"/>
      <c r="G393" s="37"/>
      <c r="H393" s="38"/>
      <c r="I393" s="39"/>
      <c r="J393" s="39"/>
      <c r="K393" s="35"/>
      <c r="L393" s="107"/>
      <c r="M393" s="40"/>
      <c r="O393" s="107"/>
      <c r="P393" s="22"/>
      <c r="Q393" s="23"/>
      <c r="R393" s="107"/>
      <c r="S393" s="107"/>
      <c r="T393" s="107"/>
      <c r="U393" s="107"/>
      <c r="V393" s="107"/>
    </row>
    <row r="394" spans="4:22" s="12" customFormat="1" x14ac:dyDescent="0.2">
      <c r="D394" s="107"/>
      <c r="E394" s="35"/>
      <c r="F394" s="36"/>
      <c r="G394" s="37"/>
      <c r="H394" s="38"/>
      <c r="I394" s="39"/>
      <c r="J394" s="39"/>
      <c r="K394" s="35"/>
      <c r="L394" s="107"/>
      <c r="M394" s="40"/>
      <c r="O394" s="107"/>
      <c r="P394" s="22"/>
      <c r="Q394" s="23"/>
      <c r="R394" s="107"/>
      <c r="S394" s="107"/>
      <c r="T394" s="107"/>
      <c r="U394" s="107"/>
      <c r="V394" s="107"/>
    </row>
    <row r="395" spans="4:22" s="12" customFormat="1" x14ac:dyDescent="0.2">
      <c r="D395" s="107"/>
      <c r="E395" s="35"/>
      <c r="F395" s="36"/>
      <c r="G395" s="37"/>
      <c r="H395" s="38"/>
      <c r="I395" s="39"/>
      <c r="J395" s="39"/>
      <c r="K395" s="35"/>
      <c r="L395" s="107"/>
      <c r="M395" s="40"/>
      <c r="O395" s="107"/>
      <c r="P395" s="22"/>
      <c r="Q395" s="23"/>
      <c r="R395" s="107"/>
      <c r="S395" s="107"/>
      <c r="T395" s="107"/>
      <c r="U395" s="107"/>
      <c r="V395" s="107"/>
    </row>
    <row r="396" spans="4:22" s="12" customFormat="1" x14ac:dyDescent="0.2">
      <c r="D396" s="107"/>
      <c r="E396" s="35"/>
      <c r="F396" s="36"/>
      <c r="G396" s="37"/>
      <c r="H396" s="38"/>
      <c r="I396" s="39"/>
      <c r="J396" s="39"/>
      <c r="K396" s="35"/>
      <c r="L396" s="107"/>
      <c r="M396" s="40"/>
      <c r="O396" s="107"/>
      <c r="P396" s="22"/>
      <c r="Q396" s="23"/>
      <c r="R396" s="107"/>
      <c r="S396" s="107"/>
      <c r="T396" s="107"/>
      <c r="U396" s="107"/>
      <c r="V396" s="107"/>
    </row>
    <row r="397" spans="4:22" s="12" customFormat="1" x14ac:dyDescent="0.2">
      <c r="D397" s="107"/>
      <c r="E397" s="35"/>
      <c r="F397" s="36"/>
      <c r="G397" s="37"/>
      <c r="H397" s="38"/>
      <c r="I397" s="39"/>
      <c r="J397" s="39"/>
      <c r="K397" s="35"/>
      <c r="L397" s="107"/>
      <c r="M397" s="40"/>
      <c r="O397" s="107"/>
      <c r="P397" s="22"/>
      <c r="Q397" s="23"/>
      <c r="R397" s="107"/>
      <c r="S397" s="107"/>
      <c r="T397" s="107"/>
      <c r="U397" s="107"/>
      <c r="V397" s="107"/>
    </row>
    <row r="398" spans="4:22" s="12" customFormat="1" x14ac:dyDescent="0.2">
      <c r="D398" s="107"/>
      <c r="E398" s="35"/>
      <c r="F398" s="36"/>
      <c r="G398" s="37"/>
      <c r="H398" s="38"/>
      <c r="I398" s="39"/>
      <c r="J398" s="39"/>
      <c r="K398" s="35"/>
      <c r="L398" s="107"/>
      <c r="M398" s="40"/>
      <c r="O398" s="107"/>
      <c r="P398" s="22"/>
      <c r="Q398" s="23"/>
      <c r="R398" s="107"/>
      <c r="S398" s="107"/>
      <c r="T398" s="107"/>
      <c r="U398" s="107"/>
      <c r="V398" s="107"/>
    </row>
    <row r="399" spans="4:22" s="12" customFormat="1" x14ac:dyDescent="0.2">
      <c r="D399" s="107"/>
      <c r="E399" s="35"/>
      <c r="F399" s="36"/>
      <c r="G399" s="37"/>
      <c r="H399" s="38"/>
      <c r="I399" s="39"/>
      <c r="J399" s="39"/>
      <c r="K399" s="35"/>
      <c r="L399" s="107"/>
      <c r="M399" s="40"/>
      <c r="O399" s="107"/>
      <c r="P399" s="22"/>
      <c r="Q399" s="23"/>
      <c r="R399" s="107"/>
      <c r="S399" s="107"/>
      <c r="T399" s="107"/>
      <c r="U399" s="107"/>
      <c r="V399" s="107"/>
    </row>
    <row r="400" spans="4:22" s="12" customFormat="1" x14ac:dyDescent="0.2">
      <c r="D400" s="107"/>
      <c r="E400" s="35"/>
      <c r="F400" s="36"/>
      <c r="G400" s="37"/>
      <c r="H400" s="38"/>
      <c r="I400" s="39"/>
      <c r="J400" s="39"/>
      <c r="K400" s="35"/>
      <c r="L400" s="107"/>
      <c r="M400" s="40"/>
      <c r="O400" s="107"/>
      <c r="P400" s="22"/>
      <c r="Q400" s="23"/>
      <c r="R400" s="107"/>
      <c r="S400" s="107"/>
      <c r="T400" s="107"/>
      <c r="U400" s="107"/>
      <c r="V400" s="107"/>
    </row>
    <row r="401" spans="4:22" s="12" customFormat="1" x14ac:dyDescent="0.2">
      <c r="D401" s="107"/>
      <c r="E401" s="35"/>
      <c r="F401" s="36"/>
      <c r="G401" s="37"/>
      <c r="H401" s="38"/>
      <c r="I401" s="39"/>
      <c r="J401" s="39"/>
      <c r="K401" s="35"/>
      <c r="L401" s="107"/>
      <c r="M401" s="40"/>
      <c r="O401" s="107"/>
      <c r="P401" s="22"/>
      <c r="Q401" s="23"/>
      <c r="R401" s="107"/>
      <c r="S401" s="107"/>
      <c r="T401" s="107"/>
      <c r="U401" s="107"/>
      <c r="V401" s="107"/>
    </row>
    <row r="402" spans="4:22" s="12" customFormat="1" x14ac:dyDescent="0.2">
      <c r="D402" s="107"/>
      <c r="E402" s="35"/>
      <c r="F402" s="36"/>
      <c r="G402" s="37"/>
      <c r="H402" s="38"/>
      <c r="I402" s="39"/>
      <c r="J402" s="39"/>
      <c r="K402" s="35"/>
      <c r="L402" s="107"/>
      <c r="M402" s="40"/>
      <c r="O402" s="107"/>
      <c r="P402" s="22"/>
      <c r="Q402" s="23"/>
      <c r="R402" s="107"/>
      <c r="S402" s="107"/>
      <c r="T402" s="107"/>
      <c r="U402" s="107"/>
      <c r="V402" s="107"/>
    </row>
    <row r="403" spans="4:22" s="12" customFormat="1" x14ac:dyDescent="0.2">
      <c r="D403" s="107"/>
      <c r="E403" s="35"/>
      <c r="F403" s="36"/>
      <c r="G403" s="37"/>
      <c r="H403" s="38"/>
      <c r="I403" s="39"/>
      <c r="J403" s="39"/>
      <c r="K403" s="35"/>
      <c r="L403" s="107"/>
      <c r="M403" s="40"/>
      <c r="O403" s="107"/>
      <c r="P403" s="22"/>
      <c r="Q403" s="23"/>
      <c r="R403" s="107"/>
      <c r="S403" s="107"/>
      <c r="T403" s="107"/>
      <c r="U403" s="107"/>
      <c r="V403" s="107"/>
    </row>
    <row r="404" spans="4:22" s="12" customFormat="1" x14ac:dyDescent="0.2">
      <c r="D404" s="107"/>
      <c r="E404" s="35"/>
      <c r="F404" s="36"/>
      <c r="G404" s="37"/>
      <c r="H404" s="38"/>
      <c r="I404" s="39"/>
      <c r="J404" s="39"/>
      <c r="K404" s="35"/>
      <c r="L404" s="107"/>
      <c r="M404" s="40"/>
      <c r="O404" s="107"/>
      <c r="P404" s="22"/>
      <c r="Q404" s="23"/>
      <c r="R404" s="107"/>
      <c r="S404" s="107"/>
      <c r="T404" s="107"/>
      <c r="U404" s="107"/>
      <c r="V404" s="107"/>
    </row>
    <row r="405" spans="4:22" s="12" customFormat="1" x14ac:dyDescent="0.2">
      <c r="D405" s="107"/>
      <c r="E405" s="35"/>
      <c r="F405" s="36"/>
      <c r="G405" s="37"/>
      <c r="H405" s="38"/>
      <c r="I405" s="39"/>
      <c r="J405" s="39"/>
      <c r="K405" s="35"/>
      <c r="L405" s="107"/>
      <c r="M405" s="40"/>
      <c r="O405" s="107"/>
      <c r="P405" s="22"/>
      <c r="Q405" s="23"/>
      <c r="R405" s="107"/>
      <c r="S405" s="107"/>
      <c r="T405" s="107"/>
      <c r="U405" s="107"/>
      <c r="V405" s="107"/>
    </row>
    <row r="406" spans="4:22" s="12" customFormat="1" x14ac:dyDescent="0.2">
      <c r="D406" s="107"/>
      <c r="E406" s="35"/>
      <c r="F406" s="36"/>
      <c r="G406" s="37"/>
      <c r="H406" s="38"/>
      <c r="I406" s="39"/>
      <c r="J406" s="39"/>
      <c r="K406" s="35"/>
      <c r="L406" s="107"/>
      <c r="M406" s="40"/>
      <c r="O406" s="107"/>
      <c r="P406" s="22"/>
      <c r="Q406" s="23"/>
      <c r="R406" s="107"/>
      <c r="S406" s="107"/>
      <c r="T406" s="107"/>
      <c r="U406" s="107"/>
      <c r="V406" s="107"/>
    </row>
    <row r="407" spans="4:22" s="12" customFormat="1" x14ac:dyDescent="0.2">
      <c r="D407" s="107"/>
      <c r="E407" s="35"/>
      <c r="F407" s="36"/>
      <c r="G407" s="37"/>
      <c r="H407" s="38"/>
      <c r="I407" s="39"/>
      <c r="J407" s="39"/>
      <c r="K407" s="35"/>
      <c r="L407" s="107"/>
      <c r="M407" s="40"/>
      <c r="O407" s="107"/>
      <c r="P407" s="22"/>
      <c r="Q407" s="23"/>
      <c r="R407" s="107"/>
      <c r="S407" s="107"/>
      <c r="T407" s="107"/>
      <c r="U407" s="107"/>
      <c r="V407" s="107"/>
    </row>
    <row r="408" spans="4:22" s="12" customFormat="1" x14ac:dyDescent="0.2">
      <c r="D408" s="107"/>
      <c r="E408" s="35"/>
      <c r="F408" s="36"/>
      <c r="G408" s="37"/>
      <c r="H408" s="38"/>
      <c r="I408" s="39"/>
      <c r="J408" s="39"/>
      <c r="K408" s="35"/>
      <c r="L408" s="107"/>
      <c r="M408" s="40"/>
      <c r="O408" s="107"/>
      <c r="P408" s="22"/>
      <c r="Q408" s="23"/>
      <c r="R408" s="107"/>
      <c r="S408" s="107"/>
      <c r="T408" s="107"/>
      <c r="U408" s="107"/>
      <c r="V408" s="107"/>
    </row>
    <row r="409" spans="4:22" s="12" customFormat="1" x14ac:dyDescent="0.2">
      <c r="D409" s="107"/>
      <c r="E409" s="35"/>
      <c r="F409" s="36"/>
      <c r="G409" s="37"/>
      <c r="H409" s="38"/>
      <c r="I409" s="39"/>
      <c r="J409" s="39"/>
      <c r="K409" s="35"/>
      <c r="L409" s="107"/>
      <c r="M409" s="40"/>
      <c r="O409" s="107"/>
      <c r="P409" s="22"/>
      <c r="Q409" s="23"/>
      <c r="R409" s="107"/>
      <c r="S409" s="107"/>
      <c r="T409" s="107"/>
      <c r="U409" s="107"/>
      <c r="V409" s="107"/>
    </row>
    <row r="410" spans="4:22" s="12" customFormat="1" x14ac:dyDescent="0.2">
      <c r="D410" s="107"/>
      <c r="E410" s="35"/>
      <c r="F410" s="36"/>
      <c r="G410" s="37"/>
      <c r="H410" s="38"/>
      <c r="I410" s="39"/>
      <c r="J410" s="39"/>
      <c r="K410" s="35"/>
      <c r="L410" s="107"/>
      <c r="M410" s="40"/>
      <c r="O410" s="107"/>
      <c r="P410" s="22"/>
      <c r="Q410" s="23"/>
      <c r="R410" s="107"/>
      <c r="S410" s="107"/>
      <c r="T410" s="107"/>
      <c r="U410" s="107"/>
      <c r="V410" s="107"/>
    </row>
    <row r="411" spans="4:22" s="12" customFormat="1" x14ac:dyDescent="0.2">
      <c r="D411" s="107"/>
      <c r="E411" s="35"/>
      <c r="F411" s="36"/>
      <c r="G411" s="37"/>
      <c r="H411" s="38"/>
      <c r="I411" s="39"/>
      <c r="J411" s="39"/>
      <c r="K411" s="35"/>
      <c r="L411" s="107"/>
      <c r="M411" s="40"/>
      <c r="O411" s="107"/>
      <c r="P411" s="22"/>
      <c r="Q411" s="23"/>
      <c r="R411" s="107"/>
      <c r="S411" s="107"/>
      <c r="T411" s="107"/>
      <c r="U411" s="107"/>
      <c r="V411" s="107"/>
    </row>
    <row r="412" spans="4:22" s="12" customFormat="1" x14ac:dyDescent="0.2">
      <c r="D412" s="107"/>
      <c r="E412" s="35"/>
      <c r="F412" s="36"/>
      <c r="G412" s="37"/>
      <c r="H412" s="38"/>
      <c r="I412" s="39"/>
      <c r="J412" s="39"/>
      <c r="K412" s="35"/>
      <c r="L412" s="107"/>
      <c r="M412" s="40"/>
      <c r="O412" s="107"/>
      <c r="P412" s="22"/>
      <c r="Q412" s="23"/>
      <c r="R412" s="107"/>
      <c r="S412" s="107"/>
      <c r="T412" s="107"/>
      <c r="U412" s="107"/>
      <c r="V412" s="107"/>
    </row>
    <row r="413" spans="4:22" s="12" customFormat="1" x14ac:dyDescent="0.2">
      <c r="D413" s="107"/>
      <c r="E413" s="35"/>
      <c r="F413" s="36"/>
      <c r="G413" s="37"/>
      <c r="H413" s="38"/>
      <c r="I413" s="39"/>
      <c r="J413" s="39"/>
      <c r="K413" s="35"/>
      <c r="L413" s="107"/>
      <c r="M413" s="40"/>
      <c r="O413" s="107"/>
      <c r="P413" s="22"/>
      <c r="Q413" s="23"/>
      <c r="R413" s="107"/>
      <c r="S413" s="107"/>
      <c r="T413" s="107"/>
      <c r="U413" s="107"/>
      <c r="V413" s="107"/>
    </row>
    <row r="414" spans="4:22" s="12" customFormat="1" x14ac:dyDescent="0.2">
      <c r="D414" s="107"/>
      <c r="E414" s="35"/>
      <c r="F414" s="36"/>
      <c r="G414" s="37"/>
      <c r="H414" s="38"/>
      <c r="I414" s="39"/>
      <c r="J414" s="39"/>
      <c r="K414" s="35"/>
      <c r="L414" s="107"/>
      <c r="M414" s="40"/>
      <c r="O414" s="107"/>
      <c r="P414" s="22"/>
      <c r="Q414" s="23"/>
      <c r="R414" s="107"/>
      <c r="S414" s="107"/>
      <c r="T414" s="107"/>
      <c r="U414" s="107"/>
      <c r="V414" s="107"/>
    </row>
    <row r="415" spans="4:22" s="12" customFormat="1" x14ac:dyDescent="0.2">
      <c r="D415" s="107"/>
      <c r="E415" s="35"/>
      <c r="F415" s="36"/>
      <c r="G415" s="37"/>
      <c r="H415" s="38"/>
      <c r="I415" s="39"/>
      <c r="J415" s="39"/>
      <c r="K415" s="35"/>
      <c r="L415" s="107"/>
      <c r="M415" s="40"/>
      <c r="O415" s="107"/>
      <c r="P415" s="22"/>
      <c r="Q415" s="23"/>
      <c r="R415" s="107"/>
      <c r="S415" s="107"/>
      <c r="T415" s="107"/>
      <c r="U415" s="107"/>
      <c r="V415" s="107"/>
    </row>
    <row r="416" spans="4:22" s="12" customFormat="1" x14ac:dyDescent="0.2">
      <c r="D416" s="107"/>
      <c r="E416" s="35"/>
      <c r="F416" s="36"/>
      <c r="G416" s="37"/>
      <c r="H416" s="38"/>
      <c r="I416" s="39"/>
      <c r="J416" s="39"/>
      <c r="K416" s="35"/>
      <c r="L416" s="107"/>
      <c r="M416" s="40"/>
      <c r="O416" s="107"/>
      <c r="P416" s="22"/>
      <c r="Q416" s="23"/>
      <c r="R416" s="107"/>
      <c r="S416" s="107"/>
      <c r="T416" s="107"/>
      <c r="U416" s="107"/>
      <c r="V416" s="107"/>
    </row>
    <row r="417" spans="4:22" s="12" customFormat="1" x14ac:dyDescent="0.2">
      <c r="D417" s="107"/>
      <c r="E417" s="35"/>
      <c r="F417" s="36"/>
      <c r="G417" s="37"/>
      <c r="H417" s="38"/>
      <c r="I417" s="39"/>
      <c r="J417" s="39"/>
      <c r="K417" s="35"/>
      <c r="L417" s="107"/>
      <c r="M417" s="40"/>
      <c r="O417" s="107"/>
      <c r="P417" s="22"/>
      <c r="Q417" s="23"/>
      <c r="R417" s="107"/>
      <c r="S417" s="107"/>
      <c r="T417" s="107"/>
      <c r="U417" s="107"/>
      <c r="V417" s="107"/>
    </row>
    <row r="418" spans="4:22" s="12" customFormat="1" x14ac:dyDescent="0.2">
      <c r="D418" s="107"/>
      <c r="E418" s="35"/>
      <c r="F418" s="36"/>
      <c r="G418" s="37"/>
      <c r="H418" s="38"/>
      <c r="I418" s="39"/>
      <c r="J418" s="39"/>
      <c r="K418" s="35"/>
      <c r="L418" s="107"/>
      <c r="M418" s="40"/>
      <c r="O418" s="107"/>
      <c r="P418" s="22"/>
      <c r="Q418" s="23"/>
      <c r="R418" s="107"/>
      <c r="S418" s="107"/>
      <c r="T418" s="107"/>
      <c r="U418" s="107"/>
      <c r="V418" s="107"/>
    </row>
    <row r="419" spans="4:22" s="12" customFormat="1" x14ac:dyDescent="0.2">
      <c r="D419" s="107"/>
      <c r="E419" s="35"/>
      <c r="F419" s="36"/>
      <c r="G419" s="37"/>
      <c r="H419" s="38"/>
      <c r="I419" s="39"/>
      <c r="J419" s="39"/>
      <c r="K419" s="35"/>
      <c r="L419" s="107"/>
      <c r="M419" s="40"/>
      <c r="O419" s="107"/>
      <c r="P419" s="22"/>
      <c r="Q419" s="23"/>
      <c r="R419" s="107"/>
      <c r="S419" s="107"/>
      <c r="T419" s="107"/>
      <c r="U419" s="107"/>
      <c r="V419" s="107"/>
    </row>
    <row r="420" spans="4:22" s="12" customFormat="1" x14ac:dyDescent="0.2">
      <c r="D420" s="107"/>
      <c r="E420" s="35"/>
      <c r="F420" s="36"/>
      <c r="G420" s="37"/>
      <c r="H420" s="38"/>
      <c r="I420" s="39"/>
      <c r="J420" s="39"/>
      <c r="K420" s="35"/>
      <c r="L420" s="107"/>
      <c r="M420" s="40"/>
      <c r="O420" s="107"/>
      <c r="P420" s="22"/>
      <c r="Q420" s="23"/>
      <c r="R420" s="107"/>
      <c r="S420" s="107"/>
      <c r="T420" s="107"/>
      <c r="U420" s="107"/>
      <c r="V420" s="107"/>
    </row>
    <row r="421" spans="4:22" s="12" customFormat="1" x14ac:dyDescent="0.2">
      <c r="D421" s="107"/>
      <c r="E421" s="35"/>
      <c r="F421" s="36"/>
      <c r="G421" s="37"/>
      <c r="H421" s="38"/>
      <c r="I421" s="39"/>
      <c r="J421" s="39"/>
      <c r="K421" s="35"/>
      <c r="L421" s="107"/>
      <c r="M421" s="40"/>
      <c r="O421" s="107"/>
      <c r="P421" s="22"/>
      <c r="Q421" s="23"/>
      <c r="R421" s="107"/>
      <c r="S421" s="107"/>
      <c r="T421" s="107"/>
      <c r="U421" s="107"/>
      <c r="V421" s="107"/>
    </row>
    <row r="422" spans="4:22" s="12" customFormat="1" x14ac:dyDescent="0.2">
      <c r="D422" s="107"/>
      <c r="E422" s="35"/>
      <c r="F422" s="36"/>
      <c r="G422" s="37"/>
      <c r="H422" s="38"/>
      <c r="I422" s="39"/>
      <c r="J422" s="39"/>
      <c r="K422" s="35"/>
      <c r="L422" s="107"/>
      <c r="M422" s="40"/>
      <c r="O422" s="107"/>
      <c r="P422" s="22"/>
      <c r="Q422" s="23"/>
      <c r="R422" s="107"/>
      <c r="S422" s="107"/>
      <c r="T422" s="107"/>
      <c r="U422" s="107"/>
      <c r="V422" s="107"/>
    </row>
    <row r="423" spans="4:22" s="12" customFormat="1" x14ac:dyDescent="0.2">
      <c r="D423" s="107"/>
      <c r="E423" s="35"/>
      <c r="F423" s="36"/>
      <c r="G423" s="37"/>
      <c r="H423" s="38"/>
      <c r="I423" s="39"/>
      <c r="J423" s="39"/>
      <c r="K423" s="35"/>
      <c r="L423" s="107"/>
      <c r="M423" s="40"/>
      <c r="O423" s="107"/>
      <c r="P423" s="22"/>
      <c r="Q423" s="23"/>
      <c r="R423" s="107"/>
      <c r="S423" s="107"/>
      <c r="T423" s="107"/>
      <c r="U423" s="107"/>
      <c r="V423" s="107"/>
    </row>
    <row r="424" spans="4:22" s="12" customFormat="1" x14ac:dyDescent="0.2">
      <c r="D424" s="107"/>
      <c r="E424" s="35"/>
      <c r="F424" s="36"/>
      <c r="G424" s="37"/>
      <c r="H424" s="38"/>
      <c r="I424" s="39"/>
      <c r="J424" s="39"/>
      <c r="K424" s="35"/>
      <c r="L424" s="107"/>
      <c r="M424" s="40"/>
      <c r="O424" s="107"/>
      <c r="P424" s="22"/>
      <c r="Q424" s="23"/>
      <c r="R424" s="107"/>
      <c r="S424" s="107"/>
      <c r="T424" s="107"/>
      <c r="U424" s="107"/>
      <c r="V424" s="107"/>
    </row>
    <row r="425" spans="4:22" s="12" customFormat="1" x14ac:dyDescent="0.2">
      <c r="D425" s="107"/>
      <c r="E425" s="35"/>
      <c r="F425" s="36"/>
      <c r="G425" s="37"/>
      <c r="H425" s="38"/>
      <c r="I425" s="39"/>
      <c r="J425" s="39"/>
      <c r="K425" s="35"/>
      <c r="L425" s="107"/>
      <c r="M425" s="40"/>
      <c r="O425" s="107"/>
      <c r="P425" s="22"/>
      <c r="Q425" s="23"/>
      <c r="R425" s="107"/>
      <c r="S425" s="107"/>
      <c r="T425" s="107"/>
      <c r="U425" s="107"/>
      <c r="V425" s="107"/>
    </row>
    <row r="426" spans="4:22" s="12" customFormat="1" x14ac:dyDescent="0.2">
      <c r="D426" s="107"/>
      <c r="E426" s="35"/>
      <c r="F426" s="36"/>
      <c r="G426" s="37"/>
      <c r="H426" s="38"/>
      <c r="I426" s="39"/>
      <c r="J426" s="39"/>
      <c r="K426" s="35"/>
      <c r="L426" s="107"/>
      <c r="M426" s="40"/>
      <c r="O426" s="107"/>
      <c r="P426" s="22"/>
      <c r="Q426" s="23"/>
      <c r="R426" s="107"/>
      <c r="S426" s="107"/>
      <c r="T426" s="107"/>
      <c r="U426" s="107"/>
      <c r="V426" s="107"/>
    </row>
    <row r="427" spans="4:22" s="12" customFormat="1" x14ac:dyDescent="0.2">
      <c r="D427" s="107"/>
      <c r="E427" s="35"/>
      <c r="F427" s="36"/>
      <c r="G427" s="37"/>
      <c r="H427" s="38"/>
      <c r="I427" s="39"/>
      <c r="J427" s="39"/>
      <c r="K427" s="35"/>
      <c r="L427" s="107"/>
      <c r="M427" s="40"/>
      <c r="O427" s="107"/>
      <c r="P427" s="22"/>
      <c r="Q427" s="23"/>
      <c r="R427" s="107"/>
      <c r="S427" s="107"/>
      <c r="T427" s="107"/>
      <c r="U427" s="107"/>
      <c r="V427" s="107"/>
    </row>
    <row r="428" spans="4:22" s="12" customFormat="1" x14ac:dyDescent="0.2">
      <c r="D428" s="107"/>
      <c r="E428" s="35"/>
      <c r="F428" s="36"/>
      <c r="G428" s="37"/>
      <c r="H428" s="38"/>
      <c r="I428" s="39"/>
      <c r="J428" s="39"/>
      <c r="K428" s="35"/>
      <c r="L428" s="107"/>
      <c r="M428" s="40"/>
      <c r="O428" s="107"/>
      <c r="P428" s="22"/>
      <c r="Q428" s="23"/>
      <c r="R428" s="107"/>
      <c r="S428" s="107"/>
      <c r="T428" s="107"/>
      <c r="U428" s="107"/>
      <c r="V428" s="107"/>
    </row>
    <row r="429" spans="4:22" s="12" customFormat="1" x14ac:dyDescent="0.2">
      <c r="D429" s="107"/>
      <c r="E429" s="35"/>
      <c r="F429" s="36"/>
      <c r="G429" s="37"/>
      <c r="H429" s="38"/>
      <c r="I429" s="39"/>
      <c r="J429" s="39"/>
      <c r="K429" s="35"/>
      <c r="L429" s="107"/>
      <c r="M429" s="40"/>
      <c r="O429" s="107"/>
      <c r="P429" s="22"/>
      <c r="Q429" s="23"/>
      <c r="R429" s="107"/>
      <c r="S429" s="107"/>
      <c r="T429" s="107"/>
      <c r="U429" s="107"/>
      <c r="V429" s="107"/>
    </row>
    <row r="430" spans="4:22" s="12" customFormat="1" x14ac:dyDescent="0.2">
      <c r="D430" s="107"/>
      <c r="E430" s="35"/>
      <c r="F430" s="36"/>
      <c r="G430" s="37"/>
      <c r="H430" s="38"/>
      <c r="I430" s="39"/>
      <c r="J430" s="39"/>
      <c r="K430" s="35"/>
      <c r="L430" s="107"/>
      <c r="M430" s="40"/>
      <c r="O430" s="107"/>
      <c r="P430" s="22"/>
      <c r="Q430" s="23"/>
      <c r="R430" s="107"/>
      <c r="S430" s="107"/>
      <c r="T430" s="107"/>
      <c r="U430" s="107"/>
      <c r="V430" s="107"/>
    </row>
    <row r="431" spans="4:22" s="12" customFormat="1" x14ac:dyDescent="0.2">
      <c r="D431" s="107"/>
      <c r="E431" s="35"/>
      <c r="F431" s="36"/>
      <c r="G431" s="37"/>
      <c r="H431" s="38"/>
      <c r="I431" s="39"/>
      <c r="J431" s="39"/>
      <c r="K431" s="35"/>
      <c r="L431" s="107"/>
      <c r="M431" s="40"/>
      <c r="O431" s="107"/>
      <c r="P431" s="22"/>
      <c r="Q431" s="23"/>
      <c r="R431" s="107"/>
      <c r="S431" s="107"/>
      <c r="T431" s="107"/>
      <c r="U431" s="107"/>
      <c r="V431" s="107"/>
    </row>
    <row r="432" spans="4:22" s="12" customFormat="1" x14ac:dyDescent="0.2">
      <c r="D432" s="107"/>
      <c r="E432" s="35"/>
      <c r="F432" s="36"/>
      <c r="G432" s="37"/>
      <c r="H432" s="38"/>
      <c r="I432" s="39"/>
      <c r="J432" s="39"/>
      <c r="K432" s="35"/>
      <c r="L432" s="107"/>
      <c r="M432" s="40"/>
      <c r="O432" s="107"/>
      <c r="P432" s="22"/>
      <c r="Q432" s="23"/>
      <c r="R432" s="107"/>
      <c r="S432" s="107"/>
      <c r="T432" s="107"/>
      <c r="U432" s="107"/>
      <c r="V432" s="107"/>
    </row>
    <row r="433" spans="4:22" s="12" customFormat="1" x14ac:dyDescent="0.2">
      <c r="D433" s="107"/>
      <c r="E433" s="35"/>
      <c r="F433" s="36"/>
      <c r="G433" s="37"/>
      <c r="H433" s="38"/>
      <c r="I433" s="39"/>
      <c r="J433" s="39"/>
      <c r="K433" s="35"/>
      <c r="L433" s="107"/>
      <c r="M433" s="40"/>
      <c r="O433" s="107"/>
      <c r="P433" s="22"/>
      <c r="Q433" s="23"/>
      <c r="R433" s="107"/>
      <c r="S433" s="107"/>
      <c r="T433" s="107"/>
      <c r="U433" s="107"/>
      <c r="V433" s="107"/>
    </row>
    <row r="434" spans="4:22" s="12" customFormat="1" x14ac:dyDescent="0.2">
      <c r="D434" s="107"/>
      <c r="E434" s="35"/>
      <c r="F434" s="36"/>
      <c r="G434" s="37"/>
      <c r="H434" s="38"/>
      <c r="I434" s="39"/>
      <c r="J434" s="39"/>
      <c r="K434" s="35"/>
      <c r="L434" s="107"/>
      <c r="M434" s="40"/>
      <c r="O434" s="107"/>
      <c r="P434" s="22"/>
      <c r="Q434" s="23"/>
      <c r="R434" s="107"/>
      <c r="S434" s="107"/>
      <c r="T434" s="107"/>
      <c r="U434" s="107"/>
      <c r="V434" s="107"/>
    </row>
    <row r="435" spans="4:22" s="12" customFormat="1" x14ac:dyDescent="0.2">
      <c r="D435" s="107"/>
      <c r="E435" s="35"/>
      <c r="F435" s="36"/>
      <c r="G435" s="37"/>
      <c r="H435" s="38"/>
      <c r="I435" s="39"/>
      <c r="J435" s="39"/>
      <c r="K435" s="35"/>
      <c r="L435" s="107"/>
      <c r="M435" s="40"/>
      <c r="O435" s="107"/>
      <c r="P435" s="22"/>
      <c r="Q435" s="23"/>
      <c r="R435" s="107"/>
      <c r="S435" s="107"/>
      <c r="T435" s="107"/>
      <c r="U435" s="107"/>
      <c r="V435" s="107"/>
    </row>
    <row r="436" spans="4:22" s="12" customFormat="1" x14ac:dyDescent="0.2">
      <c r="D436" s="107"/>
      <c r="E436" s="35"/>
      <c r="F436" s="36"/>
      <c r="G436" s="37"/>
      <c r="H436" s="38"/>
      <c r="I436" s="39"/>
      <c r="J436" s="39"/>
      <c r="K436" s="35"/>
      <c r="L436" s="107"/>
      <c r="M436" s="40"/>
      <c r="O436" s="107"/>
      <c r="P436" s="22"/>
      <c r="Q436" s="23"/>
      <c r="R436" s="107"/>
      <c r="S436" s="107"/>
      <c r="T436" s="107"/>
      <c r="U436" s="107"/>
      <c r="V436" s="107"/>
    </row>
    <row r="437" spans="4:22" s="12" customFormat="1" x14ac:dyDescent="0.2">
      <c r="D437" s="107"/>
      <c r="E437" s="35"/>
      <c r="F437" s="36"/>
      <c r="G437" s="37"/>
      <c r="H437" s="38"/>
      <c r="I437" s="39"/>
      <c r="J437" s="39"/>
      <c r="K437" s="35"/>
      <c r="L437" s="107"/>
      <c r="M437" s="40"/>
      <c r="O437" s="107"/>
      <c r="P437" s="22"/>
      <c r="Q437" s="23"/>
      <c r="R437" s="107"/>
      <c r="S437" s="107"/>
      <c r="T437" s="107"/>
      <c r="U437" s="107"/>
      <c r="V437" s="107"/>
    </row>
    <row r="438" spans="4:22" s="12" customFormat="1" x14ac:dyDescent="0.2">
      <c r="D438" s="107"/>
      <c r="E438" s="35"/>
      <c r="F438" s="36"/>
      <c r="G438" s="37"/>
      <c r="H438" s="38"/>
      <c r="I438" s="39"/>
      <c r="J438" s="39"/>
      <c r="K438" s="35"/>
      <c r="L438" s="107"/>
      <c r="M438" s="40"/>
      <c r="O438" s="107"/>
      <c r="P438" s="22"/>
      <c r="Q438" s="23"/>
      <c r="R438" s="107"/>
      <c r="S438" s="107"/>
      <c r="T438" s="107"/>
      <c r="U438" s="107"/>
      <c r="V438" s="107"/>
    </row>
    <row r="439" spans="4:22" s="12" customFormat="1" x14ac:dyDescent="0.2">
      <c r="D439" s="107"/>
      <c r="E439" s="35"/>
      <c r="F439" s="36"/>
      <c r="G439" s="37"/>
      <c r="H439" s="38"/>
      <c r="I439" s="39"/>
      <c r="J439" s="39"/>
      <c r="K439" s="35"/>
      <c r="L439" s="107"/>
      <c r="M439" s="40"/>
      <c r="O439" s="107"/>
      <c r="P439" s="22"/>
      <c r="Q439" s="23"/>
      <c r="R439" s="107"/>
      <c r="S439" s="107"/>
      <c r="T439" s="107"/>
      <c r="U439" s="107"/>
      <c r="V439" s="107"/>
    </row>
    <row r="440" spans="4:22" s="12" customFormat="1" x14ac:dyDescent="0.2">
      <c r="D440" s="107"/>
      <c r="E440" s="35"/>
      <c r="F440" s="36"/>
      <c r="G440" s="37"/>
      <c r="H440" s="38"/>
      <c r="I440" s="39"/>
      <c r="J440" s="39"/>
      <c r="K440" s="35"/>
      <c r="L440" s="107"/>
      <c r="M440" s="40"/>
      <c r="O440" s="107"/>
      <c r="P440" s="22"/>
      <c r="Q440" s="23"/>
      <c r="R440" s="107"/>
      <c r="S440" s="107"/>
      <c r="T440" s="107"/>
      <c r="U440" s="107"/>
      <c r="V440" s="107"/>
    </row>
    <row r="441" spans="4:22" s="12" customFormat="1" x14ac:dyDescent="0.2">
      <c r="D441" s="107"/>
      <c r="E441" s="35"/>
      <c r="F441" s="36"/>
      <c r="G441" s="37"/>
      <c r="H441" s="38"/>
      <c r="I441" s="39"/>
      <c r="J441" s="39"/>
      <c r="K441" s="35"/>
      <c r="L441" s="107"/>
      <c r="M441" s="40"/>
      <c r="O441" s="107"/>
      <c r="P441" s="22"/>
      <c r="Q441" s="23"/>
      <c r="R441" s="107"/>
      <c r="S441" s="107"/>
      <c r="T441" s="107"/>
      <c r="U441" s="107"/>
      <c r="V441" s="107"/>
    </row>
    <row r="442" spans="4:22" s="12" customFormat="1" x14ac:dyDescent="0.2">
      <c r="D442" s="107"/>
      <c r="E442" s="35"/>
      <c r="F442" s="36"/>
      <c r="G442" s="37"/>
      <c r="H442" s="38"/>
      <c r="I442" s="39"/>
      <c r="J442" s="39"/>
      <c r="K442" s="35"/>
      <c r="L442" s="107"/>
      <c r="M442" s="40"/>
      <c r="O442" s="107"/>
      <c r="P442" s="22"/>
      <c r="Q442" s="23"/>
      <c r="R442" s="107"/>
      <c r="S442" s="107"/>
      <c r="T442" s="107"/>
      <c r="U442" s="107"/>
      <c r="V442" s="107"/>
    </row>
    <row r="443" spans="4:22" s="12" customFormat="1" x14ac:dyDescent="0.2">
      <c r="D443" s="107"/>
      <c r="E443" s="35"/>
      <c r="F443" s="36"/>
      <c r="G443" s="37"/>
      <c r="H443" s="38"/>
      <c r="I443" s="39"/>
      <c r="J443" s="39"/>
      <c r="K443" s="35"/>
      <c r="L443" s="107"/>
      <c r="M443" s="40"/>
      <c r="O443" s="107"/>
      <c r="P443" s="22"/>
      <c r="Q443" s="23"/>
      <c r="R443" s="107"/>
      <c r="S443" s="107"/>
      <c r="T443" s="107"/>
      <c r="U443" s="107"/>
      <c r="V443" s="107"/>
    </row>
    <row r="444" spans="4:22" s="12" customFormat="1" x14ac:dyDescent="0.2">
      <c r="D444" s="107"/>
      <c r="E444" s="35"/>
      <c r="F444" s="36"/>
      <c r="G444" s="37"/>
      <c r="H444" s="38"/>
      <c r="I444" s="39"/>
      <c r="J444" s="39"/>
      <c r="K444" s="35"/>
      <c r="L444" s="107"/>
      <c r="M444" s="40"/>
      <c r="O444" s="107"/>
      <c r="P444" s="22"/>
      <c r="Q444" s="23"/>
      <c r="R444" s="107"/>
      <c r="S444" s="107"/>
      <c r="T444" s="107"/>
      <c r="U444" s="107"/>
      <c r="V444" s="107"/>
    </row>
    <row r="445" spans="4:22" s="12" customFormat="1" x14ac:dyDescent="0.2">
      <c r="D445" s="107"/>
      <c r="E445" s="35"/>
      <c r="F445" s="36"/>
      <c r="G445" s="37"/>
      <c r="H445" s="38"/>
      <c r="I445" s="39"/>
      <c r="J445" s="39"/>
      <c r="K445" s="35"/>
      <c r="L445" s="107"/>
      <c r="M445" s="40"/>
      <c r="O445" s="107"/>
      <c r="P445" s="22"/>
      <c r="Q445" s="23"/>
      <c r="R445" s="107"/>
      <c r="S445" s="107"/>
      <c r="T445" s="107"/>
      <c r="U445" s="107"/>
      <c r="V445" s="107"/>
    </row>
    <row r="446" spans="4:22" s="12" customFormat="1" x14ac:dyDescent="0.2">
      <c r="D446" s="107"/>
      <c r="E446" s="35"/>
      <c r="F446" s="36"/>
      <c r="G446" s="37"/>
      <c r="H446" s="38"/>
      <c r="I446" s="39"/>
      <c r="J446" s="39"/>
      <c r="K446" s="35"/>
      <c r="L446" s="107"/>
      <c r="M446" s="40"/>
      <c r="O446" s="107"/>
      <c r="P446" s="22"/>
      <c r="Q446" s="23"/>
      <c r="R446" s="107"/>
      <c r="S446" s="107"/>
      <c r="T446" s="107"/>
      <c r="U446" s="107"/>
      <c r="V446" s="107"/>
    </row>
    <row r="447" spans="4:22" s="12" customFormat="1" x14ac:dyDescent="0.2">
      <c r="D447" s="107"/>
      <c r="E447" s="35"/>
      <c r="F447" s="36"/>
      <c r="G447" s="37"/>
      <c r="H447" s="38"/>
      <c r="I447" s="39"/>
      <c r="J447" s="39"/>
      <c r="K447" s="35"/>
      <c r="L447" s="107"/>
      <c r="M447" s="40"/>
      <c r="O447" s="107"/>
      <c r="P447" s="22"/>
      <c r="Q447" s="23"/>
      <c r="R447" s="107"/>
      <c r="S447" s="107"/>
      <c r="T447" s="107"/>
      <c r="U447" s="107"/>
      <c r="V447" s="107"/>
    </row>
    <row r="448" spans="4:22" s="12" customFormat="1" x14ac:dyDescent="0.2">
      <c r="D448" s="107"/>
      <c r="E448" s="35"/>
      <c r="F448" s="36"/>
      <c r="G448" s="37"/>
      <c r="H448" s="38"/>
      <c r="I448" s="39"/>
      <c r="J448" s="39"/>
      <c r="K448" s="35"/>
      <c r="L448" s="107"/>
      <c r="M448" s="40"/>
      <c r="O448" s="107"/>
      <c r="P448" s="22"/>
      <c r="Q448" s="23"/>
      <c r="R448" s="107"/>
      <c r="S448" s="107"/>
      <c r="T448" s="107"/>
      <c r="U448" s="107"/>
      <c r="V448" s="107"/>
    </row>
    <row r="449" spans="4:22" s="12" customFormat="1" x14ac:dyDescent="0.2">
      <c r="D449" s="107"/>
      <c r="E449" s="35"/>
      <c r="F449" s="36"/>
      <c r="G449" s="37"/>
      <c r="H449" s="38"/>
      <c r="I449" s="39"/>
      <c r="J449" s="39"/>
      <c r="K449" s="35"/>
      <c r="L449" s="107"/>
      <c r="M449" s="40"/>
      <c r="O449" s="107"/>
      <c r="P449" s="22"/>
      <c r="Q449" s="23"/>
      <c r="R449" s="107"/>
      <c r="S449" s="107"/>
      <c r="T449" s="107"/>
      <c r="U449" s="107"/>
      <c r="V449" s="107"/>
    </row>
    <row r="450" spans="4:22" s="12" customFormat="1" x14ac:dyDescent="0.2">
      <c r="D450" s="107"/>
      <c r="E450" s="35"/>
      <c r="F450" s="36"/>
      <c r="G450" s="37"/>
      <c r="H450" s="38"/>
      <c r="I450" s="39"/>
      <c r="J450" s="39"/>
      <c r="K450" s="35"/>
      <c r="L450" s="107"/>
      <c r="M450" s="40"/>
      <c r="O450" s="107"/>
      <c r="P450" s="22"/>
      <c r="Q450" s="23"/>
      <c r="R450" s="107"/>
      <c r="S450" s="107"/>
      <c r="T450" s="107"/>
      <c r="U450" s="107"/>
      <c r="V450" s="107"/>
    </row>
    <row r="451" spans="4:22" s="12" customFormat="1" x14ac:dyDescent="0.2">
      <c r="D451" s="107"/>
      <c r="E451" s="35"/>
      <c r="F451" s="36"/>
      <c r="G451" s="37"/>
      <c r="H451" s="38"/>
      <c r="I451" s="39"/>
      <c r="J451" s="39"/>
      <c r="K451" s="35"/>
      <c r="L451" s="107"/>
      <c r="M451" s="40"/>
      <c r="O451" s="107"/>
      <c r="P451" s="22"/>
      <c r="Q451" s="23"/>
      <c r="R451" s="107"/>
      <c r="S451" s="107"/>
      <c r="T451" s="107"/>
      <c r="U451" s="107"/>
      <c r="V451" s="107"/>
    </row>
    <row r="452" spans="4:22" s="12" customFormat="1" x14ac:dyDescent="0.2">
      <c r="D452" s="107"/>
      <c r="E452" s="35"/>
      <c r="F452" s="36"/>
      <c r="G452" s="37"/>
      <c r="H452" s="38"/>
      <c r="I452" s="39"/>
      <c r="J452" s="39"/>
      <c r="K452" s="35"/>
      <c r="L452" s="107"/>
      <c r="M452" s="40"/>
      <c r="O452" s="107"/>
      <c r="P452" s="22"/>
      <c r="Q452" s="23"/>
      <c r="R452" s="107"/>
      <c r="S452" s="107"/>
      <c r="T452" s="107"/>
      <c r="U452" s="107"/>
      <c r="V452" s="107"/>
    </row>
    <row r="453" spans="4:22" s="12" customFormat="1" x14ac:dyDescent="0.2">
      <c r="D453" s="107"/>
      <c r="E453" s="35"/>
      <c r="F453" s="36"/>
      <c r="G453" s="37"/>
      <c r="H453" s="38"/>
      <c r="I453" s="39"/>
      <c r="J453" s="39"/>
      <c r="K453" s="35"/>
      <c r="L453" s="107"/>
      <c r="M453" s="40"/>
      <c r="O453" s="107"/>
      <c r="P453" s="22"/>
      <c r="Q453" s="23"/>
      <c r="R453" s="107"/>
      <c r="S453" s="107"/>
      <c r="T453" s="107"/>
      <c r="U453" s="107"/>
      <c r="V453" s="107"/>
    </row>
    <row r="454" spans="4:22" s="12" customFormat="1" x14ac:dyDescent="0.2">
      <c r="D454" s="107"/>
      <c r="E454" s="35"/>
      <c r="F454" s="36"/>
      <c r="G454" s="37"/>
      <c r="H454" s="38"/>
      <c r="I454" s="39"/>
      <c r="J454" s="39"/>
      <c r="K454" s="35"/>
      <c r="L454" s="107"/>
      <c r="M454" s="40"/>
      <c r="O454" s="107"/>
      <c r="P454" s="22"/>
      <c r="Q454" s="23"/>
      <c r="R454" s="107"/>
      <c r="S454" s="107"/>
      <c r="T454" s="107"/>
      <c r="U454" s="107"/>
      <c r="V454" s="107"/>
    </row>
    <row r="455" spans="4:22" s="12" customFormat="1" x14ac:dyDescent="0.2">
      <c r="D455" s="107"/>
      <c r="E455" s="35"/>
      <c r="F455" s="36"/>
      <c r="G455" s="37"/>
      <c r="H455" s="38"/>
      <c r="I455" s="39"/>
      <c r="J455" s="39"/>
      <c r="K455" s="35"/>
      <c r="L455" s="107"/>
      <c r="M455" s="40"/>
      <c r="O455" s="107"/>
      <c r="P455" s="22"/>
      <c r="Q455" s="23"/>
      <c r="R455" s="107"/>
      <c r="S455" s="107"/>
      <c r="T455" s="107"/>
      <c r="U455" s="107"/>
      <c r="V455" s="107"/>
    </row>
    <row r="456" spans="4:22" s="12" customFormat="1" x14ac:dyDescent="0.2">
      <c r="D456" s="107"/>
      <c r="E456" s="35"/>
      <c r="F456" s="36"/>
      <c r="G456" s="37"/>
      <c r="H456" s="38"/>
      <c r="I456" s="39"/>
      <c r="J456" s="39"/>
      <c r="K456" s="35"/>
      <c r="L456" s="107"/>
      <c r="M456" s="40"/>
      <c r="O456" s="107"/>
      <c r="P456" s="22"/>
      <c r="Q456" s="23"/>
      <c r="R456" s="107"/>
      <c r="S456" s="107"/>
      <c r="T456" s="107"/>
      <c r="U456" s="107"/>
      <c r="V456" s="107"/>
    </row>
    <row r="457" spans="4:22" s="12" customFormat="1" x14ac:dyDescent="0.2">
      <c r="D457" s="107"/>
      <c r="E457" s="35"/>
      <c r="F457" s="36"/>
      <c r="G457" s="37"/>
      <c r="H457" s="38"/>
      <c r="I457" s="39"/>
      <c r="J457" s="39"/>
      <c r="K457" s="35"/>
      <c r="L457" s="107"/>
      <c r="M457" s="40"/>
      <c r="O457" s="107"/>
      <c r="P457" s="22"/>
      <c r="Q457" s="23"/>
      <c r="R457" s="107"/>
      <c r="S457" s="107"/>
      <c r="T457" s="107"/>
      <c r="U457" s="107"/>
      <c r="V457" s="107"/>
    </row>
    <row r="458" spans="4:22" s="12" customFormat="1" x14ac:dyDescent="0.2">
      <c r="D458" s="107"/>
      <c r="E458" s="35"/>
      <c r="F458" s="36"/>
      <c r="G458" s="37"/>
      <c r="H458" s="38"/>
      <c r="I458" s="39"/>
      <c r="J458" s="39"/>
      <c r="K458" s="35"/>
      <c r="L458" s="107"/>
      <c r="M458" s="40"/>
      <c r="O458" s="107"/>
      <c r="P458" s="22"/>
      <c r="Q458" s="23"/>
      <c r="R458" s="107"/>
      <c r="S458" s="107"/>
      <c r="T458" s="107"/>
      <c r="U458" s="107"/>
      <c r="V458" s="107"/>
    </row>
    <row r="459" spans="4:22" s="12" customFormat="1" x14ac:dyDescent="0.2">
      <c r="D459" s="107"/>
      <c r="E459" s="35"/>
      <c r="F459" s="36"/>
      <c r="G459" s="37"/>
      <c r="H459" s="38"/>
      <c r="I459" s="39"/>
      <c r="J459" s="39"/>
      <c r="K459" s="35"/>
      <c r="L459" s="107"/>
      <c r="M459" s="40"/>
      <c r="O459" s="107"/>
      <c r="P459" s="22"/>
      <c r="Q459" s="23"/>
      <c r="R459" s="107"/>
      <c r="S459" s="107"/>
      <c r="T459" s="107"/>
      <c r="U459" s="107"/>
      <c r="V459" s="107"/>
    </row>
    <row r="460" spans="4:22" s="12" customFormat="1" x14ac:dyDescent="0.2">
      <c r="D460" s="107"/>
      <c r="E460" s="35"/>
      <c r="F460" s="36"/>
      <c r="G460" s="37"/>
      <c r="H460" s="38"/>
      <c r="I460" s="39"/>
      <c r="J460" s="39"/>
      <c r="K460" s="35"/>
      <c r="L460" s="107"/>
      <c r="M460" s="40"/>
      <c r="O460" s="107"/>
      <c r="P460" s="22"/>
      <c r="Q460" s="23"/>
      <c r="R460" s="107"/>
      <c r="S460" s="107"/>
      <c r="T460" s="107"/>
      <c r="U460" s="107"/>
      <c r="V460" s="107"/>
    </row>
    <row r="461" spans="4:22" s="12" customFormat="1" x14ac:dyDescent="0.2">
      <c r="D461" s="107"/>
      <c r="E461" s="35"/>
      <c r="F461" s="36"/>
      <c r="G461" s="37"/>
      <c r="H461" s="38"/>
      <c r="I461" s="39"/>
      <c r="J461" s="39"/>
      <c r="K461" s="35"/>
      <c r="L461" s="107"/>
      <c r="M461" s="40"/>
      <c r="O461" s="107"/>
      <c r="P461" s="22"/>
      <c r="Q461" s="23"/>
      <c r="R461" s="107"/>
      <c r="S461" s="107"/>
      <c r="T461" s="107"/>
      <c r="U461" s="107"/>
      <c r="V461" s="107"/>
    </row>
    <row r="462" spans="4:22" s="12" customFormat="1" x14ac:dyDescent="0.2">
      <c r="D462" s="107"/>
      <c r="E462" s="35"/>
      <c r="F462" s="36"/>
      <c r="G462" s="37"/>
      <c r="H462" s="38"/>
      <c r="I462" s="39"/>
      <c r="J462" s="39"/>
      <c r="K462" s="35"/>
      <c r="L462" s="107"/>
      <c r="M462" s="40"/>
      <c r="O462" s="107"/>
      <c r="P462" s="22"/>
      <c r="Q462" s="23"/>
      <c r="R462" s="107"/>
      <c r="S462" s="107"/>
      <c r="T462" s="107"/>
      <c r="U462" s="107"/>
      <c r="V462" s="107"/>
    </row>
    <row r="463" spans="4:22" s="12" customFormat="1" x14ac:dyDescent="0.2">
      <c r="D463" s="107"/>
      <c r="E463" s="35"/>
      <c r="F463" s="36"/>
      <c r="G463" s="37"/>
      <c r="H463" s="38"/>
      <c r="I463" s="39"/>
      <c r="J463" s="39"/>
      <c r="K463" s="35"/>
      <c r="L463" s="107"/>
      <c r="M463" s="40"/>
      <c r="O463" s="107"/>
      <c r="P463" s="22"/>
      <c r="Q463" s="23"/>
      <c r="R463" s="107"/>
      <c r="S463" s="107"/>
      <c r="T463" s="107"/>
      <c r="U463" s="107"/>
      <c r="V463" s="107"/>
    </row>
    <row r="464" spans="4:22" s="12" customFormat="1" x14ac:dyDescent="0.2">
      <c r="D464" s="107"/>
      <c r="E464" s="35"/>
      <c r="F464" s="36"/>
      <c r="G464" s="37"/>
      <c r="H464" s="38"/>
      <c r="I464" s="39"/>
      <c r="J464" s="39"/>
      <c r="K464" s="35"/>
      <c r="L464" s="107"/>
      <c r="M464" s="40"/>
      <c r="O464" s="107"/>
      <c r="P464" s="22"/>
      <c r="Q464" s="23"/>
      <c r="R464" s="107"/>
      <c r="S464" s="107"/>
      <c r="T464" s="107"/>
      <c r="U464" s="107"/>
      <c r="V464" s="107"/>
    </row>
    <row r="465" spans="4:22" s="12" customFormat="1" x14ac:dyDescent="0.2">
      <c r="D465" s="107"/>
      <c r="E465" s="35"/>
      <c r="F465" s="36"/>
      <c r="G465" s="37"/>
      <c r="H465" s="38"/>
      <c r="I465" s="39"/>
      <c r="J465" s="39"/>
      <c r="K465" s="35"/>
      <c r="L465" s="107"/>
      <c r="M465" s="40"/>
      <c r="O465" s="107"/>
      <c r="P465" s="22"/>
      <c r="Q465" s="23"/>
      <c r="R465" s="107"/>
      <c r="S465" s="107"/>
      <c r="T465" s="107"/>
      <c r="U465" s="107"/>
      <c r="V465" s="107"/>
    </row>
    <row r="466" spans="4:22" s="12" customFormat="1" x14ac:dyDescent="0.2">
      <c r="D466" s="107"/>
      <c r="E466" s="35"/>
      <c r="F466" s="36"/>
      <c r="G466" s="37"/>
      <c r="H466" s="38"/>
      <c r="I466" s="39"/>
      <c r="J466" s="39"/>
      <c r="K466" s="35"/>
      <c r="L466" s="107"/>
      <c r="M466" s="40"/>
      <c r="O466" s="107"/>
      <c r="P466" s="22"/>
      <c r="Q466" s="23"/>
      <c r="R466" s="107"/>
      <c r="S466" s="107"/>
      <c r="T466" s="107"/>
      <c r="U466" s="107"/>
      <c r="V466" s="107"/>
    </row>
    <row r="467" spans="4:22" s="12" customFormat="1" x14ac:dyDescent="0.2">
      <c r="D467" s="107"/>
      <c r="E467" s="35"/>
      <c r="F467" s="36"/>
      <c r="G467" s="37"/>
      <c r="H467" s="38"/>
      <c r="I467" s="39"/>
      <c r="J467" s="39"/>
      <c r="K467" s="35"/>
      <c r="L467" s="107"/>
      <c r="M467" s="40"/>
      <c r="O467" s="107"/>
      <c r="P467" s="22"/>
      <c r="Q467" s="23"/>
      <c r="R467" s="107"/>
      <c r="S467" s="107"/>
      <c r="T467" s="107"/>
      <c r="U467" s="107"/>
      <c r="V467" s="107"/>
    </row>
    <row r="468" spans="4:22" s="12" customFormat="1" x14ac:dyDescent="0.2">
      <c r="D468" s="107"/>
      <c r="E468" s="35"/>
      <c r="F468" s="36"/>
      <c r="G468" s="37"/>
      <c r="H468" s="38"/>
      <c r="I468" s="39"/>
      <c r="J468" s="39"/>
      <c r="K468" s="35"/>
      <c r="L468" s="107"/>
      <c r="M468" s="40"/>
      <c r="O468" s="107"/>
      <c r="P468" s="22"/>
      <c r="Q468" s="23"/>
      <c r="R468" s="107"/>
      <c r="S468" s="107"/>
      <c r="T468" s="107"/>
      <c r="U468" s="107"/>
      <c r="V468" s="107"/>
    </row>
    <row r="469" spans="4:22" s="12" customFormat="1" x14ac:dyDescent="0.2">
      <c r="D469" s="107"/>
      <c r="E469" s="35"/>
      <c r="F469" s="36"/>
      <c r="G469" s="37"/>
      <c r="H469" s="38"/>
      <c r="I469" s="39"/>
      <c r="J469" s="39"/>
      <c r="K469" s="35"/>
      <c r="L469" s="107"/>
      <c r="M469" s="40"/>
      <c r="O469" s="107"/>
      <c r="P469" s="22"/>
      <c r="Q469" s="23"/>
      <c r="R469" s="107"/>
      <c r="S469" s="107"/>
      <c r="T469" s="107"/>
      <c r="U469" s="107"/>
      <c r="V469" s="107"/>
    </row>
    <row r="470" spans="4:22" s="12" customFormat="1" x14ac:dyDescent="0.2">
      <c r="D470" s="107"/>
      <c r="E470" s="35"/>
      <c r="F470" s="36"/>
      <c r="G470" s="37"/>
      <c r="H470" s="38"/>
      <c r="I470" s="39"/>
      <c r="J470" s="39"/>
      <c r="K470" s="35"/>
      <c r="L470" s="107"/>
      <c r="M470" s="40"/>
      <c r="O470" s="107"/>
      <c r="P470" s="22"/>
      <c r="Q470" s="23"/>
      <c r="R470" s="107"/>
      <c r="S470" s="107"/>
      <c r="T470" s="107"/>
      <c r="U470" s="107"/>
      <c r="V470" s="107"/>
    </row>
    <row r="471" spans="4:22" s="12" customFormat="1" x14ac:dyDescent="0.2">
      <c r="D471" s="107"/>
      <c r="E471" s="35"/>
      <c r="F471" s="36"/>
      <c r="G471" s="37"/>
      <c r="H471" s="38"/>
      <c r="I471" s="39"/>
      <c r="J471" s="39"/>
      <c r="K471" s="35"/>
      <c r="L471" s="107"/>
      <c r="M471" s="40"/>
      <c r="O471" s="107"/>
      <c r="P471" s="22"/>
      <c r="Q471" s="23"/>
      <c r="R471" s="107"/>
      <c r="S471" s="107"/>
      <c r="T471" s="107"/>
      <c r="U471" s="107"/>
      <c r="V471" s="107"/>
    </row>
    <row r="472" spans="4:22" s="12" customFormat="1" x14ac:dyDescent="0.2">
      <c r="D472" s="107"/>
      <c r="E472" s="35"/>
      <c r="F472" s="36"/>
      <c r="G472" s="37"/>
      <c r="H472" s="38"/>
      <c r="I472" s="39"/>
      <c r="J472" s="39"/>
      <c r="K472" s="35"/>
      <c r="L472" s="107"/>
      <c r="M472" s="40"/>
      <c r="O472" s="107"/>
      <c r="P472" s="22"/>
      <c r="Q472" s="23"/>
      <c r="R472" s="107"/>
      <c r="S472" s="107"/>
      <c r="T472" s="107"/>
      <c r="U472" s="107"/>
      <c r="V472" s="107"/>
    </row>
    <row r="473" spans="4:22" s="12" customFormat="1" x14ac:dyDescent="0.2">
      <c r="D473" s="107"/>
      <c r="E473" s="35"/>
      <c r="F473" s="36"/>
      <c r="G473" s="37"/>
      <c r="H473" s="38"/>
      <c r="I473" s="39"/>
      <c r="J473" s="39"/>
      <c r="K473" s="35"/>
      <c r="L473" s="107"/>
      <c r="M473" s="40"/>
      <c r="O473" s="107"/>
      <c r="P473" s="22"/>
      <c r="Q473" s="23"/>
      <c r="R473" s="107"/>
      <c r="S473" s="107"/>
      <c r="T473" s="107"/>
      <c r="U473" s="107"/>
      <c r="V473" s="107"/>
    </row>
    <row r="474" spans="4:22" s="12" customFormat="1" x14ac:dyDescent="0.2">
      <c r="D474" s="107"/>
      <c r="E474" s="35"/>
      <c r="F474" s="36"/>
      <c r="G474" s="37"/>
      <c r="H474" s="38"/>
      <c r="I474" s="39"/>
      <c r="J474" s="39"/>
      <c r="K474" s="35"/>
      <c r="L474" s="107"/>
      <c r="M474" s="40"/>
      <c r="O474" s="107"/>
      <c r="P474" s="22"/>
      <c r="Q474" s="23"/>
      <c r="R474" s="107"/>
      <c r="S474" s="107"/>
      <c r="T474" s="107"/>
      <c r="U474" s="107"/>
      <c r="V474" s="107"/>
    </row>
    <row r="475" spans="4:22" s="12" customFormat="1" x14ac:dyDescent="0.2">
      <c r="D475" s="107"/>
      <c r="E475" s="35"/>
      <c r="F475" s="36"/>
      <c r="G475" s="37"/>
      <c r="H475" s="38"/>
      <c r="I475" s="39"/>
      <c r="J475" s="39"/>
      <c r="K475" s="35"/>
      <c r="L475" s="107"/>
      <c r="M475" s="40"/>
      <c r="O475" s="107"/>
      <c r="P475" s="22"/>
      <c r="Q475" s="23"/>
      <c r="R475" s="107"/>
      <c r="S475" s="107"/>
      <c r="T475" s="107"/>
      <c r="U475" s="107"/>
      <c r="V475" s="107"/>
    </row>
    <row r="476" spans="4:22" s="12" customFormat="1" x14ac:dyDescent="0.2">
      <c r="D476" s="107"/>
      <c r="E476" s="35"/>
      <c r="F476" s="36"/>
      <c r="G476" s="37"/>
      <c r="H476" s="38"/>
      <c r="I476" s="39"/>
      <c r="J476" s="39"/>
      <c r="K476" s="35"/>
      <c r="L476" s="107"/>
      <c r="M476" s="40"/>
      <c r="O476" s="107"/>
      <c r="P476" s="22"/>
      <c r="Q476" s="23"/>
      <c r="R476" s="107"/>
      <c r="S476" s="107"/>
      <c r="T476" s="107"/>
      <c r="U476" s="107"/>
      <c r="V476" s="107"/>
    </row>
    <row r="477" spans="4:22" s="12" customFormat="1" x14ac:dyDescent="0.2">
      <c r="D477" s="107"/>
      <c r="E477" s="35"/>
      <c r="F477" s="36"/>
      <c r="G477" s="37"/>
      <c r="H477" s="38"/>
      <c r="I477" s="39"/>
      <c r="J477" s="39"/>
      <c r="K477" s="35"/>
      <c r="L477" s="107"/>
      <c r="M477" s="40"/>
      <c r="O477" s="107"/>
      <c r="P477" s="22"/>
      <c r="Q477" s="23"/>
      <c r="R477" s="107"/>
      <c r="S477" s="107"/>
      <c r="T477" s="107"/>
      <c r="U477" s="107"/>
      <c r="V477" s="107"/>
    </row>
    <row r="478" spans="4:22" s="12" customFormat="1" x14ac:dyDescent="0.2">
      <c r="D478" s="107"/>
      <c r="E478" s="35"/>
      <c r="F478" s="36"/>
      <c r="G478" s="37"/>
      <c r="H478" s="38"/>
      <c r="I478" s="39"/>
      <c r="J478" s="39"/>
      <c r="K478" s="35"/>
      <c r="L478" s="107"/>
      <c r="M478" s="40"/>
      <c r="O478" s="107"/>
      <c r="P478" s="22"/>
      <c r="Q478" s="23"/>
      <c r="R478" s="107"/>
      <c r="S478" s="107"/>
      <c r="T478" s="107"/>
      <c r="U478" s="107"/>
      <c r="V478" s="107"/>
    </row>
    <row r="479" spans="4:22" s="12" customFormat="1" x14ac:dyDescent="0.2">
      <c r="D479" s="107"/>
      <c r="E479" s="35"/>
      <c r="F479" s="36"/>
      <c r="G479" s="37"/>
      <c r="H479" s="38"/>
      <c r="I479" s="39"/>
      <c r="J479" s="39"/>
      <c r="K479" s="35"/>
      <c r="L479" s="107"/>
      <c r="M479" s="40"/>
      <c r="O479" s="107"/>
      <c r="P479" s="22"/>
      <c r="Q479" s="23"/>
      <c r="R479" s="107"/>
      <c r="S479" s="107"/>
      <c r="T479" s="107"/>
      <c r="U479" s="107"/>
      <c r="V479" s="107"/>
    </row>
    <row r="480" spans="4:22" s="12" customFormat="1" x14ac:dyDescent="0.2">
      <c r="D480" s="107"/>
      <c r="E480" s="35"/>
      <c r="F480" s="36"/>
      <c r="G480" s="37"/>
      <c r="H480" s="38"/>
      <c r="I480" s="39"/>
      <c r="J480" s="39"/>
      <c r="K480" s="35"/>
      <c r="L480" s="107"/>
      <c r="M480" s="40"/>
      <c r="O480" s="107"/>
      <c r="P480" s="22"/>
      <c r="Q480" s="23"/>
      <c r="R480" s="107"/>
      <c r="S480" s="107"/>
      <c r="T480" s="107"/>
      <c r="U480" s="107"/>
      <c r="V480" s="107"/>
    </row>
    <row r="481" spans="4:22" s="12" customFormat="1" x14ac:dyDescent="0.2">
      <c r="D481" s="107"/>
      <c r="E481" s="35"/>
      <c r="F481" s="36"/>
      <c r="G481" s="37"/>
      <c r="H481" s="38"/>
      <c r="I481" s="39"/>
      <c r="J481" s="39"/>
      <c r="K481" s="35"/>
      <c r="L481" s="107"/>
      <c r="M481" s="40"/>
      <c r="O481" s="107"/>
      <c r="P481" s="22"/>
      <c r="Q481" s="23"/>
      <c r="R481" s="107"/>
      <c r="S481" s="107"/>
      <c r="T481" s="107"/>
      <c r="U481" s="107"/>
      <c r="V481" s="107"/>
    </row>
    <row r="482" spans="4:22" s="12" customFormat="1" x14ac:dyDescent="0.2">
      <c r="D482" s="107"/>
      <c r="E482" s="35"/>
      <c r="F482" s="36"/>
      <c r="G482" s="37"/>
      <c r="H482" s="38"/>
      <c r="I482" s="39"/>
      <c r="J482" s="39"/>
      <c r="K482" s="35"/>
      <c r="L482" s="107"/>
      <c r="M482" s="40"/>
      <c r="O482" s="107"/>
      <c r="P482" s="22"/>
      <c r="Q482" s="23"/>
      <c r="R482" s="107"/>
      <c r="S482" s="107"/>
      <c r="T482" s="107"/>
      <c r="U482" s="107"/>
      <c r="V482" s="107"/>
    </row>
    <row r="483" spans="4:22" s="12" customFormat="1" x14ac:dyDescent="0.2">
      <c r="D483" s="107"/>
      <c r="E483" s="35"/>
      <c r="F483" s="36"/>
      <c r="G483" s="37"/>
      <c r="H483" s="38"/>
      <c r="I483" s="39"/>
      <c r="J483" s="39"/>
      <c r="K483" s="35"/>
      <c r="L483" s="107"/>
      <c r="M483" s="40"/>
      <c r="O483" s="107"/>
      <c r="P483" s="22"/>
      <c r="Q483" s="23"/>
      <c r="R483" s="107"/>
      <c r="S483" s="107"/>
      <c r="T483" s="107"/>
      <c r="U483" s="107"/>
      <c r="V483" s="107"/>
    </row>
    <row r="484" spans="4:22" s="12" customFormat="1" x14ac:dyDescent="0.2">
      <c r="D484" s="107"/>
      <c r="E484" s="35"/>
      <c r="F484" s="36"/>
      <c r="G484" s="37"/>
      <c r="H484" s="38"/>
      <c r="I484" s="39"/>
      <c r="J484" s="39"/>
      <c r="K484" s="35"/>
      <c r="L484" s="107"/>
      <c r="M484" s="40"/>
      <c r="O484" s="107"/>
      <c r="P484" s="22"/>
      <c r="Q484" s="23"/>
      <c r="R484" s="107"/>
      <c r="S484" s="107"/>
      <c r="T484" s="107"/>
      <c r="U484" s="107"/>
      <c r="V484" s="107"/>
    </row>
    <row r="485" spans="4:22" s="12" customFormat="1" x14ac:dyDescent="0.2">
      <c r="D485" s="107"/>
      <c r="E485" s="35"/>
      <c r="F485" s="36"/>
      <c r="G485" s="37"/>
      <c r="H485" s="38"/>
      <c r="I485" s="39"/>
      <c r="J485" s="39"/>
      <c r="K485" s="35"/>
      <c r="L485" s="107"/>
      <c r="M485" s="40"/>
      <c r="O485" s="107"/>
      <c r="P485" s="22"/>
      <c r="Q485" s="23"/>
      <c r="R485" s="107"/>
      <c r="S485" s="107"/>
      <c r="T485" s="107"/>
      <c r="U485" s="107"/>
      <c r="V485" s="107"/>
    </row>
    <row r="486" spans="4:22" s="12" customFormat="1" x14ac:dyDescent="0.2">
      <c r="D486" s="107"/>
      <c r="E486" s="35"/>
      <c r="F486" s="36"/>
      <c r="G486" s="37"/>
      <c r="H486" s="38"/>
      <c r="I486" s="39"/>
      <c r="J486" s="39"/>
      <c r="K486" s="35"/>
      <c r="L486" s="107"/>
      <c r="M486" s="40"/>
      <c r="O486" s="107"/>
      <c r="P486" s="22"/>
      <c r="Q486" s="23"/>
      <c r="R486" s="107"/>
      <c r="S486" s="107"/>
      <c r="T486" s="107"/>
      <c r="U486" s="107"/>
      <c r="V486" s="107"/>
    </row>
    <row r="487" spans="4:22" s="12" customFormat="1" x14ac:dyDescent="0.2">
      <c r="D487" s="107"/>
      <c r="E487" s="35"/>
      <c r="F487" s="36"/>
      <c r="G487" s="37"/>
      <c r="H487" s="38"/>
      <c r="I487" s="39"/>
      <c r="J487" s="39"/>
      <c r="K487" s="35"/>
      <c r="L487" s="107"/>
      <c r="M487" s="40"/>
      <c r="O487" s="107"/>
      <c r="P487" s="22"/>
      <c r="Q487" s="23"/>
      <c r="R487" s="107"/>
      <c r="S487" s="107"/>
      <c r="T487" s="107"/>
      <c r="U487" s="107"/>
      <c r="V487" s="107"/>
    </row>
    <row r="488" spans="4:22" s="12" customFormat="1" x14ac:dyDescent="0.2">
      <c r="D488" s="107"/>
      <c r="E488" s="35"/>
      <c r="F488" s="36"/>
      <c r="G488" s="37"/>
      <c r="H488" s="38"/>
      <c r="I488" s="39"/>
      <c r="J488" s="39"/>
      <c r="K488" s="35"/>
      <c r="L488" s="107"/>
      <c r="M488" s="40"/>
      <c r="O488" s="107"/>
      <c r="P488" s="22"/>
      <c r="Q488" s="23"/>
      <c r="R488" s="107"/>
      <c r="S488" s="107"/>
      <c r="T488" s="107"/>
      <c r="U488" s="107"/>
      <c r="V488" s="107"/>
    </row>
    <row r="489" spans="4:22" s="12" customFormat="1" x14ac:dyDescent="0.2">
      <c r="D489" s="107"/>
      <c r="E489" s="35"/>
      <c r="F489" s="36"/>
      <c r="G489" s="37"/>
      <c r="H489" s="38"/>
      <c r="I489" s="39"/>
      <c r="J489" s="39"/>
      <c r="K489" s="35"/>
      <c r="L489" s="107"/>
      <c r="M489" s="40"/>
      <c r="O489" s="107"/>
      <c r="P489" s="22"/>
      <c r="Q489" s="23"/>
      <c r="R489" s="107"/>
      <c r="S489" s="107"/>
      <c r="T489" s="107"/>
      <c r="U489" s="107"/>
      <c r="V489" s="107"/>
    </row>
    <row r="490" spans="4:22" s="12" customFormat="1" x14ac:dyDescent="0.2">
      <c r="D490" s="107"/>
      <c r="E490" s="35"/>
      <c r="F490" s="36"/>
      <c r="G490" s="37"/>
      <c r="H490" s="38"/>
      <c r="I490" s="39"/>
      <c r="J490" s="39"/>
      <c r="K490" s="35"/>
      <c r="L490" s="107"/>
      <c r="M490" s="40"/>
      <c r="O490" s="107"/>
      <c r="P490" s="22"/>
      <c r="Q490" s="23"/>
      <c r="R490" s="107"/>
      <c r="S490" s="107"/>
      <c r="T490" s="107"/>
      <c r="U490" s="107"/>
      <c r="V490" s="107"/>
    </row>
    <row r="491" spans="4:22" s="12" customFormat="1" x14ac:dyDescent="0.2">
      <c r="D491" s="107"/>
      <c r="E491" s="35"/>
      <c r="F491" s="36"/>
      <c r="G491" s="37"/>
      <c r="H491" s="38"/>
      <c r="I491" s="39"/>
      <c r="J491" s="39"/>
      <c r="K491" s="35"/>
      <c r="L491" s="107"/>
      <c r="M491" s="40"/>
      <c r="O491" s="107"/>
      <c r="P491" s="22"/>
      <c r="Q491" s="23"/>
      <c r="R491" s="107"/>
      <c r="S491" s="107"/>
      <c r="T491" s="107"/>
      <c r="U491" s="107"/>
      <c r="V491" s="107"/>
    </row>
    <row r="492" spans="4:22" s="12" customFormat="1" x14ac:dyDescent="0.2">
      <c r="D492" s="107"/>
      <c r="E492" s="35"/>
      <c r="F492" s="36"/>
      <c r="G492" s="37"/>
      <c r="H492" s="38"/>
      <c r="I492" s="39"/>
      <c r="J492" s="39"/>
      <c r="K492" s="35"/>
      <c r="L492" s="107"/>
      <c r="M492" s="40"/>
      <c r="O492" s="107"/>
      <c r="P492" s="22"/>
      <c r="Q492" s="23"/>
      <c r="R492" s="107"/>
      <c r="S492" s="107"/>
      <c r="T492" s="107"/>
      <c r="U492" s="107"/>
      <c r="V492" s="107"/>
    </row>
    <row r="493" spans="4:22" s="12" customFormat="1" x14ac:dyDescent="0.2">
      <c r="D493" s="107"/>
      <c r="E493" s="35"/>
      <c r="F493" s="36"/>
      <c r="G493" s="37"/>
      <c r="H493" s="38"/>
      <c r="I493" s="39"/>
      <c r="J493" s="39"/>
      <c r="K493" s="35"/>
      <c r="L493" s="107"/>
      <c r="M493" s="40"/>
      <c r="O493" s="107"/>
      <c r="P493" s="22"/>
      <c r="Q493" s="23"/>
      <c r="R493" s="107"/>
      <c r="S493" s="107"/>
      <c r="T493" s="107"/>
      <c r="U493" s="107"/>
      <c r="V493" s="107"/>
    </row>
    <row r="494" spans="4:22" s="12" customFormat="1" x14ac:dyDescent="0.2">
      <c r="D494" s="107"/>
      <c r="E494" s="35"/>
      <c r="F494" s="36"/>
      <c r="G494" s="37"/>
      <c r="H494" s="38"/>
      <c r="I494" s="39"/>
      <c r="J494" s="39"/>
      <c r="K494" s="35"/>
      <c r="L494" s="107"/>
      <c r="M494" s="40"/>
      <c r="O494" s="107"/>
      <c r="P494" s="22"/>
      <c r="Q494" s="23"/>
      <c r="R494" s="107"/>
      <c r="S494" s="107"/>
      <c r="T494" s="107"/>
      <c r="U494" s="107"/>
      <c r="V494" s="107"/>
    </row>
    <row r="495" spans="4:22" s="12" customFormat="1" x14ac:dyDescent="0.2">
      <c r="D495" s="107"/>
      <c r="E495" s="35"/>
      <c r="F495" s="36"/>
      <c r="G495" s="37"/>
      <c r="H495" s="38"/>
      <c r="I495" s="39"/>
      <c r="J495" s="39"/>
      <c r="K495" s="35"/>
      <c r="L495" s="107"/>
      <c r="M495" s="40"/>
      <c r="O495" s="107"/>
      <c r="P495" s="22"/>
      <c r="Q495" s="23"/>
      <c r="R495" s="107"/>
      <c r="S495" s="107"/>
      <c r="T495" s="107"/>
      <c r="U495" s="107"/>
      <c r="V495" s="107"/>
    </row>
    <row r="496" spans="4:22" s="12" customFormat="1" x14ac:dyDescent="0.2">
      <c r="D496" s="107"/>
      <c r="E496" s="35"/>
      <c r="F496" s="36"/>
      <c r="G496" s="37"/>
      <c r="H496" s="38"/>
      <c r="I496" s="39"/>
      <c r="J496" s="39"/>
      <c r="K496" s="35"/>
      <c r="L496" s="107"/>
      <c r="M496" s="40"/>
      <c r="O496" s="107"/>
      <c r="P496" s="22"/>
      <c r="Q496" s="23"/>
      <c r="R496" s="107"/>
      <c r="S496" s="107"/>
      <c r="T496" s="107"/>
      <c r="U496" s="107"/>
      <c r="V496" s="107"/>
    </row>
    <row r="497" spans="4:22" s="12" customFormat="1" x14ac:dyDescent="0.2">
      <c r="D497" s="107"/>
      <c r="E497" s="35"/>
      <c r="F497" s="36"/>
      <c r="G497" s="37"/>
      <c r="H497" s="38"/>
      <c r="I497" s="39"/>
      <c r="J497" s="39"/>
      <c r="K497" s="35"/>
      <c r="L497" s="107"/>
      <c r="M497" s="40"/>
      <c r="O497" s="107"/>
      <c r="P497" s="22"/>
      <c r="Q497" s="23"/>
      <c r="R497" s="107"/>
      <c r="S497" s="107"/>
      <c r="T497" s="107"/>
      <c r="U497" s="107"/>
      <c r="V497" s="107"/>
    </row>
    <row r="498" spans="4:22" s="12" customFormat="1" x14ac:dyDescent="0.2">
      <c r="D498" s="107"/>
      <c r="E498" s="35"/>
      <c r="F498" s="36"/>
      <c r="G498" s="37"/>
      <c r="H498" s="38"/>
      <c r="I498" s="39"/>
      <c r="J498" s="39"/>
      <c r="K498" s="35"/>
      <c r="L498" s="107"/>
      <c r="M498" s="40"/>
      <c r="O498" s="107"/>
      <c r="P498" s="22"/>
      <c r="Q498" s="23"/>
      <c r="R498" s="107"/>
      <c r="S498" s="107"/>
      <c r="T498" s="107"/>
      <c r="U498" s="107"/>
      <c r="V498" s="107"/>
    </row>
    <row r="499" spans="4:22" s="12" customFormat="1" x14ac:dyDescent="0.2">
      <c r="D499" s="107"/>
      <c r="E499" s="35"/>
      <c r="F499" s="36"/>
      <c r="G499" s="37"/>
      <c r="H499" s="38"/>
      <c r="I499" s="39"/>
      <c r="J499" s="39"/>
      <c r="K499" s="35"/>
      <c r="L499" s="107"/>
      <c r="M499" s="40"/>
      <c r="O499" s="107"/>
      <c r="P499" s="22"/>
      <c r="Q499" s="23"/>
      <c r="R499" s="107"/>
      <c r="S499" s="107"/>
      <c r="T499" s="107"/>
      <c r="U499" s="107"/>
      <c r="V499" s="107"/>
    </row>
    <row r="500" spans="4:22" s="12" customFormat="1" x14ac:dyDescent="0.2">
      <c r="D500" s="107"/>
      <c r="E500" s="35"/>
      <c r="F500" s="36"/>
      <c r="G500" s="37"/>
      <c r="H500" s="38"/>
      <c r="I500" s="39"/>
      <c r="J500" s="39"/>
      <c r="K500" s="35"/>
      <c r="L500" s="107"/>
      <c r="M500" s="40"/>
      <c r="O500" s="107"/>
      <c r="P500" s="22"/>
      <c r="Q500" s="23"/>
      <c r="R500" s="107"/>
      <c r="S500" s="107"/>
      <c r="T500" s="107"/>
      <c r="U500" s="107"/>
      <c r="V500" s="107"/>
    </row>
  </sheetData>
  <mergeCells count="55">
    <mergeCell ref="A52:C52"/>
    <mergeCell ref="A46:C46"/>
    <mergeCell ref="A47:C47"/>
    <mergeCell ref="A48:C48"/>
    <mergeCell ref="A49:C49"/>
    <mergeCell ref="A50:C50"/>
    <mergeCell ref="A51:C51"/>
    <mergeCell ref="A45:C45"/>
    <mergeCell ref="A1:B1"/>
    <mergeCell ref="A2:B2"/>
    <mergeCell ref="A3:C3"/>
    <mergeCell ref="A21:C21"/>
    <mergeCell ref="A38:C38"/>
    <mergeCell ref="A4:C4"/>
    <mergeCell ref="A32:C32"/>
    <mergeCell ref="A33:C33"/>
    <mergeCell ref="A34:C34"/>
    <mergeCell ref="A35:C35"/>
    <mergeCell ref="A36:C36"/>
    <mergeCell ref="A37:C37"/>
    <mergeCell ref="A39:C39"/>
    <mergeCell ref="A40:C40"/>
    <mergeCell ref="A41:C41"/>
    <mergeCell ref="R1:T1"/>
    <mergeCell ref="R2:T2"/>
    <mergeCell ref="R3:T3"/>
    <mergeCell ref="R4:T4"/>
    <mergeCell ref="R5:T5"/>
    <mergeCell ref="R6:T6"/>
    <mergeCell ref="R7:T7"/>
    <mergeCell ref="R8:T8"/>
    <mergeCell ref="R9:T9"/>
    <mergeCell ref="R10:T10"/>
    <mergeCell ref="A42:C42"/>
    <mergeCell ref="R16:T16"/>
    <mergeCell ref="R17:T17"/>
    <mergeCell ref="R11:T11"/>
    <mergeCell ref="R12:T12"/>
    <mergeCell ref="R13:T13"/>
    <mergeCell ref="R14:T14"/>
    <mergeCell ref="R15:T15"/>
    <mergeCell ref="A13:C13"/>
    <mergeCell ref="A14:C14"/>
    <mergeCell ref="A17:C17"/>
    <mergeCell ref="A18:C18"/>
    <mergeCell ref="A5:C5"/>
    <mergeCell ref="A6:C6"/>
    <mergeCell ref="A7:C7"/>
    <mergeCell ref="A8:C8"/>
    <mergeCell ref="A9:C9"/>
    <mergeCell ref="A10:C10"/>
    <mergeCell ref="A11:C11"/>
    <mergeCell ref="A12:C12"/>
    <mergeCell ref="A15:C15"/>
    <mergeCell ref="A16:C16"/>
  </mergeCells>
  <conditionalFormatting sqref="L2:L123">
    <cfRule type="expression" dxfId="53" priority="4">
      <formula>K2="Paid"</formula>
    </cfRule>
    <cfRule type="expression" dxfId="52" priority="5">
      <formula>K2="Check!"</formula>
    </cfRule>
    <cfRule type="expression" dxfId="51" priority="6">
      <formula>K2="Waiting"</formula>
    </cfRule>
  </conditionalFormatting>
  <conditionalFormatting sqref="L2:L300">
    <cfRule type="cellIs" dxfId="50" priority="1" operator="equal">
      <formula>"EARLY"</formula>
    </cfRule>
    <cfRule type="cellIs" dxfId="49" priority="2" operator="equal">
      <formula>"DEF"</formula>
    </cfRule>
    <cfRule type="cellIs" dxfId="48" priority="3" operator="equal">
      <formula>"LATE"</formula>
    </cfRule>
  </conditionalFormatting>
  <conditionalFormatting sqref="L134:L578">
    <cfRule type="expression" dxfId="47" priority="7">
      <formula>K134="Paid"</formula>
    </cfRule>
    <cfRule type="expression" dxfId="46" priority="8">
      <formula>K134="Check!"</formula>
    </cfRule>
    <cfRule type="expression" dxfId="45" priority="9">
      <formula>K134="Waiting"</formula>
    </cfRule>
  </conditionalFormatting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0A53-073B-4363-BF6B-26528092D901}">
  <sheetPr>
    <tabColor theme="1" tint="4.9989318521683403E-2"/>
  </sheetPr>
  <dimension ref="A1:V500"/>
  <sheetViews>
    <sheetView topLeftCell="A2" zoomScaleNormal="100" workbookViewId="0">
      <selection activeCell="A26" sqref="A26"/>
    </sheetView>
  </sheetViews>
  <sheetFormatPr defaultColWidth="8.7421875" defaultRowHeight="15" x14ac:dyDescent="0.2"/>
  <cols>
    <col min="1" max="3" width="15.6015625" style="41" customWidth="1"/>
    <col min="4" max="4" width="2.6875" style="42" customWidth="1"/>
    <col min="5" max="5" width="5.6484375" style="7" customWidth="1"/>
    <col min="6" max="6" width="12.64453125" style="43" customWidth="1"/>
    <col min="7" max="7" width="12.64453125" style="44" customWidth="1"/>
    <col min="8" max="8" width="15.6015625" style="45" customWidth="1"/>
    <col min="9" max="10" width="15.6015625" style="46" customWidth="1"/>
    <col min="11" max="11" width="7.6640625" style="7" customWidth="1"/>
    <col min="12" max="12" width="5.6484375" style="104" customWidth="1"/>
    <col min="13" max="13" width="15.6015625" style="47" customWidth="1"/>
    <col min="14" max="14" width="10.35546875" style="41" customWidth="1"/>
    <col min="15" max="15" width="2.6875" style="42" customWidth="1"/>
    <col min="16" max="16" width="10.35546875" style="48" customWidth="1"/>
    <col min="17" max="17" width="10.35546875" style="26" customWidth="1"/>
    <col min="18" max="20" width="11.8359375" style="42" customWidth="1"/>
    <col min="21" max="22" width="8.47265625" style="42" customWidth="1"/>
    <col min="23" max="24" width="8.47265625" style="41" customWidth="1"/>
    <col min="25" max="16384" width="8.7421875" style="41"/>
  </cols>
  <sheetData>
    <row r="1" spans="1:22" s="12" customFormat="1" ht="23.1" customHeight="1" x14ac:dyDescent="0.2">
      <c r="A1" s="233" t="s">
        <v>17</v>
      </c>
      <c r="B1" s="233"/>
      <c r="C1" s="178" t="s">
        <v>18</v>
      </c>
      <c r="D1" s="99"/>
      <c r="E1" s="178" t="s">
        <v>19</v>
      </c>
      <c r="F1" s="175" t="s">
        <v>20</v>
      </c>
      <c r="G1" s="145" t="s">
        <v>21</v>
      </c>
      <c r="H1" s="146" t="s">
        <v>22</v>
      </c>
      <c r="I1" s="136" t="s">
        <v>23</v>
      </c>
      <c r="J1" s="136" t="s">
        <v>24</v>
      </c>
      <c r="K1" s="136" t="s">
        <v>25</v>
      </c>
      <c r="L1" s="136" t="s">
        <v>26</v>
      </c>
      <c r="M1" s="147" t="s">
        <v>110</v>
      </c>
      <c r="N1" s="136" t="s">
        <v>111</v>
      </c>
      <c r="O1" s="89"/>
      <c r="P1" s="148" t="s">
        <v>28</v>
      </c>
      <c r="Q1" s="138" t="s">
        <v>29</v>
      </c>
      <c r="R1" s="226" t="s">
        <v>112</v>
      </c>
      <c r="S1" s="226"/>
      <c r="T1" s="226"/>
      <c r="U1" s="107"/>
      <c r="V1" s="107"/>
    </row>
    <row r="2" spans="1:22" s="12" customFormat="1" ht="19.149999999999999" customHeight="1" x14ac:dyDescent="0.2">
      <c r="A2" s="232">
        <f>SUMIFS(J2:J300,F2:F300,"&lt;&gt;")+B19+A19+C2</f>
        <v>27321.49</v>
      </c>
      <c r="B2" s="232"/>
      <c r="C2" s="176">
        <v>0</v>
      </c>
      <c r="D2" s="107"/>
      <c r="E2" s="14">
        <v>3</v>
      </c>
      <c r="F2" s="15"/>
      <c r="G2" s="25">
        <v>45479</v>
      </c>
      <c r="H2" s="17">
        <v>1000</v>
      </c>
      <c r="I2" s="18">
        <v>30.8</v>
      </c>
      <c r="J2" s="19">
        <f t="shared" ref="J2:J22" si="0">SUM(H2:I2)</f>
        <v>1030.8</v>
      </c>
      <c r="K2" s="14" t="s">
        <v>31</v>
      </c>
      <c r="L2" s="100"/>
      <c r="M2" s="20" t="s">
        <v>241</v>
      </c>
      <c r="N2" s="21">
        <v>16</v>
      </c>
      <c r="O2" s="107"/>
      <c r="P2" s="22">
        <v>45778</v>
      </c>
      <c r="Q2" s="105">
        <f t="shared" ref="Q2:Q65" si="1">SUMIFS(J$2:J$1000, F$2:F$1000, "&gt;=" &amp; DATE(YEAR(P2), MONTH(P2), 1), F$2:F$1000, "&lt;=" &amp; EOMONTH(P2, 0))</f>
        <v>0</v>
      </c>
      <c r="R2" s="222"/>
      <c r="S2" s="222"/>
      <c r="T2" s="222"/>
      <c r="U2" s="107"/>
      <c r="V2" s="107"/>
    </row>
    <row r="3" spans="1:22" s="12" customFormat="1" ht="19.149999999999999" customHeight="1" thickBot="1" x14ac:dyDescent="0.25">
      <c r="A3" s="234"/>
      <c r="B3" s="234"/>
      <c r="C3" s="234"/>
      <c r="D3" s="107"/>
      <c r="E3" s="14">
        <v>3</v>
      </c>
      <c r="F3" s="24"/>
      <c r="G3" s="25">
        <v>45479</v>
      </c>
      <c r="H3" s="17">
        <v>1000</v>
      </c>
      <c r="I3" s="18">
        <v>21.17</v>
      </c>
      <c r="J3" s="19">
        <f t="shared" si="0"/>
        <v>1021.17</v>
      </c>
      <c r="K3" s="14" t="s">
        <v>31</v>
      </c>
      <c r="L3" s="100"/>
      <c r="M3" s="20" t="s">
        <v>212</v>
      </c>
      <c r="N3" s="21">
        <v>11</v>
      </c>
      <c r="O3" s="107"/>
      <c r="P3" s="22">
        <v>45809</v>
      </c>
      <c r="Q3" s="105">
        <f t="shared" si="1"/>
        <v>1077</v>
      </c>
      <c r="R3" s="225" t="s">
        <v>115</v>
      </c>
      <c r="S3" s="225"/>
      <c r="T3" s="225"/>
      <c r="U3" s="107"/>
      <c r="V3" s="107"/>
    </row>
    <row r="4" spans="1:22" s="12" customFormat="1" ht="19.149999999999999" customHeight="1" x14ac:dyDescent="0.2">
      <c r="A4" s="230" t="s">
        <v>116</v>
      </c>
      <c r="B4" s="230"/>
      <c r="C4" s="230"/>
      <c r="D4" s="107"/>
      <c r="E4" s="14">
        <v>2</v>
      </c>
      <c r="F4" s="24"/>
      <c r="G4" s="25">
        <v>45484</v>
      </c>
      <c r="H4" s="17">
        <v>1000</v>
      </c>
      <c r="I4" s="18">
        <v>19.25</v>
      </c>
      <c r="J4" s="19">
        <f t="shared" si="0"/>
        <v>1019.25</v>
      </c>
      <c r="K4" s="14" t="s">
        <v>31</v>
      </c>
      <c r="L4" s="100"/>
      <c r="M4" s="20" t="s">
        <v>212</v>
      </c>
      <c r="N4" s="21">
        <v>15</v>
      </c>
      <c r="O4" s="107"/>
      <c r="P4" s="22">
        <v>45839</v>
      </c>
      <c r="Q4" s="105">
        <f t="shared" si="1"/>
        <v>0</v>
      </c>
      <c r="R4" s="222" t="s">
        <v>118</v>
      </c>
      <c r="S4" s="222"/>
      <c r="T4" s="222"/>
      <c r="U4" s="107"/>
      <c r="V4" s="107"/>
    </row>
    <row r="5" spans="1:22" s="12" customFormat="1" ht="19.149999999999999" customHeight="1" x14ac:dyDescent="0.2">
      <c r="A5" s="216"/>
      <c r="B5" s="217"/>
      <c r="C5" s="217"/>
      <c r="D5" s="107"/>
      <c r="E5" s="14">
        <v>4</v>
      </c>
      <c r="F5" s="24"/>
      <c r="G5" s="25">
        <v>45509</v>
      </c>
      <c r="H5" s="17">
        <v>1000</v>
      </c>
      <c r="I5" s="18">
        <v>28.24</v>
      </c>
      <c r="J5" s="19">
        <f t="shared" si="0"/>
        <v>1028.24</v>
      </c>
      <c r="K5" s="14" t="s">
        <v>31</v>
      </c>
      <c r="L5" s="100"/>
      <c r="M5" s="20" t="s">
        <v>212</v>
      </c>
      <c r="N5" s="21">
        <v>11</v>
      </c>
      <c r="O5" s="107"/>
      <c r="P5" s="22">
        <v>45870</v>
      </c>
      <c r="Q5" s="105">
        <f t="shared" si="1"/>
        <v>0</v>
      </c>
      <c r="R5" s="222" t="s">
        <v>120</v>
      </c>
      <c r="S5" s="222"/>
      <c r="T5" s="222"/>
      <c r="U5" s="107"/>
      <c r="V5" s="107"/>
    </row>
    <row r="6" spans="1:22" s="12" customFormat="1" ht="19.149999999999999" customHeight="1" x14ac:dyDescent="0.2">
      <c r="A6" s="214"/>
      <c r="B6" s="215"/>
      <c r="C6" s="215"/>
      <c r="D6" s="107"/>
      <c r="E6" s="14">
        <v>3</v>
      </c>
      <c r="F6" s="24"/>
      <c r="G6" s="25">
        <v>45525</v>
      </c>
      <c r="H6" s="17">
        <v>1000</v>
      </c>
      <c r="I6" s="18">
        <v>25.02</v>
      </c>
      <c r="J6" s="19">
        <f t="shared" si="0"/>
        <v>1025.02</v>
      </c>
      <c r="K6" s="14" t="s">
        <v>31</v>
      </c>
      <c r="L6" s="100"/>
      <c r="M6" s="20" t="s">
        <v>212</v>
      </c>
      <c r="N6" s="21">
        <v>13</v>
      </c>
      <c r="O6" s="107"/>
      <c r="P6" s="22">
        <v>45901</v>
      </c>
      <c r="Q6" s="105">
        <f t="shared" si="1"/>
        <v>0</v>
      </c>
      <c r="R6" s="222" t="s">
        <v>123</v>
      </c>
      <c r="S6" s="222"/>
      <c r="T6" s="222"/>
      <c r="U6" s="107"/>
      <c r="V6" s="107"/>
    </row>
    <row r="7" spans="1:22" s="12" customFormat="1" ht="19.149999999999999" customHeight="1" x14ac:dyDescent="0.2">
      <c r="A7" s="214" t="s">
        <v>242</v>
      </c>
      <c r="B7" s="215" t="s">
        <v>243</v>
      </c>
      <c r="C7" s="215"/>
      <c r="D7" s="107"/>
      <c r="E7" s="14">
        <v>5</v>
      </c>
      <c r="F7" s="24"/>
      <c r="G7" s="25">
        <v>45546</v>
      </c>
      <c r="H7" s="17">
        <v>1000</v>
      </c>
      <c r="I7" s="18">
        <v>38.5</v>
      </c>
      <c r="J7" s="19">
        <f t="shared" si="0"/>
        <v>1038.5</v>
      </c>
      <c r="K7" s="14" t="s">
        <v>31</v>
      </c>
      <c r="L7" s="100"/>
      <c r="M7" s="20" t="s">
        <v>212</v>
      </c>
      <c r="N7" s="21">
        <v>12</v>
      </c>
      <c r="O7" s="107"/>
      <c r="P7" s="22">
        <v>45931</v>
      </c>
      <c r="Q7" s="105">
        <f>SUMIFS(J$2:J$1000, F$2:F$1000, "&gt;=" &amp; DATE(YEAR(P7), MONTH(P7), 1), F$2:F$1000, "&lt;=" &amp; EOMONTH(P7, 0))</f>
        <v>0</v>
      </c>
      <c r="R7" s="222" t="s">
        <v>125</v>
      </c>
      <c r="S7" s="222"/>
      <c r="T7" s="222"/>
      <c r="U7" s="107"/>
      <c r="V7" s="107"/>
    </row>
    <row r="8" spans="1:22" s="12" customFormat="1" ht="19.149999999999999" customHeight="1" x14ac:dyDescent="0.2">
      <c r="A8" s="235" t="s">
        <v>244</v>
      </c>
      <c r="B8" s="217"/>
      <c r="C8" s="217"/>
      <c r="D8" s="107"/>
      <c r="E8" s="14">
        <v>5</v>
      </c>
      <c r="F8" s="24"/>
      <c r="G8" s="25">
        <v>45549</v>
      </c>
      <c r="H8" s="17">
        <v>5000</v>
      </c>
      <c r="I8" s="18">
        <v>224.59</v>
      </c>
      <c r="J8" s="19">
        <f t="shared" si="0"/>
        <v>5224.59</v>
      </c>
      <c r="K8" s="14" t="s">
        <v>31</v>
      </c>
      <c r="L8" s="100"/>
      <c r="M8" s="20" t="s">
        <v>212</v>
      </c>
      <c r="N8" s="21">
        <v>14</v>
      </c>
      <c r="O8" s="107"/>
      <c r="P8" s="22">
        <v>45962</v>
      </c>
      <c r="Q8" s="105">
        <f t="shared" si="1"/>
        <v>0</v>
      </c>
      <c r="R8" s="223"/>
      <c r="S8" s="223"/>
      <c r="T8" s="223"/>
      <c r="U8" s="107"/>
      <c r="V8" s="107"/>
    </row>
    <row r="9" spans="1:22" s="12" customFormat="1" ht="19.149999999999999" customHeight="1" x14ac:dyDescent="0.2">
      <c r="A9" s="216"/>
      <c r="B9" s="217"/>
      <c r="C9" s="217"/>
      <c r="D9" s="107"/>
      <c r="E9" s="14">
        <v>5</v>
      </c>
      <c r="F9" s="24"/>
      <c r="G9" s="25">
        <v>45554</v>
      </c>
      <c r="H9" s="17">
        <v>5000</v>
      </c>
      <c r="I9" s="18">
        <v>224.59</v>
      </c>
      <c r="J9" s="19">
        <f t="shared" si="0"/>
        <v>5224.59</v>
      </c>
      <c r="K9" s="14" t="s">
        <v>31</v>
      </c>
      <c r="L9" s="100"/>
      <c r="M9" s="20" t="s">
        <v>212</v>
      </c>
      <c r="N9" s="21">
        <v>14</v>
      </c>
      <c r="O9" s="107"/>
      <c r="P9" s="22">
        <v>45992</v>
      </c>
      <c r="Q9" s="105">
        <f t="shared" si="1"/>
        <v>0</v>
      </c>
      <c r="R9" s="224"/>
      <c r="S9" s="224"/>
      <c r="T9" s="224"/>
      <c r="U9" s="107"/>
      <c r="V9" s="107"/>
    </row>
    <row r="10" spans="1:22" s="12" customFormat="1" ht="19.149999999999999" customHeight="1" x14ac:dyDescent="0.2">
      <c r="A10" s="216" t="s">
        <v>245</v>
      </c>
      <c r="B10" s="217"/>
      <c r="C10" s="217"/>
      <c r="D10" s="107"/>
      <c r="E10" s="14">
        <v>5</v>
      </c>
      <c r="F10" s="24"/>
      <c r="G10" s="25">
        <v>45554</v>
      </c>
      <c r="H10" s="17">
        <v>5000</v>
      </c>
      <c r="I10" s="18">
        <v>224.59</v>
      </c>
      <c r="J10" s="19">
        <f t="shared" ref="J10" si="2">SUM(H10:I10)</f>
        <v>5224.59</v>
      </c>
      <c r="K10" s="14" t="s">
        <v>31</v>
      </c>
      <c r="L10" s="100"/>
      <c r="M10" s="20" t="s">
        <v>212</v>
      </c>
      <c r="N10" s="21">
        <v>14</v>
      </c>
      <c r="O10" s="107"/>
      <c r="P10" s="22">
        <v>46023</v>
      </c>
      <c r="Q10" s="105">
        <f t="shared" si="1"/>
        <v>0</v>
      </c>
      <c r="R10" s="225" t="s">
        <v>130</v>
      </c>
      <c r="S10" s="225"/>
      <c r="T10" s="225"/>
      <c r="U10" s="107"/>
      <c r="V10" s="107"/>
    </row>
    <row r="11" spans="1:22" s="12" customFormat="1" ht="19.149999999999999" customHeight="1" x14ac:dyDescent="0.2">
      <c r="A11" s="218" t="s">
        <v>246</v>
      </c>
      <c r="B11" s="219"/>
      <c r="C11" s="219"/>
      <c r="D11" s="107"/>
      <c r="E11" s="14">
        <v>2</v>
      </c>
      <c r="F11" s="24"/>
      <c r="G11" s="25">
        <v>45556</v>
      </c>
      <c r="H11" s="17">
        <v>1000</v>
      </c>
      <c r="I11" s="18">
        <v>19.25</v>
      </c>
      <c r="J11" s="19">
        <f t="shared" si="0"/>
        <v>1019.25</v>
      </c>
      <c r="K11" s="14" t="s">
        <v>31</v>
      </c>
      <c r="L11" s="100"/>
      <c r="M11" s="20" t="s">
        <v>212</v>
      </c>
      <c r="N11" s="21">
        <v>15</v>
      </c>
      <c r="O11" s="107"/>
      <c r="P11" s="22">
        <v>46054</v>
      </c>
      <c r="Q11" s="105">
        <f t="shared" si="1"/>
        <v>0</v>
      </c>
      <c r="R11" s="222" t="s">
        <v>133</v>
      </c>
      <c r="S11" s="222"/>
      <c r="T11" s="222"/>
      <c r="U11" s="107"/>
      <c r="V11" s="107"/>
    </row>
    <row r="12" spans="1:22" s="12" customFormat="1" ht="19.149999999999999" customHeight="1" x14ac:dyDescent="0.2">
      <c r="A12" s="216" t="s">
        <v>247</v>
      </c>
      <c r="B12" s="217"/>
      <c r="C12" s="217"/>
      <c r="D12" s="107"/>
      <c r="E12" s="14">
        <v>3</v>
      </c>
      <c r="F12" s="24"/>
      <c r="G12" s="25">
        <v>45565</v>
      </c>
      <c r="H12" s="17">
        <v>1000</v>
      </c>
      <c r="I12" s="18">
        <v>26.95</v>
      </c>
      <c r="J12" s="19">
        <f t="shared" si="0"/>
        <v>1026.95</v>
      </c>
      <c r="K12" s="14" t="s">
        <v>31</v>
      </c>
      <c r="L12" s="100"/>
      <c r="M12" s="20" t="s">
        <v>212</v>
      </c>
      <c r="N12" s="21">
        <v>14</v>
      </c>
      <c r="O12" s="107"/>
      <c r="P12" s="22">
        <v>46082</v>
      </c>
      <c r="Q12" s="105">
        <f t="shared" si="1"/>
        <v>0</v>
      </c>
      <c r="R12" s="222" t="s">
        <v>136</v>
      </c>
      <c r="S12" s="222"/>
      <c r="T12" s="222"/>
      <c r="U12" s="107"/>
      <c r="V12" s="107"/>
    </row>
    <row r="13" spans="1:22" s="12" customFormat="1" ht="19.149999999999999" customHeight="1" x14ac:dyDescent="0.2">
      <c r="A13" s="218"/>
      <c r="B13" s="219"/>
      <c r="C13" s="219"/>
      <c r="D13" s="107"/>
      <c r="E13" s="14">
        <v>6</v>
      </c>
      <c r="F13" s="24"/>
      <c r="G13" s="25">
        <v>45569</v>
      </c>
      <c r="H13" s="17">
        <v>1000</v>
      </c>
      <c r="I13" s="18">
        <v>61.6</v>
      </c>
      <c r="J13" s="19">
        <f t="shared" si="0"/>
        <v>1061.5999999999999</v>
      </c>
      <c r="K13" s="14" t="s">
        <v>31</v>
      </c>
      <c r="L13" s="100"/>
      <c r="M13" s="20" t="s">
        <v>212</v>
      </c>
      <c r="N13" s="21">
        <v>16</v>
      </c>
      <c r="O13" s="107"/>
      <c r="P13" s="22">
        <v>46113</v>
      </c>
      <c r="Q13" s="105">
        <f t="shared" si="1"/>
        <v>0</v>
      </c>
      <c r="R13" s="222" t="s">
        <v>138</v>
      </c>
      <c r="S13" s="222"/>
      <c r="T13" s="222"/>
      <c r="U13" s="107"/>
      <c r="V13" s="107"/>
    </row>
    <row r="14" spans="1:22" s="12" customFormat="1" ht="19.149999999999999" customHeight="1" x14ac:dyDescent="0.2">
      <c r="A14" s="218" t="s">
        <v>214</v>
      </c>
      <c r="B14" s="219"/>
      <c r="C14" s="219"/>
      <c r="D14" s="107"/>
      <c r="E14" s="14">
        <v>4</v>
      </c>
      <c r="F14" s="24"/>
      <c r="G14" s="25">
        <v>45572</v>
      </c>
      <c r="H14" s="17">
        <v>1000</v>
      </c>
      <c r="I14" s="18">
        <v>56.67</v>
      </c>
      <c r="J14" s="19">
        <f t="shared" si="0"/>
        <v>1056.67</v>
      </c>
      <c r="K14" s="14" t="s">
        <v>31</v>
      </c>
      <c r="L14" s="100"/>
      <c r="M14" s="20" t="s">
        <v>212</v>
      </c>
      <c r="N14" s="21">
        <v>17</v>
      </c>
      <c r="O14" s="107"/>
      <c r="P14" s="22">
        <v>46143</v>
      </c>
      <c r="Q14" s="105">
        <f t="shared" si="1"/>
        <v>0</v>
      </c>
      <c r="R14" s="222" t="s">
        <v>140</v>
      </c>
      <c r="S14" s="222"/>
      <c r="T14" s="222"/>
      <c r="U14" s="107"/>
      <c r="V14" s="107"/>
    </row>
    <row r="15" spans="1:22" s="12" customFormat="1" ht="19.149999999999999" customHeight="1" x14ac:dyDescent="0.2">
      <c r="A15" s="216" t="s">
        <v>134</v>
      </c>
      <c r="B15" s="217"/>
      <c r="C15" s="217"/>
      <c r="D15" s="107"/>
      <c r="E15" s="14">
        <v>2</v>
      </c>
      <c r="F15" s="24"/>
      <c r="G15" s="25">
        <v>45577</v>
      </c>
      <c r="H15" s="17">
        <v>2000</v>
      </c>
      <c r="I15" s="18">
        <v>53.9</v>
      </c>
      <c r="J15" s="19">
        <f t="shared" si="0"/>
        <v>2053.9</v>
      </c>
      <c r="K15" s="14" t="s">
        <v>31</v>
      </c>
      <c r="L15" s="100"/>
      <c r="M15" s="20" t="s">
        <v>212</v>
      </c>
      <c r="N15" s="21">
        <v>21</v>
      </c>
      <c r="O15" s="107"/>
      <c r="P15" s="22">
        <v>46174</v>
      </c>
      <c r="Q15" s="105">
        <f t="shared" si="1"/>
        <v>0</v>
      </c>
      <c r="R15" s="222" t="s">
        <v>142</v>
      </c>
      <c r="S15" s="222"/>
      <c r="T15" s="222"/>
      <c r="U15" s="107"/>
      <c r="V15" s="107"/>
    </row>
    <row r="16" spans="1:22" s="12" customFormat="1" ht="19.149999999999999" customHeight="1" x14ac:dyDescent="0.2">
      <c r="A16" s="216"/>
      <c r="B16" s="217"/>
      <c r="C16" s="217"/>
      <c r="D16" s="107"/>
      <c r="E16" s="14">
        <v>6</v>
      </c>
      <c r="F16" s="24"/>
      <c r="G16" s="25">
        <v>45580</v>
      </c>
      <c r="H16" s="17">
        <v>1000</v>
      </c>
      <c r="I16" s="18">
        <v>63.52</v>
      </c>
      <c r="J16" s="19">
        <f t="shared" si="0"/>
        <v>1063.52</v>
      </c>
      <c r="K16" s="14" t="s">
        <v>31</v>
      </c>
      <c r="L16" s="100"/>
      <c r="M16" s="20" t="s">
        <v>212</v>
      </c>
      <c r="N16" s="21">
        <v>16.5</v>
      </c>
      <c r="O16" s="107"/>
      <c r="P16" s="22">
        <v>46204</v>
      </c>
      <c r="Q16" s="105">
        <f t="shared" si="1"/>
        <v>0</v>
      </c>
      <c r="R16" s="222" t="s">
        <v>144</v>
      </c>
      <c r="S16" s="222"/>
      <c r="T16" s="222"/>
      <c r="U16" s="107"/>
      <c r="V16" s="107"/>
    </row>
    <row r="17" spans="1:22" s="12" customFormat="1" ht="19.149999999999999" customHeight="1" x14ac:dyDescent="0.2">
      <c r="A17" s="214"/>
      <c r="B17" s="215"/>
      <c r="C17" s="215"/>
      <c r="D17" s="107"/>
      <c r="E17" s="14">
        <v>6</v>
      </c>
      <c r="F17" s="24"/>
      <c r="G17" s="25">
        <v>45584</v>
      </c>
      <c r="H17" s="17">
        <v>1000</v>
      </c>
      <c r="I17" s="18">
        <v>61.6</v>
      </c>
      <c r="J17" s="19">
        <f t="shared" si="0"/>
        <v>1061.5999999999999</v>
      </c>
      <c r="K17" s="14" t="s">
        <v>31</v>
      </c>
      <c r="L17" s="100" t="s">
        <v>32</v>
      </c>
      <c r="M17" s="20" t="s">
        <v>212</v>
      </c>
      <c r="N17" s="21">
        <v>16</v>
      </c>
      <c r="O17" s="107"/>
      <c r="P17" s="22">
        <v>46235</v>
      </c>
      <c r="Q17" s="105">
        <f t="shared" si="1"/>
        <v>0</v>
      </c>
      <c r="R17" s="223"/>
      <c r="S17" s="223"/>
      <c r="T17" s="223"/>
      <c r="U17" s="107"/>
      <c r="V17" s="107"/>
    </row>
    <row r="18" spans="1:22" s="12" customFormat="1" ht="19.149999999999999" customHeight="1" x14ac:dyDescent="0.2">
      <c r="A18" s="214"/>
      <c r="B18" s="215"/>
      <c r="C18" s="215"/>
      <c r="D18" s="107"/>
      <c r="E18" s="14">
        <v>3</v>
      </c>
      <c r="F18" s="24"/>
      <c r="G18" s="25">
        <v>45586</v>
      </c>
      <c r="H18" s="17">
        <v>1000</v>
      </c>
      <c r="I18" s="18">
        <v>34.65</v>
      </c>
      <c r="J18" s="19">
        <f t="shared" si="0"/>
        <v>1034.6500000000001</v>
      </c>
      <c r="K18" s="14" t="s">
        <v>31</v>
      </c>
      <c r="L18" s="100"/>
      <c r="M18" s="20" t="s">
        <v>212</v>
      </c>
      <c r="N18" s="21">
        <v>18</v>
      </c>
      <c r="O18" s="107"/>
      <c r="P18" s="22">
        <v>46266</v>
      </c>
      <c r="Q18" s="105">
        <f t="shared" si="1"/>
        <v>0</v>
      </c>
      <c r="R18" s="107"/>
      <c r="S18" s="107"/>
      <c r="T18" s="107"/>
      <c r="U18" s="107"/>
      <c r="V18" s="107"/>
    </row>
    <row r="19" spans="1:22" s="12" customFormat="1" ht="19.149999999999999" customHeight="1" x14ac:dyDescent="0.2">
      <c r="A19" s="118">
        <v>0</v>
      </c>
      <c r="B19" s="118">
        <v>0</v>
      </c>
      <c r="C19" s="116" t="s">
        <v>148</v>
      </c>
      <c r="D19" s="107"/>
      <c r="E19" s="14">
        <v>6</v>
      </c>
      <c r="F19" s="24"/>
      <c r="G19" s="25">
        <v>45589</v>
      </c>
      <c r="H19" s="17">
        <v>1000</v>
      </c>
      <c r="I19" s="18">
        <v>57.75</v>
      </c>
      <c r="J19" s="19">
        <f t="shared" si="0"/>
        <v>1057.75</v>
      </c>
      <c r="K19" s="14" t="s">
        <v>31</v>
      </c>
      <c r="L19" s="100" t="s">
        <v>32</v>
      </c>
      <c r="M19" s="20" t="s">
        <v>212</v>
      </c>
      <c r="N19" s="21">
        <v>15</v>
      </c>
      <c r="O19" s="107"/>
      <c r="P19" s="22">
        <v>46296</v>
      </c>
      <c r="Q19" s="105">
        <f t="shared" si="1"/>
        <v>0</v>
      </c>
      <c r="R19" s="107"/>
      <c r="S19" s="107"/>
      <c r="T19" s="107"/>
      <c r="U19" s="107"/>
      <c r="V19" s="107"/>
    </row>
    <row r="20" spans="1:22" s="12" customFormat="1" ht="19.149999999999999" customHeight="1" x14ac:dyDescent="0.2">
      <c r="A20" s="177"/>
      <c r="B20" s="177"/>
      <c r="C20" s="177"/>
      <c r="D20" s="107"/>
      <c r="E20" s="14">
        <v>6</v>
      </c>
      <c r="F20" s="24"/>
      <c r="G20" s="25">
        <v>45592</v>
      </c>
      <c r="H20" s="17">
        <v>1000</v>
      </c>
      <c r="I20" s="18">
        <v>53.9</v>
      </c>
      <c r="J20" s="19">
        <f t="shared" si="0"/>
        <v>1053.9000000000001</v>
      </c>
      <c r="K20" s="14" t="s">
        <v>31</v>
      </c>
      <c r="L20" s="100"/>
      <c r="M20" s="20" t="s">
        <v>212</v>
      </c>
      <c r="N20" s="21">
        <v>14</v>
      </c>
      <c r="O20" s="107"/>
      <c r="P20" s="22">
        <v>46327</v>
      </c>
      <c r="Q20" s="105">
        <f t="shared" si="1"/>
        <v>0</v>
      </c>
      <c r="R20" s="107"/>
      <c r="S20" s="107"/>
      <c r="T20" s="107"/>
      <c r="U20" s="107"/>
      <c r="V20" s="107"/>
    </row>
    <row r="21" spans="1:22" s="12" customFormat="1" ht="19.149999999999999" customHeight="1" x14ac:dyDescent="0.2">
      <c r="A21" s="230" t="s">
        <v>47</v>
      </c>
      <c r="B21" s="230"/>
      <c r="C21" s="230"/>
      <c r="D21" s="107"/>
      <c r="E21" s="14">
        <v>6</v>
      </c>
      <c r="F21" s="24"/>
      <c r="G21" s="25">
        <v>45593</v>
      </c>
      <c r="H21" s="17">
        <v>1000</v>
      </c>
      <c r="I21" s="18">
        <v>53.9</v>
      </c>
      <c r="J21" s="19">
        <f t="shared" si="0"/>
        <v>1053.9000000000001</v>
      </c>
      <c r="K21" s="14" t="s">
        <v>31</v>
      </c>
      <c r="L21" s="100"/>
      <c r="M21" s="20" t="s">
        <v>212</v>
      </c>
      <c r="N21" s="21">
        <v>14</v>
      </c>
      <c r="O21" s="107"/>
      <c r="P21" s="22">
        <v>46357</v>
      </c>
      <c r="Q21" s="105">
        <f t="shared" si="1"/>
        <v>0</v>
      </c>
      <c r="R21" s="107"/>
      <c r="S21" s="107"/>
      <c r="T21" s="107"/>
      <c r="U21" s="107"/>
      <c r="V21" s="107"/>
    </row>
    <row r="22" spans="1:22" s="12" customFormat="1" ht="19.149999999999999" customHeight="1" x14ac:dyDescent="0.2">
      <c r="A22" s="116" t="s">
        <v>22</v>
      </c>
      <c r="B22" s="116" t="s">
        <v>48</v>
      </c>
      <c r="C22" s="116" t="s">
        <v>49</v>
      </c>
      <c r="D22" s="107"/>
      <c r="E22" s="14">
        <v>4</v>
      </c>
      <c r="F22" s="24"/>
      <c r="G22" s="25">
        <v>45593</v>
      </c>
      <c r="H22" s="17">
        <v>1000</v>
      </c>
      <c r="I22" s="18">
        <v>41.06</v>
      </c>
      <c r="J22" s="19">
        <f t="shared" si="0"/>
        <v>1041.06</v>
      </c>
      <c r="K22" s="14" t="s">
        <v>31</v>
      </c>
      <c r="L22" s="100"/>
      <c r="M22" s="20" t="s">
        <v>212</v>
      </c>
      <c r="N22" s="21">
        <v>16</v>
      </c>
      <c r="O22" s="107"/>
      <c r="P22" s="22">
        <v>46388</v>
      </c>
      <c r="Q22" s="105">
        <f t="shared" si="1"/>
        <v>0</v>
      </c>
      <c r="R22" s="107"/>
      <c r="S22" s="107"/>
      <c r="T22" s="107"/>
      <c r="U22" s="107"/>
      <c r="V22" s="107"/>
    </row>
    <row r="23" spans="1:22" s="12" customFormat="1" ht="19.149999999999999" customHeight="1" x14ac:dyDescent="0.2">
      <c r="A23" s="139">
        <f>SUMIFS(H2:H300,F2:F300,"&lt;&gt;")</f>
        <v>26000</v>
      </c>
      <c r="B23" s="139">
        <f>SUMIFS(I2:I300,F2:F300,"&lt;&gt;")</f>
        <v>1321.4900000000002</v>
      </c>
      <c r="C23" s="140">
        <f>COUNT(N2:N300, "?*")</f>
        <v>87</v>
      </c>
      <c r="D23" s="107"/>
      <c r="E23" s="14">
        <v>2</v>
      </c>
      <c r="F23" s="24"/>
      <c r="G23" s="25">
        <v>45593</v>
      </c>
      <c r="H23" s="17">
        <v>3000</v>
      </c>
      <c r="I23" s="18">
        <v>53.9</v>
      </c>
      <c r="J23" s="19">
        <f>SUM(H23:I23)</f>
        <v>3053.9</v>
      </c>
      <c r="K23" s="14" t="s">
        <v>31</v>
      </c>
      <c r="L23" s="100"/>
      <c r="M23" s="20" t="s">
        <v>212</v>
      </c>
      <c r="N23" s="21">
        <v>14</v>
      </c>
      <c r="O23" s="107"/>
      <c r="P23" s="22">
        <v>46419</v>
      </c>
      <c r="Q23" s="105">
        <f t="shared" si="1"/>
        <v>0</v>
      </c>
      <c r="R23" s="107"/>
      <c r="S23" s="107"/>
      <c r="T23" s="107"/>
      <c r="U23" s="107"/>
      <c r="V23" s="107"/>
    </row>
    <row r="24" spans="1:22" s="12" customFormat="1" ht="19.149999999999999" customHeight="1" x14ac:dyDescent="0.2">
      <c r="A24" s="116" t="s">
        <v>154</v>
      </c>
      <c r="B24" s="116" t="s">
        <v>51</v>
      </c>
      <c r="C24" s="116" t="s">
        <v>52</v>
      </c>
      <c r="D24" s="107"/>
      <c r="E24" s="14">
        <v>2</v>
      </c>
      <c r="F24" s="24"/>
      <c r="G24" s="25">
        <v>45593</v>
      </c>
      <c r="H24" s="17">
        <v>2000</v>
      </c>
      <c r="I24" s="18">
        <v>51.34</v>
      </c>
      <c r="J24" s="19">
        <f t="shared" ref="J24:J33" si="3">SUM(H24:I24)</f>
        <v>2051.34</v>
      </c>
      <c r="K24" s="14" t="s">
        <v>31</v>
      </c>
      <c r="L24" s="100" t="s">
        <v>32</v>
      </c>
      <c r="M24" s="20" t="s">
        <v>212</v>
      </c>
      <c r="N24" s="21">
        <v>20</v>
      </c>
      <c r="O24" s="107"/>
      <c r="P24" s="22">
        <v>46447</v>
      </c>
      <c r="Q24" s="105">
        <f t="shared" si="1"/>
        <v>0</v>
      </c>
      <c r="R24" s="107"/>
      <c r="S24" s="107"/>
      <c r="T24" s="107"/>
      <c r="U24" s="107"/>
      <c r="V24" s="107"/>
    </row>
    <row r="25" spans="1:22" s="12" customFormat="1" ht="19.149999999999999" customHeight="1" x14ac:dyDescent="0.2">
      <c r="A25" s="141"/>
      <c r="B25" s="139" t="str">
        <f>TEXT(B23/A23, "0.00%")</f>
        <v>5.08%</v>
      </c>
      <c r="C25" s="142">
        <f>SUMPRODUCT(H2:H500, E2:E500) / SUM(H2:H500)</f>
        <v>3.6864654333008762</v>
      </c>
      <c r="D25" s="107"/>
      <c r="E25" s="14">
        <v>6</v>
      </c>
      <c r="F25" s="24"/>
      <c r="G25" s="25">
        <v>45594</v>
      </c>
      <c r="H25" s="17">
        <v>1000</v>
      </c>
      <c r="I25" s="18">
        <v>53.9</v>
      </c>
      <c r="J25" s="19">
        <f t="shared" si="3"/>
        <v>1053.9000000000001</v>
      </c>
      <c r="K25" s="14" t="s">
        <v>31</v>
      </c>
      <c r="L25" s="100"/>
      <c r="M25" s="20" t="s">
        <v>212</v>
      </c>
      <c r="N25" s="21">
        <v>14</v>
      </c>
      <c r="O25" s="107"/>
      <c r="P25" s="22">
        <v>46478</v>
      </c>
      <c r="Q25" s="105">
        <f t="shared" si="1"/>
        <v>0</v>
      </c>
      <c r="R25" s="107"/>
      <c r="S25" s="107"/>
      <c r="T25" s="107"/>
      <c r="U25" s="107"/>
      <c r="V25" s="107"/>
    </row>
    <row r="26" spans="1:22" s="12" customFormat="1" ht="19.149999999999999" customHeight="1" x14ac:dyDescent="0.2">
      <c r="A26" s="122" t="s">
        <v>53</v>
      </c>
      <c r="B26" s="123" t="s">
        <v>54</v>
      </c>
      <c r="C26" s="116" t="s">
        <v>55</v>
      </c>
      <c r="D26" s="107"/>
      <c r="E26" s="14">
        <v>3</v>
      </c>
      <c r="F26" s="24"/>
      <c r="G26" s="25">
        <v>45598</v>
      </c>
      <c r="H26" s="17">
        <v>1000</v>
      </c>
      <c r="I26" s="18">
        <v>32.72</v>
      </c>
      <c r="J26" s="19">
        <f t="shared" si="3"/>
        <v>1032.72</v>
      </c>
      <c r="K26" s="14" t="s">
        <v>31</v>
      </c>
      <c r="L26" s="100"/>
      <c r="M26" s="20" t="s">
        <v>212</v>
      </c>
      <c r="N26" s="21">
        <v>17</v>
      </c>
      <c r="O26" s="107"/>
      <c r="P26" s="22">
        <v>46508</v>
      </c>
      <c r="Q26" s="105">
        <f t="shared" si="1"/>
        <v>0</v>
      </c>
      <c r="R26" s="107"/>
      <c r="S26" s="107"/>
      <c r="T26" s="107"/>
      <c r="U26" s="107"/>
      <c r="V26" s="107"/>
    </row>
    <row r="27" spans="1:22" s="12" customFormat="1" ht="19.149999999999999" customHeight="1" x14ac:dyDescent="0.2">
      <c r="A27" s="143">
        <f ca="1">COUNTIF(K2:K300, "CHECK!")</f>
        <v>11</v>
      </c>
      <c r="B27" s="143">
        <f ca="1">COUNTIF(K2:K300, "WAITING")</f>
        <v>0</v>
      </c>
      <c r="C27" s="143">
        <f ca="1">COUNTIF(K2:K300, "Paid")</f>
        <v>76</v>
      </c>
      <c r="D27" s="107"/>
      <c r="E27" s="14">
        <v>3</v>
      </c>
      <c r="F27" s="24"/>
      <c r="G27" s="25">
        <v>45599</v>
      </c>
      <c r="H27" s="17">
        <v>1000</v>
      </c>
      <c r="I27" s="18">
        <v>40.42</v>
      </c>
      <c r="J27" s="19">
        <f t="shared" si="3"/>
        <v>1040.42</v>
      </c>
      <c r="K27" s="14" t="s">
        <v>31</v>
      </c>
      <c r="L27" s="100"/>
      <c r="M27" s="20" t="s">
        <v>212</v>
      </c>
      <c r="N27" s="21">
        <v>21</v>
      </c>
      <c r="O27" s="107"/>
      <c r="P27" s="22">
        <v>46539</v>
      </c>
      <c r="Q27" s="105">
        <f t="shared" si="1"/>
        <v>0</v>
      </c>
      <c r="R27" s="107"/>
      <c r="S27" s="107"/>
      <c r="T27" s="107"/>
      <c r="U27" s="107"/>
      <c r="V27" s="107"/>
    </row>
    <row r="28" spans="1:22" s="12" customFormat="1" ht="19.149999999999999" customHeight="1" x14ac:dyDescent="0.2">
      <c r="A28" s="177"/>
      <c r="B28" s="177"/>
      <c r="C28" s="177"/>
      <c r="D28" s="107"/>
      <c r="E28" s="14">
        <v>3</v>
      </c>
      <c r="F28" s="24"/>
      <c r="G28" s="25">
        <v>45601</v>
      </c>
      <c r="H28" s="17">
        <v>3000</v>
      </c>
      <c r="I28" s="18">
        <v>103.95</v>
      </c>
      <c r="J28" s="19">
        <f t="shared" si="3"/>
        <v>3103.95</v>
      </c>
      <c r="K28" s="14" t="s">
        <v>31</v>
      </c>
      <c r="L28" s="100"/>
      <c r="M28" s="20" t="s">
        <v>212</v>
      </c>
      <c r="N28" s="21">
        <v>18</v>
      </c>
      <c r="O28" s="107"/>
      <c r="P28" s="22">
        <v>46569</v>
      </c>
      <c r="Q28" s="105">
        <f t="shared" si="1"/>
        <v>0</v>
      </c>
      <c r="R28" s="107"/>
      <c r="S28" s="107"/>
      <c r="T28" s="107"/>
      <c r="U28" s="107"/>
      <c r="V28" s="107"/>
    </row>
    <row r="29" spans="1:22" s="12" customFormat="1" ht="19.149999999999999" customHeight="1" x14ac:dyDescent="0.2">
      <c r="A29" s="177"/>
      <c r="B29" s="177"/>
      <c r="C29" s="177"/>
      <c r="D29" s="107"/>
      <c r="E29" s="14">
        <v>2</v>
      </c>
      <c r="F29" s="24"/>
      <c r="G29" s="25">
        <v>45605</v>
      </c>
      <c r="H29" s="17">
        <v>1000</v>
      </c>
      <c r="I29" s="18">
        <v>32.65</v>
      </c>
      <c r="J29" s="19">
        <f t="shared" si="3"/>
        <v>1032.6500000000001</v>
      </c>
      <c r="K29" s="14" t="s">
        <v>31</v>
      </c>
      <c r="L29" s="100"/>
      <c r="M29" s="20" t="s">
        <v>212</v>
      </c>
      <c r="N29" s="21">
        <v>18</v>
      </c>
      <c r="O29" s="107"/>
      <c r="P29" s="22">
        <v>46600</v>
      </c>
      <c r="Q29" s="105">
        <f t="shared" si="1"/>
        <v>0</v>
      </c>
      <c r="R29" s="107"/>
      <c r="S29" s="107"/>
      <c r="T29" s="107"/>
      <c r="U29" s="107"/>
      <c r="V29" s="107"/>
    </row>
    <row r="30" spans="1:22" s="12" customFormat="1" ht="19.149999999999999" customHeight="1" x14ac:dyDescent="0.2">
      <c r="A30" s="144" t="s">
        <v>161</v>
      </c>
      <c r="B30" s="144" t="s">
        <v>162</v>
      </c>
      <c r="C30" s="144" t="s">
        <v>163</v>
      </c>
      <c r="D30" s="107"/>
      <c r="E30" s="14">
        <v>3</v>
      </c>
      <c r="F30" s="24"/>
      <c r="G30" s="25">
        <v>45607</v>
      </c>
      <c r="H30" s="17">
        <v>2000</v>
      </c>
      <c r="I30" s="18">
        <v>57.75</v>
      </c>
      <c r="J30" s="19">
        <f t="shared" si="3"/>
        <v>2057.75</v>
      </c>
      <c r="K30" s="14" t="s">
        <v>31</v>
      </c>
      <c r="L30" s="100"/>
      <c r="M30" s="20" t="s">
        <v>212</v>
      </c>
      <c r="N30" s="21">
        <v>15</v>
      </c>
      <c r="O30" s="107"/>
      <c r="P30" s="22">
        <v>46631</v>
      </c>
      <c r="Q30" s="105">
        <f t="shared" si="1"/>
        <v>0</v>
      </c>
      <c r="R30" s="107"/>
      <c r="S30" s="107"/>
      <c r="T30" s="107"/>
      <c r="U30" s="107"/>
      <c r="V30" s="107"/>
    </row>
    <row r="31" spans="1:22" s="12" customFormat="1" ht="19.149999999999999" customHeight="1" x14ac:dyDescent="0.2">
      <c r="A31" s="143">
        <f>SUMIFS(H2:H167,G2:G167,"&lt;&gt;")</f>
        <v>179400</v>
      </c>
      <c r="B31" s="143">
        <f>SUMIFS(I2:I167,G2:G167,"&lt;&gt;")</f>
        <v>7155.9</v>
      </c>
      <c r="C31" s="143">
        <f>A31+B31</f>
        <v>186555.9</v>
      </c>
      <c r="D31" s="107"/>
      <c r="E31" s="14">
        <v>3</v>
      </c>
      <c r="F31" s="24"/>
      <c r="G31" s="25">
        <v>45608</v>
      </c>
      <c r="H31" s="17">
        <v>1400</v>
      </c>
      <c r="I31" s="18">
        <v>48.51</v>
      </c>
      <c r="J31" s="19">
        <f t="shared" si="3"/>
        <v>1448.51</v>
      </c>
      <c r="K31" s="14" t="s">
        <v>31</v>
      </c>
      <c r="L31" s="100"/>
      <c r="M31" s="20" t="s">
        <v>212</v>
      </c>
      <c r="N31" s="21">
        <v>18</v>
      </c>
      <c r="O31" s="107"/>
      <c r="P31" s="22">
        <v>46661</v>
      </c>
      <c r="Q31" s="105">
        <f t="shared" si="1"/>
        <v>0</v>
      </c>
      <c r="R31" s="107"/>
      <c r="S31" s="107"/>
      <c r="T31" s="107"/>
      <c r="U31" s="107"/>
      <c r="V31" s="107"/>
    </row>
    <row r="32" spans="1:22" s="12" customFormat="1" ht="19.149999999999999" customHeight="1" x14ac:dyDescent="0.2">
      <c r="A32" s="221" t="s">
        <v>163</v>
      </c>
      <c r="B32" s="221"/>
      <c r="C32" s="221"/>
      <c r="D32" s="107"/>
      <c r="E32" s="14">
        <v>4</v>
      </c>
      <c r="F32" s="24"/>
      <c r="G32" s="25">
        <v>45608</v>
      </c>
      <c r="H32" s="17">
        <v>1000</v>
      </c>
      <c r="I32" s="18">
        <v>38.5</v>
      </c>
      <c r="J32" s="19">
        <f t="shared" si="3"/>
        <v>1038.5</v>
      </c>
      <c r="K32" s="14" t="s">
        <v>31</v>
      </c>
      <c r="L32" s="100"/>
      <c r="M32" s="20" t="s">
        <v>212</v>
      </c>
      <c r="N32" s="21">
        <v>15</v>
      </c>
      <c r="O32" s="107"/>
      <c r="P32" s="22">
        <v>46692</v>
      </c>
      <c r="Q32" s="105">
        <f t="shared" si="1"/>
        <v>0</v>
      </c>
      <c r="R32" s="107"/>
      <c r="S32" s="107"/>
      <c r="T32" s="107"/>
      <c r="U32" s="107"/>
      <c r="V32" s="107"/>
    </row>
    <row r="33" spans="1:22" s="12" customFormat="1" ht="19.149999999999999" customHeight="1" x14ac:dyDescent="0.2">
      <c r="A33" s="220" t="s">
        <v>167</v>
      </c>
      <c r="B33" s="220"/>
      <c r="C33" s="220"/>
      <c r="D33" s="107"/>
      <c r="E33" s="14">
        <v>4</v>
      </c>
      <c r="F33" s="24"/>
      <c r="G33" s="25">
        <v>45610</v>
      </c>
      <c r="H33" s="17">
        <v>1000</v>
      </c>
      <c r="I33" s="18">
        <v>48.76</v>
      </c>
      <c r="J33" s="19">
        <f t="shared" si="3"/>
        <v>1048.76</v>
      </c>
      <c r="K33" s="14" t="s">
        <v>31</v>
      </c>
      <c r="L33" s="100"/>
      <c r="M33" s="20" t="s">
        <v>212</v>
      </c>
      <c r="N33" s="21">
        <v>19</v>
      </c>
      <c r="O33" s="107"/>
      <c r="P33" s="22">
        <v>46722</v>
      </c>
      <c r="Q33" s="105">
        <f t="shared" si="1"/>
        <v>0</v>
      </c>
      <c r="R33" s="107"/>
      <c r="S33" s="107"/>
      <c r="T33" s="107"/>
      <c r="U33" s="107"/>
      <c r="V33" s="107"/>
    </row>
    <row r="34" spans="1:22" s="12" customFormat="1" ht="19.149999999999999" customHeight="1" x14ac:dyDescent="0.2">
      <c r="A34" s="220" t="s">
        <v>169</v>
      </c>
      <c r="B34" s="220"/>
      <c r="C34" s="220"/>
      <c r="D34" s="107"/>
      <c r="E34" s="82">
        <v>4</v>
      </c>
      <c r="F34" s="83"/>
      <c r="G34" s="25">
        <v>45610</v>
      </c>
      <c r="H34" s="84">
        <v>1000</v>
      </c>
      <c r="I34" s="85">
        <v>41.06</v>
      </c>
      <c r="J34" s="19">
        <f t="shared" ref="J34" si="4">SUM(H34:I34)</f>
        <v>1041.06</v>
      </c>
      <c r="K34" s="14" t="s">
        <v>31</v>
      </c>
      <c r="L34" s="100"/>
      <c r="M34" s="20" t="s">
        <v>212</v>
      </c>
      <c r="N34" s="88">
        <v>16</v>
      </c>
      <c r="O34" s="107"/>
      <c r="P34" s="22">
        <v>46753</v>
      </c>
      <c r="Q34" s="105">
        <f t="shared" si="1"/>
        <v>0</v>
      </c>
      <c r="R34" s="107"/>
      <c r="S34" s="107"/>
      <c r="T34" s="107"/>
      <c r="U34" s="107"/>
      <c r="V34" s="107"/>
    </row>
    <row r="35" spans="1:22" s="12" customFormat="1" ht="19.149999999999999" customHeight="1" x14ac:dyDescent="0.2">
      <c r="A35" s="220" t="s">
        <v>239</v>
      </c>
      <c r="B35" s="220"/>
      <c r="C35" s="220"/>
      <c r="D35" s="107"/>
      <c r="E35" s="14">
        <v>3</v>
      </c>
      <c r="F35" s="24"/>
      <c r="G35" s="25">
        <v>45610</v>
      </c>
      <c r="H35" s="17">
        <v>5000</v>
      </c>
      <c r="I35" s="18">
        <v>225</v>
      </c>
      <c r="J35" s="19">
        <f t="shared" ref="J35:J84" si="5">SUM(H35:I35)</f>
        <v>5225</v>
      </c>
      <c r="K35" s="14" t="s">
        <v>31</v>
      </c>
      <c r="L35" s="100"/>
      <c r="M35" s="20" t="s">
        <v>212</v>
      </c>
      <c r="N35" s="21">
        <v>18</v>
      </c>
      <c r="O35" s="107"/>
      <c r="P35" s="22">
        <v>46784</v>
      </c>
      <c r="Q35" s="105">
        <f t="shared" si="1"/>
        <v>0</v>
      </c>
      <c r="R35" s="107"/>
      <c r="S35" s="107"/>
      <c r="T35" s="107"/>
      <c r="U35" s="107"/>
      <c r="V35" s="107"/>
    </row>
    <row r="36" spans="1:22" s="12" customFormat="1" ht="19.149999999999999" customHeight="1" x14ac:dyDescent="0.2">
      <c r="A36" s="220" t="s">
        <v>174</v>
      </c>
      <c r="B36" s="220"/>
      <c r="C36" s="220"/>
      <c r="D36" s="107"/>
      <c r="E36" s="14">
        <v>3</v>
      </c>
      <c r="F36" s="24"/>
      <c r="G36" s="25">
        <v>45613</v>
      </c>
      <c r="H36" s="17">
        <v>2000</v>
      </c>
      <c r="I36" s="18">
        <v>85</v>
      </c>
      <c r="J36" s="19">
        <f t="shared" si="5"/>
        <v>2085</v>
      </c>
      <c r="K36" s="14" t="s">
        <v>31</v>
      </c>
      <c r="L36" s="100"/>
      <c r="M36" s="20" t="s">
        <v>212</v>
      </c>
      <c r="N36" s="21">
        <v>17</v>
      </c>
      <c r="O36" s="107"/>
      <c r="P36" s="22">
        <v>46813</v>
      </c>
      <c r="Q36" s="105">
        <f t="shared" si="1"/>
        <v>0</v>
      </c>
      <c r="R36" s="107"/>
      <c r="S36" s="107"/>
      <c r="T36" s="107"/>
      <c r="U36" s="107"/>
      <c r="V36" s="107"/>
    </row>
    <row r="37" spans="1:22" s="12" customFormat="1" ht="19.149999999999999" customHeight="1" x14ac:dyDescent="0.2">
      <c r="A37" s="220" t="s">
        <v>240</v>
      </c>
      <c r="B37" s="220"/>
      <c r="C37" s="220"/>
      <c r="D37" s="107"/>
      <c r="E37" s="14">
        <v>3</v>
      </c>
      <c r="F37" s="24"/>
      <c r="G37" s="25">
        <v>45623</v>
      </c>
      <c r="H37" s="17">
        <v>5000</v>
      </c>
      <c r="I37" s="18">
        <v>144.38</v>
      </c>
      <c r="J37" s="19">
        <f t="shared" si="5"/>
        <v>5144.38</v>
      </c>
      <c r="K37" s="14" t="s">
        <v>31</v>
      </c>
      <c r="L37" s="100"/>
      <c r="M37" s="20" t="s">
        <v>212</v>
      </c>
      <c r="N37" s="21">
        <v>15</v>
      </c>
      <c r="O37" s="107"/>
      <c r="P37" s="22">
        <v>46844</v>
      </c>
      <c r="Q37" s="105">
        <f t="shared" si="1"/>
        <v>0</v>
      </c>
      <c r="R37" s="107"/>
      <c r="S37" s="107"/>
      <c r="T37" s="107"/>
      <c r="U37" s="107"/>
      <c r="V37" s="107"/>
    </row>
    <row r="38" spans="1:22" s="12" customFormat="1" ht="19.149999999999999" customHeight="1" x14ac:dyDescent="0.2">
      <c r="A38" s="231"/>
      <c r="B38" s="231"/>
      <c r="C38" s="231"/>
      <c r="D38" s="107"/>
      <c r="E38" s="14">
        <v>6</v>
      </c>
      <c r="F38" s="24"/>
      <c r="G38" s="25">
        <v>45625</v>
      </c>
      <c r="H38" s="17">
        <v>1000</v>
      </c>
      <c r="I38" s="18">
        <v>53.9</v>
      </c>
      <c r="J38" s="19">
        <f t="shared" si="5"/>
        <v>1053.9000000000001</v>
      </c>
      <c r="K38" s="14" t="s">
        <v>31</v>
      </c>
      <c r="L38" s="100"/>
      <c r="M38" s="20" t="s">
        <v>212</v>
      </c>
      <c r="N38" s="21">
        <v>14</v>
      </c>
      <c r="O38" s="107"/>
      <c r="P38" s="22">
        <v>46874</v>
      </c>
      <c r="Q38" s="105">
        <f t="shared" si="1"/>
        <v>0</v>
      </c>
      <c r="R38" s="107"/>
      <c r="S38" s="107"/>
      <c r="T38" s="107"/>
      <c r="U38" s="107"/>
      <c r="V38" s="107"/>
    </row>
    <row r="39" spans="1:22" s="12" customFormat="1" ht="19.149999999999999" customHeight="1" x14ac:dyDescent="0.2">
      <c r="A39" s="220" t="s">
        <v>37</v>
      </c>
      <c r="B39" s="220"/>
      <c r="C39" s="220"/>
      <c r="D39" s="107"/>
      <c r="E39" s="14">
        <v>5</v>
      </c>
      <c r="F39" s="24"/>
      <c r="G39" s="25">
        <v>45632</v>
      </c>
      <c r="H39" s="17">
        <v>1000</v>
      </c>
      <c r="I39" s="18">
        <v>67.37</v>
      </c>
      <c r="J39" s="19">
        <f t="shared" si="5"/>
        <v>1067.3699999999999</v>
      </c>
      <c r="K39" s="14" t="s">
        <v>31</v>
      </c>
      <c r="L39" s="100"/>
      <c r="M39" s="20" t="s">
        <v>212</v>
      </c>
      <c r="N39" s="21">
        <v>21</v>
      </c>
      <c r="O39" s="107"/>
      <c r="P39" s="22">
        <v>46905</v>
      </c>
      <c r="Q39" s="105">
        <f t="shared" si="1"/>
        <v>0</v>
      </c>
      <c r="R39" s="107"/>
      <c r="S39" s="107"/>
      <c r="T39" s="107"/>
      <c r="U39" s="107"/>
      <c r="V39" s="107"/>
    </row>
    <row r="40" spans="1:22" s="12" customFormat="1" ht="19.149999999999999" customHeight="1" x14ac:dyDescent="0.2">
      <c r="A40" s="220" t="s">
        <v>38</v>
      </c>
      <c r="B40" s="220"/>
      <c r="C40" s="220"/>
      <c r="D40" s="107"/>
      <c r="E40" s="14">
        <v>5</v>
      </c>
      <c r="F40" s="24"/>
      <c r="G40" s="25">
        <v>45632</v>
      </c>
      <c r="H40" s="17">
        <v>1000</v>
      </c>
      <c r="I40" s="18">
        <v>48.12</v>
      </c>
      <c r="J40" s="19">
        <f t="shared" si="5"/>
        <v>1048.1199999999999</v>
      </c>
      <c r="K40" s="14" t="s">
        <v>31</v>
      </c>
      <c r="L40" s="100"/>
      <c r="M40" s="20" t="s">
        <v>212</v>
      </c>
      <c r="N40" s="21">
        <v>15</v>
      </c>
      <c r="O40" s="107"/>
      <c r="P40" s="22">
        <v>46935</v>
      </c>
      <c r="Q40" s="105">
        <f t="shared" si="1"/>
        <v>0</v>
      </c>
      <c r="R40" s="107"/>
      <c r="S40" s="107"/>
      <c r="T40" s="107"/>
      <c r="U40" s="107"/>
      <c r="V40" s="107"/>
    </row>
    <row r="41" spans="1:22" s="12" customFormat="1" ht="19.149999999999999" customHeight="1" x14ac:dyDescent="0.2">
      <c r="A41" s="221" t="s">
        <v>163</v>
      </c>
      <c r="B41" s="221"/>
      <c r="C41" s="221"/>
      <c r="D41" s="107"/>
      <c r="E41" s="14">
        <v>4</v>
      </c>
      <c r="F41" s="24"/>
      <c r="G41" s="25">
        <v>45632</v>
      </c>
      <c r="H41" s="17">
        <v>1000</v>
      </c>
      <c r="I41" s="18">
        <v>57.75</v>
      </c>
      <c r="J41" s="19">
        <f t="shared" si="5"/>
        <v>1057.75</v>
      </c>
      <c r="K41" s="14" t="s">
        <v>31</v>
      </c>
      <c r="L41" s="100"/>
      <c r="M41" s="20" t="s">
        <v>212</v>
      </c>
      <c r="N41" s="21">
        <v>18</v>
      </c>
      <c r="O41" s="107"/>
      <c r="P41" s="22">
        <v>46966</v>
      </c>
      <c r="Q41" s="105">
        <f t="shared" si="1"/>
        <v>0</v>
      </c>
      <c r="R41" s="107"/>
      <c r="S41" s="107"/>
      <c r="T41" s="107"/>
      <c r="U41" s="107"/>
      <c r="V41" s="107"/>
    </row>
    <row r="42" spans="1:22" s="12" customFormat="1" ht="19.149999999999999" customHeight="1" x14ac:dyDescent="0.2">
      <c r="A42" s="221" t="s">
        <v>163</v>
      </c>
      <c r="B42" s="221"/>
      <c r="C42" s="221"/>
      <c r="D42" s="107"/>
      <c r="E42" s="14">
        <v>3</v>
      </c>
      <c r="F42" s="24"/>
      <c r="G42" s="25">
        <v>45634</v>
      </c>
      <c r="H42" s="17">
        <v>1000</v>
      </c>
      <c r="I42" s="18">
        <v>28.87</v>
      </c>
      <c r="J42" s="19">
        <f t="shared" si="5"/>
        <v>1028.8699999999999</v>
      </c>
      <c r="K42" s="14" t="s">
        <v>31</v>
      </c>
      <c r="L42" s="100"/>
      <c r="M42" s="20" t="s">
        <v>212</v>
      </c>
      <c r="N42" s="21">
        <v>15</v>
      </c>
      <c r="O42" s="107"/>
      <c r="P42" s="22">
        <v>46997</v>
      </c>
      <c r="Q42" s="105">
        <f t="shared" si="1"/>
        <v>0</v>
      </c>
      <c r="R42" s="107"/>
      <c r="S42" s="107"/>
      <c r="T42" s="107"/>
      <c r="U42" s="107"/>
      <c r="V42" s="107"/>
    </row>
    <row r="43" spans="1:22" s="12" customFormat="1" ht="19.149999999999999" customHeight="1" x14ac:dyDescent="0.2">
      <c r="A43" s="107"/>
      <c r="B43" s="107"/>
      <c r="C43" s="177"/>
      <c r="D43" s="107"/>
      <c r="E43" s="14">
        <v>4</v>
      </c>
      <c r="F43" s="24"/>
      <c r="G43" s="25">
        <v>45638</v>
      </c>
      <c r="H43" s="17">
        <v>2000</v>
      </c>
      <c r="I43" s="18">
        <v>107.8</v>
      </c>
      <c r="J43" s="19">
        <f t="shared" si="5"/>
        <v>2107.8000000000002</v>
      </c>
      <c r="K43" s="14" t="s">
        <v>31</v>
      </c>
      <c r="L43" s="100"/>
      <c r="M43" s="20" t="s">
        <v>212</v>
      </c>
      <c r="N43" s="21">
        <v>21</v>
      </c>
      <c r="O43" s="107"/>
      <c r="P43" s="22">
        <v>47027</v>
      </c>
      <c r="Q43" s="105">
        <f t="shared" si="1"/>
        <v>0</v>
      </c>
      <c r="R43" s="107"/>
      <c r="S43" s="107"/>
      <c r="T43" s="107"/>
      <c r="U43" s="107"/>
      <c r="V43" s="107"/>
    </row>
    <row r="44" spans="1:22" s="12" customFormat="1" ht="19.149999999999999" customHeight="1" x14ac:dyDescent="0.2">
      <c r="A44" s="74"/>
      <c r="B44" s="74"/>
      <c r="C44" s="74"/>
      <c r="D44" s="107"/>
      <c r="E44" s="14">
        <v>5</v>
      </c>
      <c r="F44" s="24"/>
      <c r="G44" s="25">
        <v>45640</v>
      </c>
      <c r="H44" s="17">
        <v>1000</v>
      </c>
      <c r="I44" s="18">
        <v>38.5</v>
      </c>
      <c r="J44" s="19">
        <f t="shared" si="5"/>
        <v>1038.5</v>
      </c>
      <c r="K44" s="14" t="s">
        <v>31</v>
      </c>
      <c r="L44" s="100"/>
      <c r="M44" s="20" t="s">
        <v>212</v>
      </c>
      <c r="N44" s="21">
        <v>12</v>
      </c>
      <c r="O44" s="107"/>
      <c r="P44" s="22">
        <v>47058</v>
      </c>
      <c r="Q44" s="105">
        <f t="shared" si="1"/>
        <v>0</v>
      </c>
      <c r="R44" s="107"/>
      <c r="S44" s="107"/>
      <c r="T44" s="107"/>
      <c r="U44" s="107"/>
      <c r="V44" s="107"/>
    </row>
    <row r="45" spans="1:22" s="12" customFormat="1" ht="19.149999999999999" customHeight="1" x14ac:dyDescent="0.2">
      <c r="A45" s="220"/>
      <c r="B45" s="220"/>
      <c r="C45" s="220"/>
      <c r="D45" s="107"/>
      <c r="E45" s="14">
        <v>4</v>
      </c>
      <c r="F45" s="24"/>
      <c r="G45" s="25">
        <v>45640</v>
      </c>
      <c r="H45" s="17">
        <v>1000</v>
      </c>
      <c r="I45" s="18">
        <v>48.12</v>
      </c>
      <c r="J45" s="19">
        <f t="shared" si="5"/>
        <v>1048.1199999999999</v>
      </c>
      <c r="K45" s="14" t="s">
        <v>31</v>
      </c>
      <c r="L45" s="100" t="s">
        <v>32</v>
      </c>
      <c r="M45" s="20" t="s">
        <v>212</v>
      </c>
      <c r="N45" s="21">
        <v>15</v>
      </c>
      <c r="O45" s="107"/>
      <c r="P45" s="22">
        <v>47088</v>
      </c>
      <c r="Q45" s="105">
        <f t="shared" si="1"/>
        <v>0</v>
      </c>
      <c r="R45" s="107"/>
      <c r="S45" s="107"/>
      <c r="T45" s="107"/>
      <c r="U45" s="107"/>
      <c r="V45" s="107"/>
    </row>
    <row r="46" spans="1:22" s="12" customFormat="1" ht="19.149999999999999" customHeight="1" x14ac:dyDescent="0.2">
      <c r="A46" s="220"/>
      <c r="B46" s="220"/>
      <c r="C46" s="220"/>
      <c r="D46" s="107"/>
      <c r="E46" s="14">
        <v>4</v>
      </c>
      <c r="F46" s="24"/>
      <c r="G46" s="25">
        <v>45643</v>
      </c>
      <c r="H46" s="17">
        <v>2000</v>
      </c>
      <c r="I46" s="18">
        <v>120</v>
      </c>
      <c r="J46" s="19">
        <f t="shared" si="5"/>
        <v>2120</v>
      </c>
      <c r="K46" s="14" t="s">
        <v>31</v>
      </c>
      <c r="L46" s="100"/>
      <c r="M46" s="20" t="s">
        <v>212</v>
      </c>
      <c r="N46" s="21">
        <v>18</v>
      </c>
      <c r="O46" s="107"/>
      <c r="P46" s="22">
        <v>47119</v>
      </c>
      <c r="Q46" s="105">
        <f t="shared" si="1"/>
        <v>0</v>
      </c>
      <c r="R46" s="107"/>
      <c r="S46" s="107"/>
      <c r="T46" s="107"/>
      <c r="U46" s="107"/>
      <c r="V46" s="107"/>
    </row>
    <row r="47" spans="1:22" s="12" customFormat="1" ht="19.149999999999999" customHeight="1" x14ac:dyDescent="0.2">
      <c r="A47" s="220"/>
      <c r="B47" s="220"/>
      <c r="C47" s="220"/>
      <c r="D47" s="107"/>
      <c r="E47" s="14">
        <v>4</v>
      </c>
      <c r="F47" s="24"/>
      <c r="G47" s="25">
        <v>45643</v>
      </c>
      <c r="H47" s="17">
        <v>2000</v>
      </c>
      <c r="I47" s="18">
        <v>100</v>
      </c>
      <c r="J47" s="19">
        <f t="shared" si="5"/>
        <v>2100</v>
      </c>
      <c r="K47" s="14" t="s">
        <v>31</v>
      </c>
      <c r="L47" s="100"/>
      <c r="M47" s="20" t="s">
        <v>212</v>
      </c>
      <c r="N47" s="21">
        <v>15</v>
      </c>
      <c r="O47" s="107"/>
      <c r="P47" s="22">
        <v>47150</v>
      </c>
      <c r="Q47" s="105">
        <f t="shared" si="1"/>
        <v>0</v>
      </c>
      <c r="R47" s="107"/>
      <c r="S47" s="107"/>
      <c r="T47" s="107"/>
      <c r="U47" s="107"/>
      <c r="V47" s="107"/>
    </row>
    <row r="48" spans="1:22" s="12" customFormat="1" ht="19.149999999999999" customHeight="1" x14ac:dyDescent="0.2">
      <c r="A48" s="220"/>
      <c r="B48" s="220"/>
      <c r="C48" s="220"/>
      <c r="D48" s="107"/>
      <c r="E48" s="14">
        <v>3</v>
      </c>
      <c r="F48" s="24"/>
      <c r="G48" s="25">
        <v>45645</v>
      </c>
      <c r="H48" s="17">
        <v>1000</v>
      </c>
      <c r="I48" s="18">
        <v>51.78</v>
      </c>
      <c r="J48" s="19">
        <f t="shared" si="5"/>
        <v>1051.78</v>
      </c>
      <c r="K48" s="14" t="s">
        <v>31</v>
      </c>
      <c r="L48" s="100"/>
      <c r="M48" s="20" t="s">
        <v>212</v>
      </c>
      <c r="N48" s="21">
        <v>21</v>
      </c>
      <c r="O48" s="107"/>
      <c r="P48" s="22">
        <v>47178</v>
      </c>
      <c r="Q48" s="105">
        <f t="shared" si="1"/>
        <v>0</v>
      </c>
      <c r="R48" s="107"/>
      <c r="S48" s="107"/>
      <c r="T48" s="107"/>
      <c r="U48" s="107"/>
      <c r="V48" s="107"/>
    </row>
    <row r="49" spans="1:22" s="12" customFormat="1" ht="19.149999999999999" customHeight="1" x14ac:dyDescent="0.2">
      <c r="A49" s="220"/>
      <c r="B49" s="220"/>
      <c r="C49" s="220"/>
      <c r="D49" s="107"/>
      <c r="E49" s="14">
        <v>4</v>
      </c>
      <c r="F49" s="24"/>
      <c r="G49" s="25">
        <v>45649</v>
      </c>
      <c r="H49" s="17">
        <v>2000</v>
      </c>
      <c r="I49" s="18">
        <v>80</v>
      </c>
      <c r="J49" s="19">
        <f t="shared" si="5"/>
        <v>2080</v>
      </c>
      <c r="K49" s="14" t="s">
        <v>31</v>
      </c>
      <c r="L49" s="100"/>
      <c r="M49" s="20" t="s">
        <v>212</v>
      </c>
      <c r="N49" s="21">
        <v>12</v>
      </c>
      <c r="O49" s="107"/>
      <c r="P49" s="22">
        <v>47209</v>
      </c>
      <c r="Q49" s="105">
        <f t="shared" si="1"/>
        <v>0</v>
      </c>
      <c r="R49" s="107"/>
      <c r="S49" s="107"/>
      <c r="T49" s="107"/>
      <c r="U49" s="107"/>
      <c r="V49" s="107"/>
    </row>
    <row r="50" spans="1:22" s="12" customFormat="1" ht="19.149999999999999" customHeight="1" x14ac:dyDescent="0.2">
      <c r="A50" s="231"/>
      <c r="B50" s="231"/>
      <c r="C50" s="231"/>
      <c r="D50" s="107"/>
      <c r="E50" s="14">
        <v>4</v>
      </c>
      <c r="F50" s="24"/>
      <c r="G50" s="25">
        <v>45649</v>
      </c>
      <c r="H50" s="17">
        <v>2000</v>
      </c>
      <c r="I50" s="18">
        <v>80</v>
      </c>
      <c r="J50" s="19">
        <f t="shared" si="5"/>
        <v>2080</v>
      </c>
      <c r="K50" s="14" t="s">
        <v>31</v>
      </c>
      <c r="L50" s="100" t="s">
        <v>32</v>
      </c>
      <c r="M50" s="20" t="s">
        <v>212</v>
      </c>
      <c r="N50" s="21">
        <v>12</v>
      </c>
      <c r="O50" s="107"/>
      <c r="P50" s="22">
        <v>47239</v>
      </c>
      <c r="Q50" s="105">
        <f t="shared" si="1"/>
        <v>0</v>
      </c>
      <c r="R50" s="107"/>
      <c r="S50" s="107"/>
      <c r="T50" s="107"/>
      <c r="U50" s="107"/>
      <c r="V50" s="107"/>
    </row>
    <row r="51" spans="1:22" s="12" customFormat="1" ht="19.149999999999999" customHeight="1" x14ac:dyDescent="0.2">
      <c r="A51" s="220"/>
      <c r="B51" s="220"/>
      <c r="C51" s="220"/>
      <c r="D51" s="107"/>
      <c r="E51" s="14">
        <v>4</v>
      </c>
      <c r="F51" s="24"/>
      <c r="G51" s="25">
        <v>45653</v>
      </c>
      <c r="H51" s="17">
        <v>2000</v>
      </c>
      <c r="I51" s="18">
        <v>61.6</v>
      </c>
      <c r="J51" s="19">
        <f t="shared" si="5"/>
        <v>2061.6</v>
      </c>
      <c r="K51" s="14" t="s">
        <v>31</v>
      </c>
      <c r="L51" s="100"/>
      <c r="M51" s="20" t="s">
        <v>212</v>
      </c>
      <c r="N51" s="21">
        <v>12</v>
      </c>
      <c r="O51" s="107"/>
      <c r="P51" s="22">
        <v>47270</v>
      </c>
      <c r="Q51" s="105">
        <f t="shared" si="1"/>
        <v>0</v>
      </c>
      <c r="R51" s="107"/>
      <c r="S51" s="107"/>
      <c r="T51" s="107"/>
      <c r="U51" s="107"/>
      <c r="V51" s="107"/>
    </row>
    <row r="52" spans="1:22" s="12" customFormat="1" ht="19.149999999999999" customHeight="1" x14ac:dyDescent="0.2">
      <c r="A52" s="220"/>
      <c r="B52" s="220"/>
      <c r="C52" s="220"/>
      <c r="D52" s="107"/>
      <c r="E52" s="14">
        <v>6</v>
      </c>
      <c r="F52" s="24"/>
      <c r="G52" s="25">
        <v>45655</v>
      </c>
      <c r="H52" s="17">
        <v>1000</v>
      </c>
      <c r="I52" s="18">
        <v>53.9</v>
      </c>
      <c r="J52" s="19">
        <f t="shared" si="5"/>
        <v>1053.9000000000001</v>
      </c>
      <c r="K52" s="14" t="s">
        <v>31</v>
      </c>
      <c r="L52" s="100"/>
      <c r="M52" s="20" t="s">
        <v>212</v>
      </c>
      <c r="N52" s="21">
        <v>14</v>
      </c>
      <c r="O52" s="107"/>
      <c r="P52" s="22">
        <v>47300</v>
      </c>
      <c r="Q52" s="105">
        <f t="shared" si="1"/>
        <v>0</v>
      </c>
      <c r="R52" s="107"/>
      <c r="S52" s="107"/>
      <c r="T52" s="107"/>
      <c r="U52" s="107"/>
      <c r="V52" s="107"/>
    </row>
    <row r="53" spans="1:22" s="12" customFormat="1" ht="19.149999999999999" customHeight="1" x14ac:dyDescent="0.2">
      <c r="A53" s="177"/>
      <c r="B53" s="177"/>
      <c r="C53" s="177"/>
      <c r="D53" s="107"/>
      <c r="E53" s="14">
        <v>6</v>
      </c>
      <c r="F53" s="24"/>
      <c r="G53" s="25">
        <v>45660</v>
      </c>
      <c r="H53" s="17">
        <v>2000</v>
      </c>
      <c r="I53" s="18">
        <v>115.5</v>
      </c>
      <c r="J53" s="19">
        <f t="shared" si="5"/>
        <v>2115.5</v>
      </c>
      <c r="K53" s="14" t="s">
        <v>31</v>
      </c>
      <c r="L53" s="100"/>
      <c r="M53" s="20" t="s">
        <v>212</v>
      </c>
      <c r="N53" s="21">
        <v>15</v>
      </c>
      <c r="O53" s="107"/>
      <c r="P53" s="22">
        <v>47331</v>
      </c>
      <c r="Q53" s="105">
        <f t="shared" si="1"/>
        <v>0</v>
      </c>
      <c r="R53" s="107"/>
      <c r="S53" s="107"/>
      <c r="T53" s="107"/>
      <c r="U53" s="107"/>
      <c r="V53" s="107"/>
    </row>
    <row r="54" spans="1:22" s="12" customFormat="1" ht="19.149999999999999" customHeight="1" x14ac:dyDescent="0.2">
      <c r="A54" s="177"/>
      <c r="B54" s="177"/>
      <c r="C54" s="177"/>
      <c r="D54" s="107"/>
      <c r="E54" s="14">
        <v>6</v>
      </c>
      <c r="F54" s="24"/>
      <c r="G54" s="25">
        <v>45667</v>
      </c>
      <c r="H54" s="17">
        <v>1000</v>
      </c>
      <c r="I54" s="18">
        <v>57.75</v>
      </c>
      <c r="J54" s="19">
        <f t="shared" si="5"/>
        <v>1057.75</v>
      </c>
      <c r="K54" s="14" t="s">
        <v>31</v>
      </c>
      <c r="L54" s="100"/>
      <c r="M54" s="20" t="s">
        <v>212</v>
      </c>
      <c r="N54" s="21">
        <v>15</v>
      </c>
      <c r="O54" s="107"/>
      <c r="P54" s="22">
        <v>47362</v>
      </c>
      <c r="Q54" s="105">
        <f t="shared" si="1"/>
        <v>0</v>
      </c>
      <c r="R54" s="107"/>
      <c r="S54" s="107"/>
      <c r="T54" s="107"/>
      <c r="U54" s="107"/>
      <c r="V54" s="107"/>
    </row>
    <row r="55" spans="1:22" s="12" customFormat="1" ht="19.149999999999999" customHeight="1" x14ac:dyDescent="0.2">
      <c r="A55" s="177"/>
      <c r="B55" s="177"/>
      <c r="C55" s="177"/>
      <c r="D55" s="107"/>
      <c r="E55" s="14">
        <v>5</v>
      </c>
      <c r="F55" s="24"/>
      <c r="G55" s="25">
        <v>45668</v>
      </c>
      <c r="H55" s="17">
        <v>2000</v>
      </c>
      <c r="I55" s="18">
        <v>109.09</v>
      </c>
      <c r="J55" s="19">
        <f t="shared" si="5"/>
        <v>2109.09</v>
      </c>
      <c r="K55" s="14" t="s">
        <v>31</v>
      </c>
      <c r="L55" s="100"/>
      <c r="M55" s="20" t="s">
        <v>212</v>
      </c>
      <c r="N55" s="21">
        <v>17</v>
      </c>
      <c r="O55" s="107"/>
      <c r="P55" s="22">
        <v>47392</v>
      </c>
      <c r="Q55" s="105">
        <f t="shared" si="1"/>
        <v>0</v>
      </c>
      <c r="R55" s="107"/>
      <c r="S55" s="107"/>
      <c r="T55" s="107"/>
      <c r="U55" s="107"/>
      <c r="V55" s="107"/>
    </row>
    <row r="56" spans="1:22" s="12" customFormat="1" ht="19.149999999999999" customHeight="1" x14ac:dyDescent="0.2">
      <c r="A56" s="107"/>
      <c r="B56" s="107"/>
      <c r="C56" s="107"/>
      <c r="D56" s="107"/>
      <c r="E56" s="14">
        <v>5</v>
      </c>
      <c r="F56" s="24"/>
      <c r="G56" s="25">
        <v>45673</v>
      </c>
      <c r="H56" s="17">
        <v>4000</v>
      </c>
      <c r="I56" s="18">
        <v>233.33</v>
      </c>
      <c r="J56" s="19">
        <f t="shared" si="5"/>
        <v>4233.33</v>
      </c>
      <c r="K56" s="14" t="s">
        <v>31</v>
      </c>
      <c r="L56" s="100"/>
      <c r="M56" s="20" t="s">
        <v>212</v>
      </c>
      <c r="N56" s="21">
        <v>14</v>
      </c>
      <c r="O56" s="107"/>
      <c r="P56" s="22">
        <v>47423</v>
      </c>
      <c r="Q56" s="105">
        <f t="shared" si="1"/>
        <v>0</v>
      </c>
      <c r="R56" s="107"/>
      <c r="S56" s="107"/>
      <c r="T56" s="107"/>
      <c r="U56" s="107"/>
      <c r="V56" s="107"/>
    </row>
    <row r="57" spans="1:22" s="12" customFormat="1" ht="19.149999999999999" customHeight="1" x14ac:dyDescent="0.2">
      <c r="A57" s="107"/>
      <c r="B57" s="107"/>
      <c r="C57" s="107"/>
      <c r="D57" s="107"/>
      <c r="E57" s="14">
        <v>2</v>
      </c>
      <c r="F57" s="24"/>
      <c r="G57" s="25">
        <v>45676</v>
      </c>
      <c r="H57" s="17">
        <v>1000</v>
      </c>
      <c r="I57" s="18">
        <v>24.39</v>
      </c>
      <c r="J57" s="19">
        <f t="shared" si="5"/>
        <v>1024.3900000000001</v>
      </c>
      <c r="K57" s="14" t="s">
        <v>31</v>
      </c>
      <c r="L57" s="100"/>
      <c r="M57" s="20" t="s">
        <v>212</v>
      </c>
      <c r="N57" s="21">
        <v>19</v>
      </c>
      <c r="O57" s="107"/>
      <c r="P57" s="22">
        <v>47453</v>
      </c>
      <c r="Q57" s="105">
        <f t="shared" si="1"/>
        <v>0</v>
      </c>
      <c r="R57" s="107"/>
      <c r="S57" s="107"/>
      <c r="T57" s="107"/>
      <c r="U57" s="107"/>
      <c r="V57" s="107"/>
    </row>
    <row r="58" spans="1:22" s="12" customFormat="1" ht="19.149999999999999" customHeight="1" x14ac:dyDescent="0.2">
      <c r="A58" s="107"/>
      <c r="B58" s="107"/>
      <c r="C58" s="107"/>
      <c r="D58" s="107"/>
      <c r="E58" s="14">
        <v>4</v>
      </c>
      <c r="F58" s="24"/>
      <c r="G58" s="25">
        <v>45679</v>
      </c>
      <c r="H58" s="17">
        <v>2000</v>
      </c>
      <c r="I58" s="18">
        <v>100</v>
      </c>
      <c r="J58" s="19">
        <f t="shared" si="5"/>
        <v>2100</v>
      </c>
      <c r="K58" s="14" t="s">
        <v>31</v>
      </c>
      <c r="L58" s="100"/>
      <c r="M58" s="20" t="s">
        <v>212</v>
      </c>
      <c r="N58" s="21">
        <v>12</v>
      </c>
      <c r="O58" s="107"/>
      <c r="P58" s="22">
        <v>47484</v>
      </c>
      <c r="Q58" s="105">
        <f t="shared" si="1"/>
        <v>0</v>
      </c>
      <c r="R58" s="107"/>
      <c r="S58" s="107"/>
      <c r="T58" s="107"/>
      <c r="U58" s="107"/>
      <c r="V58" s="107"/>
    </row>
    <row r="59" spans="1:22" s="12" customFormat="1" ht="19.149999999999999" customHeight="1" x14ac:dyDescent="0.2">
      <c r="A59" s="107"/>
      <c r="B59" s="107"/>
      <c r="C59" s="107"/>
      <c r="D59" s="107"/>
      <c r="E59" s="14">
        <v>2</v>
      </c>
      <c r="F59" s="24"/>
      <c r="G59" s="25">
        <v>45682</v>
      </c>
      <c r="H59" s="17">
        <v>10000</v>
      </c>
      <c r="I59" s="18">
        <v>192.5</v>
      </c>
      <c r="J59" s="19">
        <f t="shared" si="5"/>
        <v>10192.5</v>
      </c>
      <c r="K59" s="14" t="s">
        <v>31</v>
      </c>
      <c r="L59" s="100"/>
      <c r="M59" s="20" t="s">
        <v>212</v>
      </c>
      <c r="N59" s="21">
        <v>15</v>
      </c>
      <c r="O59" s="107"/>
      <c r="P59" s="22">
        <v>47515</v>
      </c>
      <c r="Q59" s="105">
        <f t="shared" si="1"/>
        <v>0</v>
      </c>
      <c r="R59" s="107"/>
      <c r="S59" s="107"/>
      <c r="T59" s="107"/>
      <c r="U59" s="107"/>
      <c r="V59" s="107"/>
    </row>
    <row r="60" spans="1:22" s="12" customFormat="1" ht="19.149999999999999" customHeight="1" x14ac:dyDescent="0.2">
      <c r="A60" s="107"/>
      <c r="B60" s="107"/>
      <c r="C60" s="107"/>
      <c r="D60" s="107"/>
      <c r="E60" s="14">
        <v>2</v>
      </c>
      <c r="F60" s="24"/>
      <c r="G60" s="25">
        <v>45682</v>
      </c>
      <c r="H60" s="17">
        <v>12000</v>
      </c>
      <c r="I60" s="18">
        <v>277.2</v>
      </c>
      <c r="J60" s="19">
        <f t="shared" si="5"/>
        <v>12277.2</v>
      </c>
      <c r="K60" s="14" t="s">
        <v>31</v>
      </c>
      <c r="L60" s="100"/>
      <c r="M60" s="20" t="s">
        <v>212</v>
      </c>
      <c r="N60" s="21">
        <v>18</v>
      </c>
      <c r="O60" s="107"/>
      <c r="P60" s="22">
        <v>47543</v>
      </c>
      <c r="Q60" s="105">
        <f t="shared" si="1"/>
        <v>0</v>
      </c>
      <c r="R60" s="107"/>
      <c r="S60" s="107"/>
      <c r="T60" s="107"/>
      <c r="U60" s="107"/>
      <c r="V60" s="107"/>
    </row>
    <row r="61" spans="1:22" s="12" customFormat="1" ht="19.149999999999999" customHeight="1" x14ac:dyDescent="0.2">
      <c r="A61" s="107"/>
      <c r="B61" s="107"/>
      <c r="C61" s="107"/>
      <c r="D61" s="107"/>
      <c r="E61" s="14">
        <v>4</v>
      </c>
      <c r="F61" s="24"/>
      <c r="G61" s="25">
        <v>45683</v>
      </c>
      <c r="H61" s="17">
        <v>5000</v>
      </c>
      <c r="I61" s="18">
        <v>240.63</v>
      </c>
      <c r="J61" s="19">
        <f t="shared" si="5"/>
        <v>5240.63</v>
      </c>
      <c r="K61" s="14" t="s">
        <v>31</v>
      </c>
      <c r="L61" s="100"/>
      <c r="M61" s="20" t="s">
        <v>212</v>
      </c>
      <c r="N61" s="21">
        <v>15</v>
      </c>
      <c r="O61" s="107"/>
      <c r="P61" s="22">
        <v>47574</v>
      </c>
      <c r="Q61" s="105">
        <f t="shared" si="1"/>
        <v>0</v>
      </c>
      <c r="R61" s="107"/>
      <c r="S61" s="107"/>
      <c r="T61" s="107"/>
      <c r="U61" s="107"/>
      <c r="V61" s="107"/>
    </row>
    <row r="62" spans="1:22" s="12" customFormat="1" ht="19.149999999999999" customHeight="1" x14ac:dyDescent="0.2">
      <c r="A62" s="107"/>
      <c r="B62" s="107"/>
      <c r="C62" s="107"/>
      <c r="D62" s="107"/>
      <c r="E62" s="14">
        <v>4</v>
      </c>
      <c r="F62" s="24"/>
      <c r="G62" s="25">
        <v>45683</v>
      </c>
      <c r="H62" s="17">
        <v>5000</v>
      </c>
      <c r="I62" s="18">
        <v>288.75</v>
      </c>
      <c r="J62" s="19">
        <f t="shared" si="5"/>
        <v>5288.75</v>
      </c>
      <c r="K62" s="14" t="s">
        <v>31</v>
      </c>
      <c r="L62" s="100"/>
      <c r="M62" s="20" t="s">
        <v>212</v>
      </c>
      <c r="N62" s="21">
        <v>18</v>
      </c>
      <c r="O62" s="107"/>
      <c r="P62" s="22">
        <v>47604</v>
      </c>
      <c r="Q62" s="105">
        <f t="shared" si="1"/>
        <v>0</v>
      </c>
      <c r="R62" s="107"/>
      <c r="S62" s="107"/>
      <c r="T62" s="107"/>
      <c r="U62" s="107"/>
      <c r="V62" s="107"/>
    </row>
    <row r="63" spans="1:22" s="12" customFormat="1" ht="19.149999999999999" customHeight="1" x14ac:dyDescent="0.2">
      <c r="A63" s="107"/>
      <c r="B63" s="107"/>
      <c r="C63" s="107"/>
      <c r="D63" s="107"/>
      <c r="E63" s="14">
        <v>6</v>
      </c>
      <c r="F63" s="24"/>
      <c r="G63" s="25">
        <v>45685</v>
      </c>
      <c r="H63" s="17">
        <v>1000</v>
      </c>
      <c r="I63" s="18">
        <v>65.45</v>
      </c>
      <c r="J63" s="19">
        <f t="shared" si="5"/>
        <v>1065.45</v>
      </c>
      <c r="K63" s="14" t="s">
        <v>31</v>
      </c>
      <c r="L63" s="100"/>
      <c r="M63" s="20" t="s">
        <v>212</v>
      </c>
      <c r="N63" s="21">
        <v>17</v>
      </c>
      <c r="O63" s="107"/>
      <c r="P63" s="22">
        <v>47635</v>
      </c>
      <c r="Q63" s="105">
        <f t="shared" si="1"/>
        <v>0</v>
      </c>
      <c r="R63" s="107"/>
      <c r="S63" s="107"/>
      <c r="T63" s="107"/>
      <c r="U63" s="107"/>
      <c r="V63" s="107"/>
    </row>
    <row r="64" spans="1:22" s="12" customFormat="1" ht="19.149999999999999" customHeight="1" x14ac:dyDescent="0.2">
      <c r="A64" s="107"/>
      <c r="B64" s="107"/>
      <c r="C64" s="107"/>
      <c r="D64" s="107"/>
      <c r="E64" s="14">
        <v>5</v>
      </c>
      <c r="F64" s="24"/>
      <c r="G64" s="25">
        <v>45686</v>
      </c>
      <c r="H64" s="17">
        <v>3000</v>
      </c>
      <c r="I64" s="18">
        <v>173.25</v>
      </c>
      <c r="J64" s="19">
        <f t="shared" si="5"/>
        <v>3173.25</v>
      </c>
      <c r="K64" s="14" t="s">
        <v>31</v>
      </c>
      <c r="L64" s="100"/>
      <c r="M64" s="20" t="s">
        <v>212</v>
      </c>
      <c r="N64" s="21">
        <v>18</v>
      </c>
      <c r="O64" s="107"/>
      <c r="P64" s="22">
        <v>47665</v>
      </c>
      <c r="Q64" s="105">
        <f t="shared" si="1"/>
        <v>0</v>
      </c>
      <c r="R64" s="107"/>
      <c r="S64" s="107"/>
      <c r="T64" s="107"/>
      <c r="U64" s="107"/>
      <c r="V64" s="107"/>
    </row>
    <row r="65" spans="1:22" s="12" customFormat="1" ht="19.149999999999999" customHeight="1" x14ac:dyDescent="0.2">
      <c r="A65" s="107"/>
      <c r="B65" s="107"/>
      <c r="C65" s="107"/>
      <c r="D65" s="107"/>
      <c r="E65" s="14">
        <v>6</v>
      </c>
      <c r="F65" s="24"/>
      <c r="G65" s="25">
        <v>45689</v>
      </c>
      <c r="H65" s="17">
        <v>1000</v>
      </c>
      <c r="I65" s="18">
        <v>69.3</v>
      </c>
      <c r="J65" s="19">
        <f t="shared" si="5"/>
        <v>1069.3</v>
      </c>
      <c r="K65" s="14" t="s">
        <v>31</v>
      </c>
      <c r="L65" s="100"/>
      <c r="M65" s="20" t="s">
        <v>212</v>
      </c>
      <c r="N65" s="21">
        <v>18</v>
      </c>
      <c r="O65" s="107"/>
      <c r="P65" s="22">
        <v>47696</v>
      </c>
      <c r="Q65" s="105">
        <f t="shared" si="1"/>
        <v>0</v>
      </c>
      <c r="R65" s="107"/>
      <c r="S65" s="107"/>
      <c r="T65" s="107"/>
      <c r="U65" s="107"/>
      <c r="V65" s="107"/>
    </row>
    <row r="66" spans="1:22" s="12" customFormat="1" ht="19.149999999999999" customHeight="1" x14ac:dyDescent="0.2">
      <c r="A66" s="107"/>
      <c r="B66" s="107"/>
      <c r="C66" s="107"/>
      <c r="D66" s="107"/>
      <c r="E66" s="14">
        <v>2</v>
      </c>
      <c r="F66" s="24"/>
      <c r="G66" s="25">
        <v>45691</v>
      </c>
      <c r="H66" s="17">
        <v>5000</v>
      </c>
      <c r="I66" s="18">
        <v>115.5</v>
      </c>
      <c r="J66" s="19">
        <f t="shared" si="5"/>
        <v>5115.5</v>
      </c>
      <c r="K66" s="14" t="s">
        <v>31</v>
      </c>
      <c r="L66" s="100"/>
      <c r="M66" s="20" t="s">
        <v>212</v>
      </c>
      <c r="N66" s="21">
        <v>19</v>
      </c>
      <c r="O66" s="107"/>
      <c r="P66" s="22">
        <v>47727</v>
      </c>
      <c r="Q66" s="105">
        <f t="shared" ref="Q66:Q68" si="6">SUMIFS(J$2:J$1000, F$2:F$1000, "&gt;=" &amp; DATE(YEAR(P66), MONTH(P66), 1), F$2:F$1000, "&lt;=" &amp; EOMONTH(P66, 0))</f>
        <v>0</v>
      </c>
      <c r="R66" s="107"/>
      <c r="S66" s="107"/>
      <c r="T66" s="107"/>
      <c r="U66" s="107"/>
      <c r="V66" s="107"/>
    </row>
    <row r="67" spans="1:22" s="12" customFormat="1" ht="19.149999999999999" customHeight="1" x14ac:dyDescent="0.2">
      <c r="A67" s="107"/>
      <c r="B67" s="107"/>
      <c r="C67" s="107"/>
      <c r="D67" s="107"/>
      <c r="E67" s="14">
        <v>6</v>
      </c>
      <c r="F67" s="24"/>
      <c r="G67" s="25">
        <v>45695</v>
      </c>
      <c r="H67" s="17">
        <v>4000</v>
      </c>
      <c r="I67" s="18">
        <v>231</v>
      </c>
      <c r="J67" s="19">
        <f t="shared" si="5"/>
        <v>4231</v>
      </c>
      <c r="K67" s="14" t="s">
        <v>31</v>
      </c>
      <c r="L67" s="100"/>
      <c r="M67" s="20" t="s">
        <v>212</v>
      </c>
      <c r="N67" s="21">
        <v>15</v>
      </c>
      <c r="O67" s="107"/>
      <c r="P67" s="22">
        <v>47757</v>
      </c>
      <c r="Q67" s="105">
        <f t="shared" si="6"/>
        <v>0</v>
      </c>
      <c r="R67" s="107"/>
      <c r="S67" s="107"/>
      <c r="T67" s="107"/>
      <c r="U67" s="107"/>
      <c r="V67" s="107"/>
    </row>
    <row r="68" spans="1:22" s="12" customFormat="1" ht="19.149999999999999" customHeight="1" x14ac:dyDescent="0.2">
      <c r="A68" s="107"/>
      <c r="B68" s="28"/>
      <c r="C68" s="107"/>
      <c r="D68" s="107"/>
      <c r="E68" s="14">
        <v>6</v>
      </c>
      <c r="F68" s="24"/>
      <c r="G68" s="25">
        <v>45696</v>
      </c>
      <c r="H68" s="17">
        <v>2000</v>
      </c>
      <c r="I68" s="18">
        <v>115.5</v>
      </c>
      <c r="J68" s="19">
        <f t="shared" si="5"/>
        <v>2115.5</v>
      </c>
      <c r="K68" s="14" t="s">
        <v>31</v>
      </c>
      <c r="L68" s="100"/>
      <c r="M68" s="20" t="s">
        <v>212</v>
      </c>
      <c r="N68" s="21">
        <v>15</v>
      </c>
      <c r="O68" s="107"/>
      <c r="P68" s="22">
        <v>47788</v>
      </c>
      <c r="Q68" s="105">
        <f t="shared" si="6"/>
        <v>0</v>
      </c>
      <c r="R68" s="107"/>
      <c r="S68" s="107"/>
      <c r="T68" s="107"/>
      <c r="U68" s="107"/>
      <c r="V68" s="107"/>
    </row>
    <row r="69" spans="1:22" s="12" customFormat="1" ht="19.149999999999999" customHeight="1" x14ac:dyDescent="0.2">
      <c r="A69" s="107"/>
      <c r="B69" s="107"/>
      <c r="C69" s="107"/>
      <c r="D69" s="107"/>
      <c r="E69" s="14">
        <v>2</v>
      </c>
      <c r="F69" s="24"/>
      <c r="G69" s="25">
        <v>45697</v>
      </c>
      <c r="H69" s="17">
        <v>10000</v>
      </c>
      <c r="I69" s="18">
        <v>192.5</v>
      </c>
      <c r="J69" s="19">
        <f t="shared" si="5"/>
        <v>10192.5</v>
      </c>
      <c r="K69" s="14" t="s">
        <v>31</v>
      </c>
      <c r="L69" s="100"/>
      <c r="M69" s="20" t="s">
        <v>212</v>
      </c>
      <c r="N69" s="21">
        <v>15</v>
      </c>
      <c r="O69" s="107"/>
      <c r="P69" s="22"/>
      <c r="Q69" s="26"/>
      <c r="R69" s="107"/>
      <c r="S69" s="107"/>
      <c r="T69" s="107"/>
      <c r="U69" s="107"/>
      <c r="V69" s="107"/>
    </row>
    <row r="70" spans="1:22" s="12" customFormat="1" ht="19.149999999999999" customHeight="1" x14ac:dyDescent="0.2">
      <c r="A70" s="107"/>
      <c r="B70" s="107"/>
      <c r="C70" s="107"/>
      <c r="D70" s="107"/>
      <c r="E70" s="14">
        <v>2</v>
      </c>
      <c r="F70" s="24"/>
      <c r="G70" s="25">
        <v>45704</v>
      </c>
      <c r="H70" s="17">
        <v>4000</v>
      </c>
      <c r="I70" s="18">
        <v>92.4</v>
      </c>
      <c r="J70" s="19">
        <f t="shared" si="5"/>
        <v>4092.4</v>
      </c>
      <c r="K70" s="14" t="s">
        <v>31</v>
      </c>
      <c r="L70" s="100"/>
      <c r="M70" s="20" t="s">
        <v>212</v>
      </c>
      <c r="N70" s="21">
        <v>18</v>
      </c>
      <c r="O70" s="107"/>
      <c r="P70" s="22"/>
      <c r="Q70" s="26"/>
      <c r="R70" s="107"/>
      <c r="S70" s="107"/>
      <c r="T70" s="107"/>
      <c r="U70" s="107"/>
      <c r="V70" s="107"/>
    </row>
    <row r="71" spans="1:22" s="12" customFormat="1" ht="19.149999999999999" customHeight="1" x14ac:dyDescent="0.2">
      <c r="A71" s="107"/>
      <c r="B71" s="107"/>
      <c r="C71" s="107"/>
      <c r="D71" s="107"/>
      <c r="E71" s="14">
        <v>6</v>
      </c>
      <c r="F71" s="24"/>
      <c r="G71" s="25">
        <v>45709</v>
      </c>
      <c r="H71" s="17">
        <v>1000</v>
      </c>
      <c r="I71" s="18">
        <v>80</v>
      </c>
      <c r="J71" s="19">
        <f t="shared" si="5"/>
        <v>1080</v>
      </c>
      <c r="K71" s="14" t="s">
        <v>31</v>
      </c>
      <c r="L71" s="100"/>
      <c r="M71" s="20" t="s">
        <v>212</v>
      </c>
      <c r="N71" s="21">
        <v>16</v>
      </c>
      <c r="O71" s="107"/>
      <c r="P71" s="22"/>
      <c r="Q71" s="23"/>
      <c r="R71" s="107"/>
      <c r="S71" s="107"/>
      <c r="T71" s="107"/>
      <c r="U71" s="107"/>
      <c r="V71" s="107"/>
    </row>
    <row r="72" spans="1:22" s="12" customFormat="1" ht="19.149999999999999" customHeight="1" x14ac:dyDescent="0.2">
      <c r="A72" s="107"/>
      <c r="B72" s="107"/>
      <c r="C72" s="107"/>
      <c r="D72" s="107"/>
      <c r="E72" s="14">
        <v>3</v>
      </c>
      <c r="F72" s="24"/>
      <c r="G72" s="25">
        <v>45736</v>
      </c>
      <c r="H72" s="17">
        <v>5000</v>
      </c>
      <c r="I72" s="18">
        <v>235.66</v>
      </c>
      <c r="J72" s="19">
        <f t="shared" si="5"/>
        <v>5235.66</v>
      </c>
      <c r="K72" s="14" t="s">
        <v>31</v>
      </c>
      <c r="L72" s="100"/>
      <c r="M72" s="20" t="s">
        <v>212</v>
      </c>
      <c r="N72" s="21">
        <v>21</v>
      </c>
      <c r="O72" s="107"/>
      <c r="P72" s="22"/>
      <c r="Q72" s="23"/>
      <c r="R72" s="107"/>
      <c r="S72" s="107"/>
      <c r="T72" s="107"/>
      <c r="U72" s="107"/>
      <c r="V72" s="107"/>
    </row>
    <row r="73" spans="1:22" s="12" customFormat="1" ht="19.149999999999999" customHeight="1" x14ac:dyDescent="0.2">
      <c r="A73" s="107"/>
      <c r="B73" s="107"/>
      <c r="C73" s="107"/>
      <c r="D73" s="107"/>
      <c r="E73" s="14">
        <v>3</v>
      </c>
      <c r="F73" s="24"/>
      <c r="G73" s="25">
        <v>45738</v>
      </c>
      <c r="H73" s="17">
        <v>5000</v>
      </c>
      <c r="I73" s="18">
        <v>134.75</v>
      </c>
      <c r="J73" s="19">
        <f t="shared" si="5"/>
        <v>5134.75</v>
      </c>
      <c r="K73" s="14" t="s">
        <v>31</v>
      </c>
      <c r="L73" s="100"/>
      <c r="M73" s="20" t="s">
        <v>212</v>
      </c>
      <c r="N73" s="21">
        <v>14</v>
      </c>
      <c r="O73" s="107"/>
      <c r="P73" s="22"/>
      <c r="Q73" s="23"/>
      <c r="R73" s="107"/>
      <c r="S73" s="107"/>
      <c r="T73" s="107"/>
      <c r="U73" s="107"/>
      <c r="V73" s="107"/>
    </row>
    <row r="74" spans="1:22" s="12" customFormat="1" ht="19.149999999999999" customHeight="1" x14ac:dyDescent="0.2">
      <c r="A74" s="107"/>
      <c r="B74" s="107"/>
      <c r="C74" s="107"/>
      <c r="D74" s="107"/>
      <c r="E74" s="14">
        <v>4</v>
      </c>
      <c r="F74" s="24"/>
      <c r="G74" s="25">
        <v>45747</v>
      </c>
      <c r="H74" s="17">
        <v>2000</v>
      </c>
      <c r="I74" s="18">
        <v>123.9</v>
      </c>
      <c r="J74" s="19">
        <f t="shared" si="5"/>
        <v>2123.9</v>
      </c>
      <c r="K74" s="14" t="s">
        <v>31</v>
      </c>
      <c r="L74" s="100"/>
      <c r="M74" s="20" t="s">
        <v>212</v>
      </c>
      <c r="N74" s="21">
        <v>21</v>
      </c>
      <c r="O74" s="107"/>
      <c r="P74" s="22"/>
      <c r="Q74" s="23"/>
      <c r="R74" s="107"/>
      <c r="S74" s="107"/>
      <c r="T74" s="107"/>
      <c r="U74" s="107"/>
      <c r="V74" s="107"/>
    </row>
    <row r="75" spans="1:22" s="12" customFormat="1" ht="19.149999999999999" customHeight="1" x14ac:dyDescent="0.2">
      <c r="A75" s="107"/>
      <c r="B75" s="107"/>
      <c r="C75" s="107"/>
      <c r="D75" s="107"/>
      <c r="E75" s="82">
        <v>4</v>
      </c>
      <c r="F75" s="83"/>
      <c r="G75" s="25">
        <v>45756</v>
      </c>
      <c r="H75" s="84">
        <v>1000</v>
      </c>
      <c r="I75" s="85">
        <v>53.9</v>
      </c>
      <c r="J75" s="86">
        <f t="shared" si="5"/>
        <v>1053.9000000000001</v>
      </c>
      <c r="K75" s="82" t="s">
        <v>31</v>
      </c>
      <c r="L75" s="100"/>
      <c r="M75" s="87" t="s">
        <v>212</v>
      </c>
      <c r="N75" s="88">
        <v>21</v>
      </c>
      <c r="O75" s="107"/>
      <c r="P75" s="22"/>
      <c r="Q75" s="23"/>
      <c r="R75" s="107"/>
      <c r="S75" s="107"/>
      <c r="T75" s="107"/>
      <c r="U75" s="107"/>
      <c r="V75" s="107"/>
    </row>
    <row r="76" spans="1:22" s="12" customFormat="1" ht="19.149999999999999" customHeight="1" x14ac:dyDescent="0.2">
      <c r="A76" s="107"/>
      <c r="B76" s="107"/>
      <c r="C76" s="107"/>
      <c r="D76" s="107"/>
      <c r="E76" s="14">
        <v>6</v>
      </c>
      <c r="F76" s="24">
        <v>45584</v>
      </c>
      <c r="G76" s="25"/>
      <c r="H76" s="17">
        <v>1000</v>
      </c>
      <c r="I76" s="18">
        <v>57.75</v>
      </c>
      <c r="J76" s="19">
        <f t="shared" si="5"/>
        <v>1057.75</v>
      </c>
      <c r="K76" s="56" t="str">
        <f ca="1">IF(F76&lt;=TODAY(),"Check!","Waiting")</f>
        <v>Check!</v>
      </c>
      <c r="L76" s="100" t="s">
        <v>34</v>
      </c>
      <c r="M76" s="20" t="s">
        <v>212</v>
      </c>
      <c r="N76" s="21">
        <v>15</v>
      </c>
      <c r="O76" s="107"/>
      <c r="P76" s="22"/>
      <c r="Q76" s="23"/>
      <c r="R76" s="107"/>
      <c r="S76" s="107"/>
      <c r="T76" s="107"/>
      <c r="U76" s="107"/>
      <c r="V76" s="107"/>
    </row>
    <row r="77" spans="1:22" s="12" customFormat="1" ht="19.149999999999999" customHeight="1" x14ac:dyDescent="0.2">
      <c r="A77" s="107"/>
      <c r="B77" s="107"/>
      <c r="C77" s="107"/>
      <c r="D77" s="107"/>
      <c r="E77" s="14">
        <v>5</v>
      </c>
      <c r="F77" s="24">
        <v>45588</v>
      </c>
      <c r="G77" s="25"/>
      <c r="H77" s="17">
        <v>1000</v>
      </c>
      <c r="I77" s="18">
        <v>57.75</v>
      </c>
      <c r="J77" s="19">
        <f t="shared" si="5"/>
        <v>1057.75</v>
      </c>
      <c r="K77" s="56" t="str">
        <f t="shared" ref="K77:K84" ca="1" si="7">IF(F77&lt;=TODAY(),"Check!","Waiting")</f>
        <v>Check!</v>
      </c>
      <c r="L77" s="100" t="s">
        <v>34</v>
      </c>
      <c r="M77" s="20" t="s">
        <v>212</v>
      </c>
      <c r="N77" s="21">
        <v>18</v>
      </c>
      <c r="O77" s="107"/>
      <c r="P77" s="22"/>
      <c r="Q77" s="23"/>
      <c r="R77" s="107"/>
      <c r="S77" s="107"/>
      <c r="T77" s="107"/>
      <c r="U77" s="107"/>
      <c r="V77" s="107"/>
    </row>
    <row r="78" spans="1:22" s="12" customFormat="1" ht="19.149999999999999" customHeight="1" x14ac:dyDescent="0.2">
      <c r="A78" s="107"/>
      <c r="B78" s="107"/>
      <c r="C78" s="107"/>
      <c r="D78" s="107"/>
      <c r="E78" s="82">
        <v>6</v>
      </c>
      <c r="F78" s="83">
        <v>45614</v>
      </c>
      <c r="G78" s="25"/>
      <c r="H78" s="84">
        <v>1000</v>
      </c>
      <c r="I78" s="85">
        <v>69.3</v>
      </c>
      <c r="J78" s="86">
        <f t="shared" si="5"/>
        <v>1069.3</v>
      </c>
      <c r="K78" s="56" t="str">
        <f t="shared" ca="1" si="7"/>
        <v>Check!</v>
      </c>
      <c r="L78" s="100" t="s">
        <v>34</v>
      </c>
      <c r="M78" s="87" t="s">
        <v>212</v>
      </c>
      <c r="N78" s="88">
        <v>18</v>
      </c>
      <c r="O78" s="107"/>
      <c r="P78" s="22"/>
      <c r="Q78" s="23"/>
      <c r="R78" s="107"/>
      <c r="S78" s="107"/>
      <c r="T78" s="107"/>
      <c r="U78" s="107"/>
      <c r="V78" s="107"/>
    </row>
    <row r="79" spans="1:22" s="12" customFormat="1" ht="19.149999999999999" customHeight="1" x14ac:dyDescent="0.2">
      <c r="A79" s="107"/>
      <c r="B79" s="107"/>
      <c r="C79" s="107"/>
      <c r="D79" s="107"/>
      <c r="E79" s="82">
        <v>6</v>
      </c>
      <c r="F79" s="83">
        <v>45622</v>
      </c>
      <c r="G79" s="25"/>
      <c r="H79" s="84">
        <v>1000</v>
      </c>
      <c r="I79" s="85">
        <v>69.3</v>
      </c>
      <c r="J79" s="19">
        <f t="shared" si="5"/>
        <v>1069.3</v>
      </c>
      <c r="K79" s="56" t="str">
        <f t="shared" ca="1" si="7"/>
        <v>Check!</v>
      </c>
      <c r="L79" s="100" t="s">
        <v>34</v>
      </c>
      <c r="M79" s="20" t="s">
        <v>212</v>
      </c>
      <c r="N79" s="88">
        <v>18</v>
      </c>
      <c r="O79" s="107"/>
      <c r="P79" s="22"/>
      <c r="Q79" s="23"/>
      <c r="R79" s="107"/>
      <c r="S79" s="107"/>
      <c r="T79" s="107"/>
      <c r="U79" s="107"/>
      <c r="V79" s="107"/>
    </row>
    <row r="80" spans="1:22" s="12" customFormat="1" ht="19.149999999999999" customHeight="1" x14ac:dyDescent="0.2">
      <c r="A80" s="107"/>
      <c r="B80" s="107"/>
      <c r="C80" s="107"/>
      <c r="D80" s="107"/>
      <c r="E80" s="82">
        <v>6</v>
      </c>
      <c r="F80" s="83"/>
      <c r="G80" s="25">
        <v>45960</v>
      </c>
      <c r="H80" s="84">
        <v>1000</v>
      </c>
      <c r="I80" s="85">
        <v>61.6</v>
      </c>
      <c r="J80" s="19">
        <f t="shared" si="5"/>
        <v>1061.5999999999999</v>
      </c>
      <c r="K80" s="56" t="s">
        <v>31</v>
      </c>
      <c r="L80" s="162" t="s">
        <v>104</v>
      </c>
      <c r="M80" s="20" t="s">
        <v>212</v>
      </c>
      <c r="N80" s="88">
        <v>16</v>
      </c>
      <c r="O80" s="107"/>
      <c r="P80" s="22"/>
      <c r="Q80" s="23"/>
      <c r="R80" s="107"/>
      <c r="S80" s="107"/>
      <c r="T80" s="107"/>
      <c r="U80" s="107"/>
      <c r="V80" s="107"/>
    </row>
    <row r="81" spans="1:22" s="12" customFormat="1" ht="19.149999999999999" customHeight="1" x14ac:dyDescent="0.2">
      <c r="A81" s="107"/>
      <c r="B81" s="107"/>
      <c r="C81" s="107"/>
      <c r="D81" s="107"/>
      <c r="E81" s="82">
        <v>6</v>
      </c>
      <c r="F81" s="83">
        <v>45678</v>
      </c>
      <c r="G81" s="25"/>
      <c r="H81" s="84">
        <v>1000</v>
      </c>
      <c r="I81" s="85">
        <v>69.3</v>
      </c>
      <c r="J81" s="86">
        <f t="shared" si="5"/>
        <v>1069.3</v>
      </c>
      <c r="K81" s="56" t="str">
        <f t="shared" ca="1" si="7"/>
        <v>Check!</v>
      </c>
      <c r="L81" s="100" t="s">
        <v>34</v>
      </c>
      <c r="M81" s="87" t="s">
        <v>212</v>
      </c>
      <c r="N81" s="88">
        <v>18</v>
      </c>
      <c r="O81" s="107"/>
      <c r="P81" s="22"/>
      <c r="Q81" s="23"/>
      <c r="R81" s="107"/>
      <c r="S81" s="107"/>
      <c r="T81" s="107"/>
      <c r="U81" s="107"/>
      <c r="V81" s="107"/>
    </row>
    <row r="82" spans="1:22" s="12" customFormat="1" ht="19.149999999999999" customHeight="1" x14ac:dyDescent="0.2">
      <c r="A82" s="107"/>
      <c r="B82" s="107"/>
      <c r="C82" s="107"/>
      <c r="D82" s="107"/>
      <c r="E82" s="82">
        <v>5</v>
      </c>
      <c r="F82" s="83">
        <v>45679</v>
      </c>
      <c r="G82" s="25"/>
      <c r="H82" s="84">
        <v>2000</v>
      </c>
      <c r="I82" s="85">
        <v>100</v>
      </c>
      <c r="J82" s="19">
        <f t="shared" si="5"/>
        <v>2100</v>
      </c>
      <c r="K82" s="56" t="str">
        <f t="shared" ca="1" si="7"/>
        <v>Check!</v>
      </c>
      <c r="L82" s="100" t="s">
        <v>34</v>
      </c>
      <c r="M82" s="20" t="s">
        <v>212</v>
      </c>
      <c r="N82" s="88">
        <v>12</v>
      </c>
      <c r="O82" s="107"/>
      <c r="P82" s="22"/>
      <c r="Q82" s="23"/>
      <c r="R82" s="107"/>
      <c r="S82" s="107"/>
      <c r="T82" s="107"/>
      <c r="U82" s="107"/>
      <c r="V82" s="107"/>
    </row>
    <row r="83" spans="1:22" s="12" customFormat="1" ht="19.149999999999999" customHeight="1" x14ac:dyDescent="0.2">
      <c r="A83" s="107"/>
      <c r="B83" s="107"/>
      <c r="C83" s="107"/>
      <c r="D83" s="107"/>
      <c r="E83" s="82">
        <v>5</v>
      </c>
      <c r="F83" s="83">
        <v>45682</v>
      </c>
      <c r="G83" s="25"/>
      <c r="H83" s="84">
        <v>4000</v>
      </c>
      <c r="I83" s="85">
        <v>192.5</v>
      </c>
      <c r="J83" s="19">
        <f t="shared" si="5"/>
        <v>4192.5</v>
      </c>
      <c r="K83" s="56" t="str">
        <f t="shared" ca="1" si="7"/>
        <v>Check!</v>
      </c>
      <c r="L83" s="100" t="s">
        <v>34</v>
      </c>
      <c r="M83" s="20" t="s">
        <v>212</v>
      </c>
      <c r="N83" s="88">
        <v>15</v>
      </c>
      <c r="O83" s="107"/>
      <c r="P83" s="22"/>
      <c r="Q83" s="23"/>
      <c r="R83" s="107"/>
      <c r="S83" s="107"/>
      <c r="T83" s="107"/>
      <c r="U83" s="107"/>
      <c r="V83" s="107"/>
    </row>
    <row r="84" spans="1:22" s="12" customFormat="1" ht="19.149999999999999" customHeight="1" x14ac:dyDescent="0.2">
      <c r="A84" s="107"/>
      <c r="B84" s="107"/>
      <c r="C84" s="107"/>
      <c r="D84" s="107"/>
      <c r="E84" s="82">
        <v>5</v>
      </c>
      <c r="F84" s="83">
        <v>45685</v>
      </c>
      <c r="G84" s="25"/>
      <c r="H84" s="84">
        <v>2000</v>
      </c>
      <c r="I84" s="85">
        <v>134.75</v>
      </c>
      <c r="J84" s="86">
        <f t="shared" si="5"/>
        <v>2134.75</v>
      </c>
      <c r="K84" s="56" t="str">
        <f t="shared" ca="1" si="7"/>
        <v>Check!</v>
      </c>
      <c r="L84" s="100" t="s">
        <v>34</v>
      </c>
      <c r="M84" s="87" t="s">
        <v>212</v>
      </c>
      <c r="N84" s="88">
        <v>21</v>
      </c>
      <c r="O84" s="107"/>
      <c r="P84" s="22"/>
      <c r="Q84" s="23"/>
      <c r="R84" s="107"/>
      <c r="S84" s="107"/>
      <c r="T84" s="107"/>
      <c r="U84" s="107"/>
      <c r="V84" s="107"/>
    </row>
    <row r="85" spans="1:22" s="12" customFormat="1" ht="19.149999999999999" customHeight="1" x14ac:dyDescent="0.2">
      <c r="A85" s="107"/>
      <c r="B85" s="107"/>
      <c r="C85" s="107"/>
      <c r="D85" s="107"/>
      <c r="E85" s="82">
        <v>2</v>
      </c>
      <c r="F85" s="83">
        <v>45703</v>
      </c>
      <c r="G85" s="25"/>
      <c r="H85" s="84">
        <v>2000</v>
      </c>
      <c r="I85" s="85">
        <v>51.34</v>
      </c>
      <c r="J85" s="19">
        <f t="shared" ref="J85:J88" si="8">SUM(H85:I85)</f>
        <v>2051.34</v>
      </c>
      <c r="K85" s="56" t="str">
        <f t="shared" ref="K85:K88" ca="1" si="9">IF(F85&lt;=TODAY(),"Check!","Waiting")</f>
        <v>Check!</v>
      </c>
      <c r="L85" s="100" t="s">
        <v>34</v>
      </c>
      <c r="M85" s="20" t="s">
        <v>212</v>
      </c>
      <c r="N85" s="88">
        <v>20</v>
      </c>
      <c r="O85" s="107"/>
      <c r="P85" s="22"/>
      <c r="Q85" s="23"/>
      <c r="R85" s="107"/>
      <c r="S85" s="107"/>
      <c r="T85" s="107"/>
      <c r="U85" s="107"/>
      <c r="V85" s="107"/>
    </row>
    <row r="86" spans="1:22" s="12" customFormat="1" ht="19.149999999999999" customHeight="1" x14ac:dyDescent="0.2">
      <c r="A86" s="107"/>
      <c r="B86" s="107"/>
      <c r="C86" s="107"/>
      <c r="D86" s="107"/>
      <c r="E86" s="82">
        <v>3</v>
      </c>
      <c r="F86" s="83">
        <v>45715</v>
      </c>
      <c r="G86" s="25"/>
      <c r="H86" s="84">
        <v>10000</v>
      </c>
      <c r="I86" s="85">
        <v>442.5</v>
      </c>
      <c r="J86" s="86">
        <f t="shared" si="8"/>
        <v>10442.5</v>
      </c>
      <c r="K86" s="56" t="str">
        <f t="shared" ca="1" si="9"/>
        <v>Check!</v>
      </c>
      <c r="L86" s="100" t="s">
        <v>34</v>
      </c>
      <c r="M86" s="20" t="s">
        <v>212</v>
      </c>
      <c r="N86" s="88">
        <v>20</v>
      </c>
      <c r="O86" s="107"/>
      <c r="P86" s="22"/>
      <c r="Q86" s="23"/>
      <c r="R86" s="107"/>
      <c r="S86" s="107"/>
      <c r="T86" s="107"/>
      <c r="U86" s="107"/>
      <c r="V86" s="107"/>
    </row>
    <row r="87" spans="1:22" s="12" customFormat="1" ht="19.149999999999999" customHeight="1" x14ac:dyDescent="0.2">
      <c r="A87" s="107"/>
      <c r="B87" s="107"/>
      <c r="C87" s="107"/>
      <c r="D87" s="107"/>
      <c r="E87" s="82">
        <v>4</v>
      </c>
      <c r="F87" s="83"/>
      <c r="G87" s="25">
        <v>45909</v>
      </c>
      <c r="H87" s="84">
        <v>5000</v>
      </c>
      <c r="I87" s="85">
        <v>295</v>
      </c>
      <c r="J87" s="19">
        <f t="shared" si="8"/>
        <v>5295</v>
      </c>
      <c r="K87" s="56" t="s">
        <v>31</v>
      </c>
      <c r="L87" s="100" t="s">
        <v>105</v>
      </c>
      <c r="M87" s="87" t="s">
        <v>212</v>
      </c>
      <c r="N87" s="88">
        <v>20</v>
      </c>
      <c r="O87" s="107"/>
      <c r="P87" s="22"/>
      <c r="Q87" s="23"/>
      <c r="R87" s="107"/>
      <c r="S87" s="107"/>
      <c r="T87" s="107"/>
      <c r="U87" s="107"/>
      <c r="V87" s="107"/>
    </row>
    <row r="88" spans="1:22" s="12" customFormat="1" ht="19.149999999999999" customHeight="1" x14ac:dyDescent="0.2">
      <c r="A88" s="107"/>
      <c r="B88" s="107"/>
      <c r="C88" s="107"/>
      <c r="D88" s="107"/>
      <c r="E88" s="82">
        <v>6</v>
      </c>
      <c r="F88" s="83">
        <v>45825</v>
      </c>
      <c r="G88" s="25"/>
      <c r="H88" s="84">
        <v>1000</v>
      </c>
      <c r="I88" s="85">
        <v>77</v>
      </c>
      <c r="J88" s="86">
        <f t="shared" si="8"/>
        <v>1077</v>
      </c>
      <c r="K88" s="56" t="str">
        <f t="shared" ca="1" si="9"/>
        <v>Check!</v>
      </c>
      <c r="L88" s="100" t="s">
        <v>34</v>
      </c>
      <c r="M88" s="20" t="s">
        <v>212</v>
      </c>
      <c r="N88" s="88">
        <v>20</v>
      </c>
      <c r="O88" s="107"/>
      <c r="P88" s="22"/>
      <c r="Q88" s="23"/>
      <c r="R88" s="107"/>
      <c r="S88" s="107"/>
      <c r="T88" s="107"/>
      <c r="U88" s="107"/>
      <c r="V88" s="107"/>
    </row>
    <row r="89" spans="1:22" s="12" customFormat="1" ht="19.149999999999999" customHeight="1" x14ac:dyDescent="0.2">
      <c r="A89" s="107"/>
      <c r="B89" s="107"/>
      <c r="C89" s="107"/>
      <c r="D89" s="107"/>
      <c r="E89" s="82"/>
      <c r="F89" s="83"/>
      <c r="G89" s="25"/>
      <c r="H89" s="84"/>
      <c r="I89" s="85"/>
      <c r="J89" s="86"/>
      <c r="K89" s="82"/>
      <c r="L89" s="100"/>
      <c r="M89" s="87"/>
      <c r="N89" s="88"/>
      <c r="O89" s="107"/>
      <c r="P89" s="22"/>
      <c r="Q89" s="23"/>
      <c r="R89" s="107"/>
      <c r="S89" s="107"/>
      <c r="T89" s="107"/>
      <c r="U89" s="107"/>
      <c r="V89" s="107"/>
    </row>
    <row r="90" spans="1:22" s="12" customFormat="1" ht="19.149999999999999" customHeight="1" x14ac:dyDescent="0.2">
      <c r="A90" s="107"/>
      <c r="B90" s="28"/>
      <c r="C90" s="107"/>
      <c r="D90" s="107"/>
      <c r="E90" s="82"/>
      <c r="F90" s="83"/>
      <c r="G90" s="25"/>
      <c r="H90" s="84"/>
      <c r="I90" s="85"/>
      <c r="J90" s="86"/>
      <c r="K90" s="82"/>
      <c r="L90" s="100"/>
      <c r="M90" s="87"/>
      <c r="N90" s="88"/>
      <c r="O90" s="107"/>
      <c r="P90" s="22"/>
      <c r="Q90" s="23"/>
      <c r="R90" s="107"/>
      <c r="S90" s="107"/>
      <c r="T90" s="107"/>
      <c r="U90" s="107"/>
      <c r="V90" s="107"/>
    </row>
    <row r="91" spans="1:22" s="12" customFormat="1" ht="19.149999999999999" customHeight="1" x14ac:dyDescent="0.2">
      <c r="A91" s="107"/>
      <c r="B91" s="107"/>
      <c r="C91" s="107"/>
      <c r="D91" s="107"/>
      <c r="E91" s="82"/>
      <c r="F91" s="83"/>
      <c r="G91" s="25"/>
      <c r="H91" s="84"/>
      <c r="I91" s="85"/>
      <c r="J91" s="86"/>
      <c r="K91" s="82"/>
      <c r="L91" s="100"/>
      <c r="M91" s="87"/>
      <c r="N91" s="88"/>
      <c r="O91" s="107"/>
      <c r="P91" s="22"/>
      <c r="Q91" s="23"/>
      <c r="R91" s="107"/>
      <c r="S91" s="107"/>
      <c r="T91" s="107"/>
      <c r="U91" s="107"/>
      <c r="V91" s="107"/>
    </row>
    <row r="92" spans="1:22" s="12" customFormat="1" ht="19.149999999999999" customHeight="1" x14ac:dyDescent="0.2">
      <c r="A92" s="107"/>
      <c r="B92" s="107"/>
      <c r="C92" s="107"/>
      <c r="D92" s="107"/>
      <c r="E92" s="82"/>
      <c r="F92" s="83"/>
      <c r="G92" s="25"/>
      <c r="H92" s="84"/>
      <c r="I92" s="85"/>
      <c r="J92" s="86"/>
      <c r="K92" s="82"/>
      <c r="L92" s="100"/>
      <c r="M92" s="87"/>
      <c r="N92" s="88"/>
      <c r="O92" s="107"/>
      <c r="P92" s="22"/>
      <c r="Q92" s="23"/>
      <c r="R92" s="107"/>
      <c r="S92" s="107"/>
      <c r="T92" s="107"/>
      <c r="U92" s="107"/>
      <c r="V92" s="107"/>
    </row>
    <row r="93" spans="1:22" s="12" customFormat="1" ht="19.149999999999999" customHeight="1" x14ac:dyDescent="0.2">
      <c r="A93" s="107"/>
      <c r="B93" s="107"/>
      <c r="C93" s="107"/>
      <c r="D93" s="107"/>
      <c r="E93" s="82"/>
      <c r="F93" s="83"/>
      <c r="G93" s="25"/>
      <c r="H93" s="84"/>
      <c r="I93" s="85"/>
      <c r="J93" s="86"/>
      <c r="K93" s="82"/>
      <c r="L93" s="100"/>
      <c r="M93" s="87"/>
      <c r="N93" s="88"/>
      <c r="O93" s="107"/>
      <c r="P93" s="22"/>
      <c r="Q93" s="23"/>
      <c r="R93" s="107"/>
      <c r="S93" s="107"/>
      <c r="T93" s="107"/>
      <c r="U93" s="107"/>
      <c r="V93" s="107"/>
    </row>
    <row r="94" spans="1:22" s="12" customFormat="1" ht="19.149999999999999" customHeight="1" x14ac:dyDescent="0.2">
      <c r="A94" s="107"/>
      <c r="B94" s="107"/>
      <c r="C94" s="107"/>
      <c r="D94" s="107"/>
      <c r="E94" s="82"/>
      <c r="F94" s="83"/>
      <c r="G94" s="25"/>
      <c r="H94" s="84"/>
      <c r="I94" s="85"/>
      <c r="J94" s="86"/>
      <c r="K94" s="82"/>
      <c r="L94" s="100"/>
      <c r="M94" s="87"/>
      <c r="N94" s="88"/>
      <c r="O94" s="107"/>
      <c r="P94" s="22"/>
      <c r="Q94" s="23"/>
      <c r="R94" s="107"/>
      <c r="S94" s="107"/>
      <c r="T94" s="107"/>
      <c r="U94" s="107"/>
      <c r="V94" s="107"/>
    </row>
    <row r="95" spans="1:22" s="12" customFormat="1" ht="19.149999999999999" customHeight="1" x14ac:dyDescent="0.2">
      <c r="A95" s="107"/>
      <c r="B95" s="107"/>
      <c r="C95" s="107"/>
      <c r="D95" s="107"/>
      <c r="E95" s="82"/>
      <c r="F95" s="83"/>
      <c r="G95" s="25"/>
      <c r="H95" s="84"/>
      <c r="I95" s="85"/>
      <c r="J95" s="86"/>
      <c r="K95" s="82"/>
      <c r="L95" s="100"/>
      <c r="M95" s="87"/>
      <c r="N95" s="88"/>
      <c r="O95" s="107"/>
      <c r="P95" s="22"/>
      <c r="Q95" s="23"/>
      <c r="R95" s="107"/>
      <c r="S95" s="107"/>
      <c r="T95" s="107"/>
      <c r="U95" s="107"/>
      <c r="V95" s="107"/>
    </row>
    <row r="96" spans="1:22" s="12" customFormat="1" ht="19.149999999999999" customHeight="1" x14ac:dyDescent="0.2">
      <c r="A96" s="107"/>
      <c r="B96" s="107"/>
      <c r="C96" s="107"/>
      <c r="D96" s="107"/>
      <c r="E96" s="82"/>
      <c r="F96" s="83"/>
      <c r="G96" s="25"/>
      <c r="H96" s="84"/>
      <c r="I96" s="85"/>
      <c r="J96" s="86"/>
      <c r="K96" s="82"/>
      <c r="L96" s="100"/>
      <c r="M96" s="87"/>
      <c r="N96" s="88"/>
      <c r="O96" s="107"/>
      <c r="P96" s="22"/>
      <c r="Q96" s="23"/>
      <c r="R96" s="107"/>
      <c r="S96" s="107"/>
      <c r="T96" s="107"/>
      <c r="U96" s="107"/>
      <c r="V96" s="107"/>
    </row>
    <row r="97" spans="1:22" s="12" customFormat="1" ht="19.149999999999999" customHeight="1" x14ac:dyDescent="0.2">
      <c r="A97" s="107"/>
      <c r="B97" s="107"/>
      <c r="C97" s="107"/>
      <c r="D97" s="107"/>
      <c r="E97" s="82"/>
      <c r="F97" s="83"/>
      <c r="G97" s="25"/>
      <c r="H97" s="84"/>
      <c r="I97" s="85"/>
      <c r="J97" s="86"/>
      <c r="K97" s="82"/>
      <c r="L97" s="100"/>
      <c r="M97" s="87"/>
      <c r="N97" s="88"/>
      <c r="O97" s="107"/>
      <c r="P97" s="22"/>
      <c r="Q97" s="23"/>
      <c r="R97" s="107"/>
      <c r="S97" s="107"/>
      <c r="T97" s="107"/>
      <c r="U97" s="107"/>
      <c r="V97" s="107"/>
    </row>
    <row r="98" spans="1:22" s="12" customFormat="1" ht="19.149999999999999" customHeight="1" x14ac:dyDescent="0.2">
      <c r="A98" s="107"/>
      <c r="B98" s="107"/>
      <c r="C98" s="107"/>
      <c r="D98" s="107"/>
      <c r="E98" s="82"/>
      <c r="F98" s="83"/>
      <c r="G98" s="25"/>
      <c r="H98" s="84"/>
      <c r="I98" s="85"/>
      <c r="J98" s="86"/>
      <c r="K98" s="82"/>
      <c r="L98" s="100"/>
      <c r="M98" s="87"/>
      <c r="N98" s="88"/>
      <c r="O98" s="107"/>
      <c r="P98" s="22"/>
      <c r="Q98" s="23"/>
      <c r="R98" s="107"/>
      <c r="S98" s="107"/>
      <c r="T98" s="107"/>
      <c r="U98" s="107"/>
      <c r="V98" s="107"/>
    </row>
    <row r="99" spans="1:22" s="12" customFormat="1" ht="19.149999999999999" customHeight="1" x14ac:dyDescent="0.2">
      <c r="A99" s="107"/>
      <c r="B99" s="107"/>
      <c r="C99" s="107"/>
      <c r="D99" s="107"/>
      <c r="E99" s="82"/>
      <c r="F99" s="83"/>
      <c r="G99" s="25"/>
      <c r="H99" s="84"/>
      <c r="I99" s="85"/>
      <c r="J99" s="86"/>
      <c r="K99" s="82"/>
      <c r="L99" s="100"/>
      <c r="M99" s="87"/>
      <c r="N99" s="88"/>
      <c r="O99" s="107"/>
      <c r="P99" s="22"/>
      <c r="Q99" s="23"/>
      <c r="R99" s="107"/>
      <c r="S99" s="107"/>
      <c r="T99" s="107"/>
      <c r="U99" s="107"/>
      <c r="V99" s="107"/>
    </row>
    <row r="100" spans="1:22" s="12" customFormat="1" ht="19.149999999999999" customHeight="1" x14ac:dyDescent="0.2">
      <c r="A100" s="107"/>
      <c r="B100" s="107"/>
      <c r="C100" s="107"/>
      <c r="D100" s="107"/>
      <c r="E100" s="82"/>
      <c r="F100" s="83"/>
      <c r="G100" s="25"/>
      <c r="H100" s="84"/>
      <c r="I100" s="85"/>
      <c r="J100" s="86"/>
      <c r="K100" s="82"/>
      <c r="L100" s="100"/>
      <c r="M100" s="87"/>
      <c r="N100" s="88"/>
      <c r="O100" s="107"/>
      <c r="P100" s="22"/>
      <c r="Q100" s="23"/>
      <c r="R100" s="107"/>
      <c r="S100" s="107"/>
      <c r="T100" s="107"/>
      <c r="U100" s="107"/>
      <c r="V100" s="107"/>
    </row>
    <row r="101" spans="1:22" s="12" customFormat="1" ht="19.149999999999999" customHeight="1" x14ac:dyDescent="0.2">
      <c r="A101" s="107"/>
      <c r="B101" s="107"/>
      <c r="C101" s="107"/>
      <c r="D101" s="107"/>
      <c r="E101" s="82"/>
      <c r="F101" s="83"/>
      <c r="G101" s="25"/>
      <c r="H101" s="84"/>
      <c r="I101" s="85"/>
      <c r="J101" s="86"/>
      <c r="K101" s="82"/>
      <c r="L101" s="100"/>
      <c r="M101" s="87"/>
      <c r="N101" s="88"/>
      <c r="O101" s="107"/>
      <c r="P101" s="22"/>
      <c r="Q101" s="23"/>
      <c r="R101" s="107"/>
      <c r="S101" s="107"/>
      <c r="T101" s="107"/>
      <c r="U101" s="107"/>
      <c r="V101" s="107"/>
    </row>
    <row r="102" spans="1:22" s="12" customFormat="1" ht="19.149999999999999" customHeight="1" x14ac:dyDescent="0.2">
      <c r="A102" s="107"/>
      <c r="B102" s="107"/>
      <c r="C102" s="107"/>
      <c r="D102" s="107"/>
      <c r="E102" s="82"/>
      <c r="F102" s="83"/>
      <c r="G102" s="25"/>
      <c r="H102" s="84"/>
      <c r="I102" s="85"/>
      <c r="J102" s="86"/>
      <c r="K102" s="82"/>
      <c r="L102" s="100"/>
      <c r="M102" s="87"/>
      <c r="N102" s="88"/>
      <c r="O102" s="107"/>
      <c r="P102" s="22"/>
      <c r="Q102" s="23"/>
      <c r="R102" s="107"/>
      <c r="S102" s="107"/>
      <c r="T102" s="107"/>
      <c r="U102" s="107"/>
      <c r="V102" s="107"/>
    </row>
    <row r="103" spans="1:22" s="12" customFormat="1" ht="19.149999999999999" customHeight="1" x14ac:dyDescent="0.2">
      <c r="A103" s="107"/>
      <c r="B103" s="107"/>
      <c r="C103" s="107"/>
      <c r="D103" s="107"/>
      <c r="E103" s="82"/>
      <c r="F103" s="83"/>
      <c r="G103" s="25"/>
      <c r="H103" s="84"/>
      <c r="I103" s="85"/>
      <c r="J103" s="86"/>
      <c r="K103" s="82"/>
      <c r="L103" s="100"/>
      <c r="M103" s="87"/>
      <c r="N103" s="88"/>
      <c r="O103" s="107"/>
      <c r="P103" s="22"/>
      <c r="Q103" s="23"/>
      <c r="R103" s="107"/>
      <c r="S103" s="107"/>
      <c r="T103" s="107"/>
      <c r="U103" s="107"/>
      <c r="V103" s="107"/>
    </row>
    <row r="104" spans="1:22" s="12" customFormat="1" ht="19.149999999999999" customHeight="1" x14ac:dyDescent="0.2">
      <c r="A104" s="107"/>
      <c r="B104" s="107"/>
      <c r="C104" s="107"/>
      <c r="D104" s="107"/>
      <c r="E104" s="82"/>
      <c r="F104" s="83"/>
      <c r="G104" s="25"/>
      <c r="H104" s="84"/>
      <c r="I104" s="85"/>
      <c r="J104" s="86"/>
      <c r="K104" s="82"/>
      <c r="L104" s="100"/>
      <c r="M104" s="87"/>
      <c r="N104" s="88"/>
      <c r="O104" s="107"/>
      <c r="P104" s="22"/>
      <c r="Q104" s="23"/>
      <c r="R104" s="107"/>
      <c r="S104" s="107"/>
      <c r="T104" s="107"/>
      <c r="U104" s="107"/>
      <c r="V104" s="107"/>
    </row>
    <row r="105" spans="1:22" s="12" customFormat="1" ht="19.149999999999999" customHeight="1" x14ac:dyDescent="0.2">
      <c r="A105" s="107"/>
      <c r="B105" s="107"/>
      <c r="C105" s="107"/>
      <c r="D105" s="107"/>
      <c r="E105" s="82"/>
      <c r="F105" s="83"/>
      <c r="G105" s="25"/>
      <c r="H105" s="84"/>
      <c r="I105" s="85"/>
      <c r="J105" s="86"/>
      <c r="K105" s="82"/>
      <c r="L105" s="100"/>
      <c r="M105" s="87"/>
      <c r="N105" s="88"/>
      <c r="O105" s="107"/>
      <c r="P105" s="22"/>
      <c r="Q105" s="23"/>
      <c r="R105" s="107"/>
      <c r="S105" s="107"/>
      <c r="T105" s="107"/>
      <c r="U105" s="107"/>
      <c r="V105" s="107"/>
    </row>
    <row r="106" spans="1:22" s="12" customFormat="1" ht="19.149999999999999" customHeight="1" x14ac:dyDescent="0.2">
      <c r="A106" s="107"/>
      <c r="B106" s="107"/>
      <c r="C106" s="107"/>
      <c r="D106" s="107"/>
      <c r="E106" s="82"/>
      <c r="F106" s="83"/>
      <c r="G106" s="25"/>
      <c r="H106" s="84"/>
      <c r="I106" s="85"/>
      <c r="J106" s="86"/>
      <c r="K106" s="82"/>
      <c r="L106" s="100"/>
      <c r="M106" s="87"/>
      <c r="N106" s="88"/>
      <c r="O106" s="107"/>
      <c r="P106" s="22"/>
      <c r="Q106" s="23"/>
      <c r="R106" s="107"/>
      <c r="S106" s="107"/>
      <c r="T106" s="107"/>
      <c r="U106" s="107"/>
      <c r="V106" s="107"/>
    </row>
    <row r="107" spans="1:22" s="12" customFormat="1" ht="19.149999999999999" customHeight="1" x14ac:dyDescent="0.2">
      <c r="A107" s="107"/>
      <c r="B107" s="107"/>
      <c r="C107" s="107"/>
      <c r="D107" s="107"/>
      <c r="E107" s="82"/>
      <c r="F107" s="83"/>
      <c r="G107" s="25"/>
      <c r="H107" s="84"/>
      <c r="I107" s="85"/>
      <c r="J107" s="86"/>
      <c r="K107" s="82"/>
      <c r="L107" s="100"/>
      <c r="M107" s="87"/>
      <c r="N107" s="88"/>
      <c r="O107" s="107"/>
      <c r="P107" s="22"/>
      <c r="Q107" s="23"/>
      <c r="R107" s="107"/>
      <c r="S107" s="107"/>
      <c r="T107" s="107"/>
      <c r="U107" s="107"/>
      <c r="V107" s="107"/>
    </row>
    <row r="108" spans="1:22" s="12" customFormat="1" ht="19.149999999999999" customHeight="1" x14ac:dyDescent="0.2">
      <c r="A108" s="107"/>
      <c r="B108" s="107"/>
      <c r="C108" s="107"/>
      <c r="D108" s="107"/>
      <c r="E108" s="82"/>
      <c r="F108" s="83"/>
      <c r="G108" s="25"/>
      <c r="H108" s="84"/>
      <c r="I108" s="85"/>
      <c r="J108" s="86"/>
      <c r="K108" s="82"/>
      <c r="L108" s="100"/>
      <c r="M108" s="87"/>
      <c r="N108" s="88"/>
      <c r="O108" s="107"/>
      <c r="P108" s="22"/>
      <c r="Q108" s="23"/>
      <c r="R108" s="107"/>
      <c r="S108" s="107"/>
      <c r="T108" s="107"/>
      <c r="U108" s="107"/>
      <c r="V108" s="107"/>
    </row>
    <row r="109" spans="1:22" s="12" customFormat="1" ht="19.149999999999999" customHeight="1" x14ac:dyDescent="0.2">
      <c r="A109" s="107"/>
      <c r="B109" s="107"/>
      <c r="C109" s="107"/>
      <c r="D109" s="107"/>
      <c r="E109" s="82"/>
      <c r="F109" s="83"/>
      <c r="G109" s="25"/>
      <c r="H109" s="84"/>
      <c r="I109" s="85"/>
      <c r="J109" s="86"/>
      <c r="K109" s="82"/>
      <c r="L109" s="100"/>
      <c r="M109" s="87"/>
      <c r="N109" s="88"/>
      <c r="O109" s="107"/>
      <c r="P109" s="22"/>
      <c r="Q109" s="23"/>
      <c r="R109" s="107"/>
      <c r="S109" s="107"/>
      <c r="T109" s="107"/>
      <c r="U109" s="107"/>
      <c r="V109" s="107"/>
    </row>
    <row r="110" spans="1:22" s="12" customFormat="1" ht="19.149999999999999" customHeight="1" x14ac:dyDescent="0.2">
      <c r="A110" s="107"/>
      <c r="B110" s="107"/>
      <c r="C110" s="107"/>
      <c r="D110" s="107"/>
      <c r="E110" s="82"/>
      <c r="F110" s="83"/>
      <c r="G110" s="25"/>
      <c r="H110" s="84"/>
      <c r="I110" s="85"/>
      <c r="J110" s="86"/>
      <c r="K110" s="82"/>
      <c r="L110" s="100"/>
      <c r="M110" s="87"/>
      <c r="N110" s="88"/>
      <c r="O110" s="107"/>
      <c r="P110" s="22"/>
      <c r="Q110" s="23"/>
      <c r="R110" s="107"/>
      <c r="S110" s="107"/>
      <c r="T110" s="107"/>
      <c r="U110" s="107"/>
      <c r="V110" s="107"/>
    </row>
    <row r="111" spans="1:22" s="12" customFormat="1" ht="19.149999999999999" customHeight="1" x14ac:dyDescent="0.2">
      <c r="A111" s="107"/>
      <c r="B111" s="107"/>
      <c r="C111" s="107"/>
      <c r="D111" s="107"/>
      <c r="E111" s="82"/>
      <c r="F111" s="83"/>
      <c r="G111" s="25"/>
      <c r="H111" s="84"/>
      <c r="I111" s="85"/>
      <c r="J111" s="86"/>
      <c r="K111" s="82"/>
      <c r="L111" s="100"/>
      <c r="M111" s="87"/>
      <c r="N111" s="88"/>
      <c r="O111" s="107"/>
      <c r="P111" s="22"/>
      <c r="Q111" s="23"/>
      <c r="R111" s="107"/>
      <c r="S111" s="107"/>
      <c r="T111" s="107"/>
      <c r="U111" s="107"/>
      <c r="V111" s="107"/>
    </row>
    <row r="112" spans="1:22" s="12" customFormat="1" ht="19.149999999999999" customHeight="1" x14ac:dyDescent="0.2">
      <c r="A112" s="107"/>
      <c r="B112" s="28"/>
      <c r="C112" s="107"/>
      <c r="D112" s="107"/>
      <c r="E112" s="82"/>
      <c r="F112" s="83"/>
      <c r="G112" s="25"/>
      <c r="H112" s="84"/>
      <c r="I112" s="85"/>
      <c r="J112" s="86"/>
      <c r="K112" s="82"/>
      <c r="L112" s="100"/>
      <c r="M112" s="87"/>
      <c r="N112" s="88"/>
      <c r="O112" s="107"/>
      <c r="P112" s="22"/>
      <c r="Q112" s="23"/>
      <c r="R112" s="107"/>
      <c r="S112" s="107"/>
      <c r="T112" s="107"/>
      <c r="U112" s="107"/>
      <c r="V112" s="107"/>
    </row>
    <row r="113" spans="1:22" s="12" customFormat="1" ht="19.149999999999999" customHeight="1" x14ac:dyDescent="0.2">
      <c r="A113" s="107"/>
      <c r="B113" s="107"/>
      <c r="C113" s="107"/>
      <c r="D113" s="107"/>
      <c r="E113" s="82"/>
      <c r="F113" s="83"/>
      <c r="G113" s="25"/>
      <c r="H113" s="84"/>
      <c r="I113" s="85"/>
      <c r="J113" s="86"/>
      <c r="K113" s="82"/>
      <c r="L113" s="100"/>
      <c r="M113" s="87"/>
      <c r="N113" s="88"/>
      <c r="O113" s="107"/>
      <c r="P113" s="22"/>
      <c r="Q113" s="23"/>
      <c r="R113" s="107"/>
      <c r="S113" s="107"/>
      <c r="T113" s="107"/>
      <c r="U113" s="107"/>
      <c r="V113" s="107"/>
    </row>
    <row r="114" spans="1:22" s="12" customFormat="1" ht="19.149999999999999" customHeight="1" x14ac:dyDescent="0.2">
      <c r="A114" s="107"/>
      <c r="B114" s="107"/>
      <c r="C114" s="107"/>
      <c r="D114" s="107"/>
      <c r="E114" s="82"/>
      <c r="F114" s="83"/>
      <c r="G114" s="25"/>
      <c r="H114" s="84"/>
      <c r="I114" s="85"/>
      <c r="J114" s="86"/>
      <c r="K114" s="82"/>
      <c r="L114" s="100"/>
      <c r="M114" s="87"/>
      <c r="N114" s="88"/>
      <c r="O114" s="107"/>
      <c r="P114" s="22"/>
      <c r="Q114" s="23"/>
      <c r="R114" s="107"/>
      <c r="S114" s="107"/>
      <c r="T114" s="107"/>
      <c r="U114" s="107"/>
      <c r="V114" s="107"/>
    </row>
    <row r="115" spans="1:22" s="12" customFormat="1" ht="19.149999999999999" customHeight="1" x14ac:dyDescent="0.2">
      <c r="A115" s="107"/>
      <c r="B115" s="107"/>
      <c r="C115" s="107"/>
      <c r="D115" s="107"/>
      <c r="E115" s="82"/>
      <c r="F115" s="83"/>
      <c r="G115" s="25"/>
      <c r="H115" s="84"/>
      <c r="I115" s="85"/>
      <c r="J115" s="86"/>
      <c r="K115" s="82"/>
      <c r="L115" s="100"/>
      <c r="M115" s="87"/>
      <c r="N115" s="88"/>
      <c r="O115" s="107"/>
      <c r="P115" s="22"/>
      <c r="Q115" s="23"/>
      <c r="R115" s="107"/>
      <c r="S115" s="107"/>
      <c r="T115" s="107"/>
      <c r="U115" s="107"/>
      <c r="V115" s="107"/>
    </row>
    <row r="116" spans="1:22" s="12" customFormat="1" ht="19.149999999999999" customHeight="1" x14ac:dyDescent="0.2">
      <c r="A116" s="107"/>
      <c r="B116" s="107"/>
      <c r="C116" s="107"/>
      <c r="D116" s="107"/>
      <c r="E116" s="14"/>
      <c r="F116" s="24"/>
      <c r="G116" s="25"/>
      <c r="H116" s="17"/>
      <c r="I116" s="18"/>
      <c r="J116" s="19"/>
      <c r="K116" s="14"/>
      <c r="L116" s="100"/>
      <c r="M116" s="20"/>
      <c r="N116" s="21"/>
      <c r="O116" s="107"/>
      <c r="P116" s="22"/>
      <c r="Q116" s="23"/>
      <c r="R116" s="107"/>
      <c r="S116" s="107"/>
      <c r="T116" s="107"/>
      <c r="U116" s="107"/>
      <c r="V116" s="107"/>
    </row>
    <row r="117" spans="1:22" s="12" customFormat="1" ht="19.149999999999999" customHeight="1" x14ac:dyDescent="0.2">
      <c r="A117" s="107"/>
      <c r="B117" s="107"/>
      <c r="C117" s="30"/>
      <c r="D117" s="107"/>
      <c r="E117" s="14"/>
      <c r="F117" s="24"/>
      <c r="G117" s="25"/>
      <c r="H117" s="17"/>
      <c r="I117" s="18"/>
      <c r="J117" s="19"/>
      <c r="K117" s="14"/>
      <c r="L117" s="100"/>
      <c r="M117" s="20"/>
      <c r="N117" s="21"/>
      <c r="O117" s="107"/>
      <c r="P117" s="22"/>
      <c r="Q117" s="23"/>
      <c r="R117" s="107"/>
      <c r="S117" s="107"/>
      <c r="T117" s="107"/>
      <c r="U117" s="107"/>
      <c r="V117" s="107"/>
    </row>
    <row r="118" spans="1:22" s="12" customFormat="1" ht="19.149999999999999" customHeight="1" x14ac:dyDescent="0.2">
      <c r="A118" s="107"/>
      <c r="B118" s="107"/>
      <c r="C118" s="107"/>
      <c r="D118" s="107"/>
      <c r="E118" s="14"/>
      <c r="F118" s="24"/>
      <c r="G118" s="25"/>
      <c r="H118" s="17"/>
      <c r="I118" s="18"/>
      <c r="J118" s="19"/>
      <c r="K118" s="14"/>
      <c r="L118" s="100"/>
      <c r="M118" s="20"/>
      <c r="N118" s="21"/>
      <c r="O118" s="107"/>
      <c r="P118" s="22"/>
      <c r="Q118" s="23"/>
      <c r="R118" s="107"/>
      <c r="S118" s="107"/>
      <c r="T118" s="107"/>
      <c r="U118" s="107"/>
      <c r="V118" s="107"/>
    </row>
    <row r="119" spans="1:22" s="12" customFormat="1" ht="19.149999999999999" customHeight="1" x14ac:dyDescent="0.2">
      <c r="A119" s="107"/>
      <c r="B119" s="107"/>
      <c r="C119" s="107"/>
      <c r="D119" s="107"/>
      <c r="E119" s="14"/>
      <c r="F119" s="24"/>
      <c r="G119" s="25"/>
      <c r="H119" s="17"/>
      <c r="I119" s="18"/>
      <c r="J119" s="19"/>
      <c r="K119" s="14"/>
      <c r="L119" s="100"/>
      <c r="M119" s="20"/>
      <c r="N119" s="21"/>
      <c r="O119" s="107"/>
      <c r="P119" s="22"/>
      <c r="Q119" s="23"/>
      <c r="R119" s="107"/>
      <c r="S119" s="107"/>
      <c r="T119" s="107"/>
      <c r="U119" s="107"/>
      <c r="V119" s="107"/>
    </row>
    <row r="120" spans="1:22" s="12" customFormat="1" ht="19.149999999999999" customHeight="1" x14ac:dyDescent="0.2">
      <c r="A120" s="107"/>
      <c r="B120" s="107"/>
      <c r="C120" s="107"/>
      <c r="D120" s="107"/>
      <c r="E120" s="14"/>
      <c r="F120" s="24"/>
      <c r="G120" s="25"/>
      <c r="H120" s="17"/>
      <c r="I120" s="18"/>
      <c r="J120" s="19"/>
      <c r="K120" s="14"/>
      <c r="L120" s="100"/>
      <c r="M120" s="20"/>
      <c r="N120" s="21"/>
      <c r="O120" s="107"/>
      <c r="P120" s="22"/>
      <c r="Q120" s="23"/>
      <c r="R120" s="107"/>
      <c r="S120" s="107"/>
      <c r="T120" s="107"/>
      <c r="U120" s="107"/>
      <c r="V120" s="107"/>
    </row>
    <row r="121" spans="1:22" s="12" customFormat="1" ht="19.149999999999999" customHeight="1" x14ac:dyDescent="0.2">
      <c r="A121" s="107"/>
      <c r="B121" s="107"/>
      <c r="C121" s="107"/>
      <c r="D121" s="107"/>
      <c r="E121" s="14"/>
      <c r="F121" s="24"/>
      <c r="G121" s="25"/>
      <c r="H121" s="17"/>
      <c r="I121" s="18"/>
      <c r="J121" s="19"/>
      <c r="K121" s="14"/>
      <c r="L121" s="100"/>
      <c r="M121" s="20"/>
      <c r="N121" s="21"/>
      <c r="O121" s="107"/>
      <c r="P121" s="22"/>
      <c r="Q121" s="23"/>
      <c r="R121" s="107"/>
      <c r="S121" s="107"/>
      <c r="T121" s="107"/>
      <c r="U121" s="107"/>
      <c r="V121" s="107"/>
    </row>
    <row r="122" spans="1:22" s="12" customFormat="1" ht="19.149999999999999" customHeight="1" x14ac:dyDescent="0.2">
      <c r="A122" s="107"/>
      <c r="B122" s="107"/>
      <c r="C122" s="107"/>
      <c r="D122" s="107"/>
      <c r="E122" s="14"/>
      <c r="F122" s="24"/>
      <c r="G122" s="25"/>
      <c r="H122" s="17"/>
      <c r="I122" s="18"/>
      <c r="J122" s="19"/>
      <c r="K122" s="14"/>
      <c r="L122" s="100"/>
      <c r="M122" s="20"/>
      <c r="N122" s="21"/>
      <c r="O122" s="107"/>
      <c r="P122" s="22"/>
      <c r="Q122" s="23"/>
      <c r="R122" s="107"/>
      <c r="S122" s="107"/>
      <c r="T122" s="107"/>
      <c r="U122" s="107"/>
      <c r="V122" s="107"/>
    </row>
    <row r="123" spans="1:22" s="12" customFormat="1" ht="19.149999999999999" customHeight="1" x14ac:dyDescent="0.2">
      <c r="A123" s="107"/>
      <c r="B123" s="107"/>
      <c r="C123" s="107"/>
      <c r="D123" s="107"/>
      <c r="E123" s="14"/>
      <c r="F123" s="24"/>
      <c r="G123" s="25"/>
      <c r="H123" s="17"/>
      <c r="I123" s="18"/>
      <c r="J123" s="19"/>
      <c r="K123" s="14"/>
      <c r="L123" s="100"/>
      <c r="M123" s="20"/>
      <c r="N123" s="21"/>
      <c r="O123" s="107"/>
      <c r="P123" s="22"/>
      <c r="Q123" s="23"/>
      <c r="R123" s="107"/>
      <c r="S123" s="107"/>
      <c r="T123" s="107"/>
      <c r="U123" s="107"/>
      <c r="V123" s="107"/>
    </row>
    <row r="124" spans="1:22" s="12" customFormat="1" ht="19.149999999999999" customHeight="1" x14ac:dyDescent="0.2">
      <c r="A124" s="107"/>
      <c r="B124" s="107"/>
      <c r="C124" s="107"/>
      <c r="D124" s="107"/>
      <c r="E124" s="14"/>
      <c r="F124" s="24"/>
      <c r="G124" s="25"/>
      <c r="H124" s="17"/>
      <c r="I124" s="18"/>
      <c r="J124" s="19"/>
      <c r="K124" s="14"/>
      <c r="L124" s="100"/>
      <c r="M124" s="20"/>
      <c r="N124" s="21"/>
      <c r="O124" s="107"/>
      <c r="P124" s="22"/>
      <c r="Q124" s="23"/>
      <c r="R124" s="107"/>
      <c r="S124" s="107"/>
      <c r="T124" s="107"/>
      <c r="U124" s="107"/>
      <c r="V124" s="107"/>
    </row>
    <row r="125" spans="1:22" s="12" customFormat="1" ht="19.149999999999999" customHeight="1" x14ac:dyDescent="0.2">
      <c r="A125" s="107"/>
      <c r="B125" s="107"/>
      <c r="C125" s="107"/>
      <c r="D125" s="107"/>
      <c r="E125" s="14"/>
      <c r="F125" s="24"/>
      <c r="G125" s="25"/>
      <c r="H125" s="17"/>
      <c r="I125" s="18"/>
      <c r="J125" s="19"/>
      <c r="K125" s="14"/>
      <c r="L125" s="100"/>
      <c r="M125" s="20"/>
      <c r="N125" s="21"/>
      <c r="O125" s="107"/>
      <c r="P125" s="22"/>
      <c r="Q125" s="23"/>
      <c r="R125" s="107"/>
      <c r="S125" s="107"/>
      <c r="T125" s="107"/>
      <c r="U125" s="107"/>
      <c r="V125" s="107"/>
    </row>
    <row r="126" spans="1:22" s="12" customFormat="1" ht="19.149999999999999" customHeight="1" x14ac:dyDescent="0.2">
      <c r="A126" s="107"/>
      <c r="B126" s="107"/>
      <c r="C126" s="107"/>
      <c r="D126" s="107"/>
      <c r="E126" s="14"/>
      <c r="F126" s="24"/>
      <c r="G126" s="25"/>
      <c r="H126" s="17"/>
      <c r="I126" s="18"/>
      <c r="J126" s="19"/>
      <c r="K126" s="14"/>
      <c r="L126" s="100"/>
      <c r="M126" s="20"/>
      <c r="N126" s="21"/>
      <c r="O126" s="107"/>
      <c r="P126" s="22"/>
      <c r="Q126" s="23"/>
      <c r="R126" s="107"/>
      <c r="S126" s="107"/>
      <c r="T126" s="107"/>
      <c r="U126" s="107"/>
      <c r="V126" s="107"/>
    </row>
    <row r="127" spans="1:22" s="12" customFormat="1" ht="19.149999999999999" customHeight="1" x14ac:dyDescent="0.2">
      <c r="A127" s="107"/>
      <c r="B127" s="107"/>
      <c r="C127" s="107"/>
      <c r="D127" s="107"/>
      <c r="E127" s="14"/>
      <c r="F127" s="24"/>
      <c r="G127" s="25"/>
      <c r="H127" s="17"/>
      <c r="I127" s="18"/>
      <c r="J127" s="19"/>
      <c r="K127" s="14"/>
      <c r="L127" s="100"/>
      <c r="M127" s="20"/>
      <c r="N127" s="21"/>
      <c r="O127" s="107"/>
      <c r="P127" s="20"/>
      <c r="Q127" s="21"/>
      <c r="R127" s="107"/>
      <c r="S127" s="107"/>
      <c r="T127" s="107"/>
      <c r="U127" s="107"/>
      <c r="V127" s="107"/>
    </row>
    <row r="128" spans="1:22" s="12" customFormat="1" ht="19.149999999999999" customHeight="1" x14ac:dyDescent="0.2">
      <c r="A128" s="107"/>
      <c r="B128" s="107"/>
      <c r="C128" s="107"/>
      <c r="D128" s="107"/>
      <c r="E128" s="14"/>
      <c r="F128" s="24"/>
      <c r="G128" s="25"/>
      <c r="H128" s="17"/>
      <c r="I128" s="18"/>
      <c r="J128" s="19"/>
      <c r="K128" s="14"/>
      <c r="L128" s="100"/>
      <c r="M128" s="20"/>
      <c r="N128" s="21"/>
      <c r="O128" s="107"/>
      <c r="P128" s="20"/>
      <c r="Q128" s="21"/>
      <c r="R128" s="107"/>
      <c r="S128" s="107"/>
      <c r="T128" s="107"/>
      <c r="U128" s="107"/>
      <c r="V128" s="107"/>
    </row>
    <row r="129" spans="1:22" s="12" customFormat="1" ht="19.149999999999999" customHeight="1" x14ac:dyDescent="0.2">
      <c r="A129" s="107"/>
      <c r="B129" s="107"/>
      <c r="C129" s="107"/>
      <c r="D129" s="107"/>
      <c r="E129" s="14"/>
      <c r="F129" s="24"/>
      <c r="G129" s="25"/>
      <c r="H129" s="17"/>
      <c r="I129" s="18"/>
      <c r="J129" s="19"/>
      <c r="K129" s="14"/>
      <c r="L129" s="100"/>
      <c r="M129" s="20"/>
      <c r="N129" s="21"/>
      <c r="O129" s="107"/>
      <c r="P129" s="20"/>
      <c r="Q129" s="21"/>
      <c r="R129" s="107"/>
      <c r="S129" s="107"/>
      <c r="T129" s="107"/>
      <c r="U129" s="107"/>
      <c r="V129" s="107"/>
    </row>
    <row r="130" spans="1:22" s="12" customFormat="1" ht="19.149999999999999" customHeight="1" x14ac:dyDescent="0.2">
      <c r="A130" s="107"/>
      <c r="B130" s="107"/>
      <c r="C130" s="107"/>
      <c r="D130" s="107"/>
      <c r="E130" s="14"/>
      <c r="F130" s="24"/>
      <c r="G130" s="25"/>
      <c r="H130" s="17"/>
      <c r="I130" s="18"/>
      <c r="J130" s="19"/>
      <c r="K130" s="14"/>
      <c r="L130" s="100"/>
      <c r="M130" s="20"/>
      <c r="N130" s="21"/>
      <c r="O130" s="107"/>
      <c r="P130" s="20"/>
      <c r="Q130" s="21"/>
      <c r="R130" s="107"/>
      <c r="S130" s="107"/>
      <c r="T130" s="107"/>
      <c r="U130" s="107"/>
      <c r="V130" s="107"/>
    </row>
    <row r="131" spans="1:22" s="12" customFormat="1" ht="19.149999999999999" customHeight="1" x14ac:dyDescent="0.2">
      <c r="A131" s="107"/>
      <c r="B131" s="107"/>
      <c r="C131" s="107"/>
      <c r="D131" s="107"/>
      <c r="E131" s="14"/>
      <c r="F131" s="24"/>
      <c r="G131" s="25"/>
      <c r="H131" s="17"/>
      <c r="I131" s="18"/>
      <c r="J131" s="19"/>
      <c r="K131" s="14"/>
      <c r="L131" s="100"/>
      <c r="M131" s="20"/>
      <c r="N131" s="21"/>
      <c r="O131" s="107"/>
      <c r="P131" s="22"/>
      <c r="Q131" s="23"/>
      <c r="R131" s="107"/>
      <c r="S131" s="107"/>
      <c r="T131" s="107"/>
      <c r="U131" s="107"/>
      <c r="V131" s="107"/>
    </row>
    <row r="132" spans="1:22" s="12" customFormat="1" ht="19.149999999999999" customHeight="1" x14ac:dyDescent="0.2">
      <c r="A132" s="107"/>
      <c r="B132" s="107"/>
      <c r="C132" s="107"/>
      <c r="D132" s="107"/>
      <c r="E132" s="14"/>
      <c r="F132" s="24"/>
      <c r="G132" s="25"/>
      <c r="H132" s="17"/>
      <c r="I132" s="18"/>
      <c r="J132" s="19"/>
      <c r="K132" s="14"/>
      <c r="L132" s="100"/>
      <c r="M132" s="20"/>
      <c r="N132" s="21"/>
      <c r="O132" s="107"/>
      <c r="P132" s="22"/>
      <c r="Q132" s="23"/>
      <c r="R132" s="107"/>
      <c r="S132" s="107"/>
      <c r="T132" s="107"/>
      <c r="U132" s="107"/>
      <c r="V132" s="107"/>
    </row>
    <row r="133" spans="1:22" s="12" customFormat="1" x14ac:dyDescent="0.2">
      <c r="A133" s="107"/>
      <c r="B133" s="107"/>
      <c r="C133" s="107"/>
      <c r="D133" s="107"/>
      <c r="E133" s="31"/>
      <c r="F133" s="24"/>
      <c r="G133" s="32"/>
      <c r="H133" s="17"/>
      <c r="I133" s="18"/>
      <c r="J133" s="19"/>
      <c r="K133" s="33"/>
      <c r="L133" s="100"/>
      <c r="M133" s="20"/>
      <c r="N133" s="34"/>
      <c r="O133" s="107"/>
      <c r="P133" s="22"/>
      <c r="Q133" s="23"/>
      <c r="R133" s="107"/>
      <c r="S133" s="107"/>
      <c r="T133" s="107"/>
      <c r="U133" s="107"/>
      <c r="V133" s="107"/>
    </row>
    <row r="134" spans="1:22" s="12" customFormat="1" x14ac:dyDescent="0.2">
      <c r="A134" s="107"/>
      <c r="B134" s="28"/>
      <c r="C134" s="107"/>
      <c r="D134" s="107"/>
      <c r="E134" s="35"/>
      <c r="F134" s="36"/>
      <c r="G134" s="37"/>
      <c r="H134" s="38"/>
      <c r="I134" s="39"/>
      <c r="J134" s="39"/>
      <c r="K134" s="35"/>
      <c r="L134" s="103"/>
      <c r="M134" s="40"/>
      <c r="O134" s="107"/>
      <c r="P134" s="22"/>
      <c r="Q134" s="23"/>
      <c r="R134" s="107"/>
      <c r="S134" s="107"/>
      <c r="T134" s="107"/>
      <c r="U134" s="107"/>
      <c r="V134" s="107"/>
    </row>
    <row r="135" spans="1:22" s="12" customFormat="1" x14ac:dyDescent="0.2">
      <c r="A135" s="107"/>
      <c r="B135" s="107"/>
      <c r="C135" s="107"/>
      <c r="D135" s="107"/>
      <c r="E135" s="35"/>
      <c r="F135" s="36"/>
      <c r="G135" s="37"/>
      <c r="H135" s="38"/>
      <c r="I135" s="39"/>
      <c r="J135" s="39"/>
      <c r="K135" s="35"/>
      <c r="L135" s="103"/>
      <c r="M135" s="40"/>
      <c r="O135" s="107"/>
      <c r="P135" s="22"/>
      <c r="Q135" s="23"/>
      <c r="R135" s="107"/>
      <c r="S135" s="107"/>
      <c r="T135" s="107"/>
      <c r="U135" s="107"/>
      <c r="V135" s="107"/>
    </row>
    <row r="136" spans="1:22" s="12" customFormat="1" x14ac:dyDescent="0.2">
      <c r="A136" s="107"/>
      <c r="B136" s="107"/>
      <c r="C136" s="107"/>
      <c r="D136" s="107"/>
      <c r="E136" s="35"/>
      <c r="F136" s="36"/>
      <c r="G136" s="37"/>
      <c r="H136" s="38"/>
      <c r="I136" s="39"/>
      <c r="J136" s="39"/>
      <c r="K136" s="35"/>
      <c r="L136" s="103"/>
      <c r="M136" s="40"/>
      <c r="O136" s="107"/>
      <c r="P136" s="22"/>
      <c r="Q136" s="23"/>
      <c r="R136" s="107"/>
      <c r="S136" s="107"/>
      <c r="T136" s="107"/>
      <c r="U136" s="107"/>
      <c r="V136" s="107"/>
    </row>
    <row r="137" spans="1:22" s="12" customFormat="1" x14ac:dyDescent="0.2">
      <c r="A137" s="107"/>
      <c r="B137" s="107"/>
      <c r="C137" s="107"/>
      <c r="D137" s="107"/>
      <c r="E137" s="35"/>
      <c r="F137" s="36"/>
      <c r="G137" s="37"/>
      <c r="H137" s="38"/>
      <c r="I137" s="39"/>
      <c r="J137" s="39"/>
      <c r="K137" s="35"/>
      <c r="L137" s="103"/>
      <c r="M137" s="40"/>
      <c r="O137" s="107"/>
      <c r="P137" s="22"/>
      <c r="Q137" s="23"/>
      <c r="R137" s="107"/>
      <c r="S137" s="107"/>
      <c r="T137" s="107"/>
      <c r="U137" s="107"/>
      <c r="V137" s="107"/>
    </row>
    <row r="138" spans="1:22" s="12" customFormat="1" x14ac:dyDescent="0.2">
      <c r="A138" s="107"/>
      <c r="B138" s="107"/>
      <c r="C138" s="107"/>
      <c r="D138" s="107"/>
      <c r="E138" s="35"/>
      <c r="F138" s="36"/>
      <c r="G138" s="37"/>
      <c r="H138" s="38"/>
      <c r="I138" s="39"/>
      <c r="J138" s="39"/>
      <c r="K138" s="35"/>
      <c r="L138" s="103"/>
      <c r="M138" s="40"/>
      <c r="O138" s="107"/>
      <c r="P138" s="22"/>
      <c r="Q138" s="23"/>
      <c r="R138" s="107"/>
      <c r="S138" s="107"/>
      <c r="T138" s="107"/>
      <c r="U138" s="107"/>
      <c r="V138" s="107"/>
    </row>
    <row r="139" spans="1:22" s="12" customFormat="1" x14ac:dyDescent="0.2">
      <c r="A139" s="107"/>
      <c r="B139" s="107"/>
      <c r="C139" s="107"/>
      <c r="D139" s="107"/>
      <c r="E139" s="35"/>
      <c r="F139" s="36"/>
      <c r="G139" s="37"/>
      <c r="H139" s="38"/>
      <c r="I139" s="39"/>
      <c r="J139" s="39"/>
      <c r="K139" s="35"/>
      <c r="L139" s="103"/>
      <c r="M139" s="40"/>
      <c r="O139" s="107"/>
      <c r="P139" s="22"/>
      <c r="Q139" s="23"/>
      <c r="R139" s="107"/>
      <c r="S139" s="107"/>
      <c r="T139" s="107"/>
      <c r="U139" s="107"/>
      <c r="V139" s="107"/>
    </row>
    <row r="140" spans="1:22" s="12" customFormat="1" x14ac:dyDescent="0.2">
      <c r="A140" s="107"/>
      <c r="B140" s="107"/>
      <c r="C140" s="107"/>
      <c r="D140" s="107"/>
      <c r="E140" s="35"/>
      <c r="F140" s="36"/>
      <c r="G140" s="37"/>
      <c r="H140" s="38"/>
      <c r="I140" s="39"/>
      <c r="J140" s="39"/>
      <c r="K140" s="35"/>
      <c r="L140" s="103"/>
      <c r="M140" s="40"/>
      <c r="O140" s="107"/>
      <c r="P140" s="22"/>
      <c r="Q140" s="23"/>
      <c r="R140" s="107"/>
      <c r="S140" s="107"/>
      <c r="T140" s="107"/>
      <c r="U140" s="107"/>
      <c r="V140" s="107"/>
    </row>
    <row r="141" spans="1:22" s="12" customFormat="1" x14ac:dyDescent="0.2">
      <c r="A141" s="107"/>
      <c r="B141" s="107"/>
      <c r="C141" s="107"/>
      <c r="D141" s="107"/>
      <c r="E141" s="35"/>
      <c r="F141" s="36"/>
      <c r="G141" s="37"/>
      <c r="H141" s="38"/>
      <c r="I141" s="39"/>
      <c r="J141" s="39"/>
      <c r="K141" s="35"/>
      <c r="L141" s="103"/>
      <c r="M141" s="40"/>
      <c r="O141" s="107"/>
      <c r="P141" s="22"/>
      <c r="Q141" s="23"/>
      <c r="R141" s="107"/>
      <c r="S141" s="107"/>
      <c r="T141" s="107"/>
      <c r="U141" s="107"/>
      <c r="V141" s="107"/>
    </row>
    <row r="142" spans="1:22" s="12" customFormat="1" x14ac:dyDescent="0.2">
      <c r="A142" s="107"/>
      <c r="B142" s="107"/>
      <c r="C142" s="107"/>
      <c r="D142" s="107"/>
      <c r="E142" s="35"/>
      <c r="F142" s="36"/>
      <c r="G142" s="37"/>
      <c r="H142" s="38"/>
      <c r="I142" s="39"/>
      <c r="J142" s="39"/>
      <c r="K142" s="35"/>
      <c r="L142" s="103"/>
      <c r="M142" s="40"/>
      <c r="O142" s="107"/>
      <c r="P142" s="22"/>
      <c r="Q142" s="23"/>
      <c r="R142" s="107"/>
      <c r="S142" s="107"/>
      <c r="T142" s="107"/>
      <c r="U142" s="107"/>
      <c r="V142" s="107"/>
    </row>
    <row r="143" spans="1:22" s="12" customFormat="1" x14ac:dyDescent="0.2">
      <c r="A143" s="107"/>
      <c r="B143" s="107"/>
      <c r="C143" s="107"/>
      <c r="D143" s="107"/>
      <c r="E143" s="35"/>
      <c r="F143" s="36"/>
      <c r="G143" s="37"/>
      <c r="H143" s="38"/>
      <c r="I143" s="39"/>
      <c r="J143" s="39"/>
      <c r="K143" s="35"/>
      <c r="L143" s="103"/>
      <c r="M143" s="40"/>
      <c r="O143" s="107"/>
      <c r="P143" s="22"/>
      <c r="Q143" s="23"/>
      <c r="R143" s="107"/>
      <c r="S143" s="107"/>
      <c r="T143" s="107"/>
      <c r="U143" s="107"/>
      <c r="V143" s="107"/>
    </row>
    <row r="144" spans="1:22" s="12" customFormat="1" x14ac:dyDescent="0.2">
      <c r="A144" s="107"/>
      <c r="B144" s="107"/>
      <c r="C144" s="107"/>
      <c r="D144" s="107"/>
      <c r="E144" s="35"/>
      <c r="F144" s="36"/>
      <c r="G144" s="37"/>
      <c r="H144" s="38"/>
      <c r="I144" s="39"/>
      <c r="J144" s="39"/>
      <c r="K144" s="35"/>
      <c r="L144" s="103"/>
      <c r="M144" s="40"/>
      <c r="O144" s="107"/>
      <c r="P144" s="22"/>
      <c r="Q144" s="23"/>
      <c r="R144" s="107"/>
      <c r="S144" s="107"/>
      <c r="T144" s="107"/>
      <c r="U144" s="107"/>
      <c r="V144" s="107"/>
    </row>
    <row r="145" spans="1:22" s="12" customFormat="1" x14ac:dyDescent="0.2">
      <c r="A145" s="107"/>
      <c r="B145" s="107"/>
      <c r="C145" s="107"/>
      <c r="D145" s="107"/>
      <c r="E145" s="35"/>
      <c r="F145" s="36"/>
      <c r="G145" s="37"/>
      <c r="H145" s="38"/>
      <c r="I145" s="39"/>
      <c r="J145" s="39"/>
      <c r="K145" s="35"/>
      <c r="L145" s="103"/>
      <c r="M145" s="40"/>
      <c r="O145" s="107"/>
      <c r="P145" s="22"/>
      <c r="Q145" s="23"/>
      <c r="R145" s="107"/>
      <c r="S145" s="107"/>
      <c r="T145" s="107"/>
      <c r="U145" s="107"/>
      <c r="V145" s="107"/>
    </row>
    <row r="146" spans="1:22" s="12" customFormat="1" x14ac:dyDescent="0.2">
      <c r="A146" s="107"/>
      <c r="B146" s="107"/>
      <c r="C146" s="107"/>
      <c r="D146" s="107"/>
      <c r="E146" s="35"/>
      <c r="F146" s="36"/>
      <c r="G146" s="37"/>
      <c r="H146" s="38"/>
      <c r="I146" s="39"/>
      <c r="J146" s="39"/>
      <c r="K146" s="35"/>
      <c r="L146" s="103"/>
      <c r="M146" s="40"/>
      <c r="O146" s="107"/>
      <c r="P146" s="22"/>
      <c r="Q146" s="23"/>
      <c r="R146" s="107"/>
      <c r="S146" s="107"/>
      <c r="T146" s="107"/>
      <c r="U146" s="107"/>
      <c r="V146" s="107"/>
    </row>
    <row r="147" spans="1:22" s="12" customFormat="1" x14ac:dyDescent="0.2">
      <c r="A147" s="107"/>
      <c r="B147" s="107"/>
      <c r="C147" s="107"/>
      <c r="D147" s="107"/>
      <c r="E147" s="35"/>
      <c r="F147" s="36"/>
      <c r="G147" s="37"/>
      <c r="H147" s="38"/>
      <c r="I147" s="39"/>
      <c r="J147" s="39"/>
      <c r="K147" s="35"/>
      <c r="L147" s="103"/>
      <c r="M147" s="40"/>
      <c r="O147" s="107"/>
      <c r="P147" s="22"/>
      <c r="Q147" s="23"/>
      <c r="R147" s="107"/>
      <c r="S147" s="107"/>
      <c r="T147" s="107"/>
      <c r="U147" s="107"/>
      <c r="V147" s="107"/>
    </row>
    <row r="148" spans="1:22" s="12" customFormat="1" x14ac:dyDescent="0.2">
      <c r="A148" s="107"/>
      <c r="B148" s="107"/>
      <c r="C148" s="107"/>
      <c r="D148" s="107"/>
      <c r="E148" s="35"/>
      <c r="F148" s="36"/>
      <c r="G148" s="37"/>
      <c r="H148" s="38"/>
      <c r="I148" s="39"/>
      <c r="J148" s="39"/>
      <c r="K148" s="35"/>
      <c r="L148" s="103"/>
      <c r="M148" s="40"/>
      <c r="O148" s="107"/>
      <c r="P148" s="22"/>
      <c r="Q148" s="23"/>
      <c r="R148" s="107"/>
      <c r="S148" s="107"/>
      <c r="T148" s="107"/>
      <c r="U148" s="107"/>
      <c r="V148" s="107"/>
    </row>
    <row r="149" spans="1:22" s="12" customFormat="1" x14ac:dyDescent="0.2">
      <c r="A149" s="107"/>
      <c r="B149" s="107"/>
      <c r="C149" s="107"/>
      <c r="D149" s="107"/>
      <c r="E149" s="35"/>
      <c r="F149" s="36"/>
      <c r="G149" s="37"/>
      <c r="H149" s="38"/>
      <c r="I149" s="39"/>
      <c r="J149" s="39"/>
      <c r="K149" s="35"/>
      <c r="L149" s="103"/>
      <c r="M149" s="40"/>
      <c r="O149" s="107"/>
      <c r="P149" s="22"/>
      <c r="Q149" s="23"/>
      <c r="R149" s="107"/>
      <c r="S149" s="107"/>
      <c r="T149" s="107"/>
      <c r="U149" s="107"/>
      <c r="V149" s="107"/>
    </row>
    <row r="150" spans="1:22" s="12" customFormat="1" x14ac:dyDescent="0.2">
      <c r="A150" s="107"/>
      <c r="B150" s="107"/>
      <c r="C150" s="107"/>
      <c r="D150" s="107"/>
      <c r="E150" s="35"/>
      <c r="F150" s="36"/>
      <c r="G150" s="37"/>
      <c r="H150" s="38"/>
      <c r="I150" s="39"/>
      <c r="J150" s="39"/>
      <c r="K150" s="35"/>
      <c r="L150" s="103"/>
      <c r="M150" s="40"/>
      <c r="O150" s="107"/>
      <c r="P150" s="22"/>
      <c r="Q150" s="23"/>
      <c r="R150" s="107"/>
      <c r="S150" s="107"/>
      <c r="T150" s="107"/>
      <c r="U150" s="107"/>
      <c r="V150" s="107"/>
    </row>
    <row r="151" spans="1:22" s="12" customFormat="1" x14ac:dyDescent="0.2">
      <c r="A151" s="107"/>
      <c r="B151" s="107"/>
      <c r="C151" s="107"/>
      <c r="D151" s="107"/>
      <c r="E151" s="35"/>
      <c r="F151" s="36"/>
      <c r="G151" s="37"/>
      <c r="H151" s="38"/>
      <c r="I151" s="39"/>
      <c r="J151" s="39"/>
      <c r="K151" s="35"/>
      <c r="L151" s="103"/>
      <c r="M151" s="40"/>
      <c r="O151" s="107"/>
      <c r="P151" s="22"/>
      <c r="Q151" s="23"/>
      <c r="R151" s="107"/>
      <c r="S151" s="107"/>
      <c r="T151" s="107"/>
      <c r="U151" s="107"/>
      <c r="V151" s="107"/>
    </row>
    <row r="152" spans="1:22" s="12" customFormat="1" x14ac:dyDescent="0.2">
      <c r="A152" s="107"/>
      <c r="B152" s="107"/>
      <c r="C152" s="107"/>
      <c r="D152" s="107"/>
      <c r="E152" s="35"/>
      <c r="F152" s="36"/>
      <c r="G152" s="37"/>
      <c r="H152" s="38"/>
      <c r="I152" s="39"/>
      <c r="J152" s="39"/>
      <c r="K152" s="35"/>
      <c r="L152" s="103"/>
      <c r="M152" s="40"/>
      <c r="O152" s="107"/>
      <c r="P152" s="22"/>
      <c r="Q152" s="23"/>
      <c r="R152" s="107"/>
      <c r="S152" s="107"/>
      <c r="T152" s="107"/>
      <c r="U152" s="107"/>
      <c r="V152" s="107"/>
    </row>
    <row r="153" spans="1:22" s="12" customFormat="1" x14ac:dyDescent="0.2">
      <c r="A153" s="107"/>
      <c r="B153" s="107"/>
      <c r="C153" s="107"/>
      <c r="D153" s="107"/>
      <c r="E153" s="35"/>
      <c r="F153" s="36"/>
      <c r="G153" s="37"/>
      <c r="H153" s="38"/>
      <c r="I153" s="39"/>
      <c r="J153" s="39"/>
      <c r="K153" s="35"/>
      <c r="L153" s="103"/>
      <c r="M153" s="40"/>
      <c r="O153" s="107"/>
      <c r="P153" s="22"/>
      <c r="Q153" s="23"/>
      <c r="R153" s="107"/>
      <c r="S153" s="107"/>
      <c r="T153" s="107"/>
      <c r="U153" s="107"/>
      <c r="V153" s="107"/>
    </row>
    <row r="154" spans="1:22" s="12" customFormat="1" x14ac:dyDescent="0.2">
      <c r="A154" s="107"/>
      <c r="B154" s="107"/>
      <c r="C154" s="107"/>
      <c r="D154" s="107"/>
      <c r="E154" s="35"/>
      <c r="F154" s="36"/>
      <c r="G154" s="37"/>
      <c r="H154" s="38"/>
      <c r="I154" s="39"/>
      <c r="J154" s="39"/>
      <c r="K154" s="35"/>
      <c r="L154" s="103"/>
      <c r="M154" s="40"/>
      <c r="O154" s="107"/>
      <c r="P154" s="22"/>
      <c r="Q154" s="23"/>
      <c r="R154" s="107"/>
      <c r="S154" s="107"/>
      <c r="T154" s="107"/>
      <c r="U154" s="107"/>
      <c r="V154" s="107"/>
    </row>
    <row r="155" spans="1:22" s="12" customFormat="1" x14ac:dyDescent="0.2">
      <c r="A155" s="107"/>
      <c r="B155" s="107"/>
      <c r="C155" s="107"/>
      <c r="D155" s="107"/>
      <c r="E155" s="35"/>
      <c r="F155" s="36"/>
      <c r="G155" s="37"/>
      <c r="H155" s="38"/>
      <c r="I155" s="39"/>
      <c r="J155" s="39"/>
      <c r="K155" s="35"/>
      <c r="L155" s="103"/>
      <c r="M155" s="40"/>
      <c r="O155" s="107"/>
      <c r="P155" s="22"/>
      <c r="Q155" s="23"/>
      <c r="R155" s="107"/>
      <c r="S155" s="107"/>
      <c r="T155" s="107"/>
      <c r="U155" s="107"/>
      <c r="V155" s="107"/>
    </row>
    <row r="156" spans="1:22" s="12" customFormat="1" x14ac:dyDescent="0.2">
      <c r="A156" s="107"/>
      <c r="B156" s="28"/>
      <c r="C156" s="107"/>
      <c r="D156" s="107"/>
      <c r="E156" s="35"/>
      <c r="F156" s="36"/>
      <c r="G156" s="37"/>
      <c r="H156" s="38"/>
      <c r="I156" s="39"/>
      <c r="J156" s="39"/>
      <c r="K156" s="35"/>
      <c r="L156" s="103"/>
      <c r="M156" s="40"/>
      <c r="O156" s="107"/>
      <c r="P156" s="22"/>
      <c r="Q156" s="23"/>
      <c r="R156" s="107"/>
      <c r="S156" s="107"/>
      <c r="T156" s="107"/>
      <c r="U156" s="107"/>
      <c r="V156" s="107"/>
    </row>
    <row r="157" spans="1:22" s="12" customFormat="1" x14ac:dyDescent="0.2">
      <c r="A157" s="107"/>
      <c r="B157" s="107"/>
      <c r="C157" s="107"/>
      <c r="D157" s="107"/>
      <c r="E157" s="35"/>
      <c r="F157" s="36"/>
      <c r="G157" s="37"/>
      <c r="H157" s="38"/>
      <c r="I157" s="39"/>
      <c r="J157" s="39"/>
      <c r="K157" s="35"/>
      <c r="L157" s="103"/>
      <c r="M157" s="40"/>
      <c r="O157" s="107"/>
      <c r="P157" s="22"/>
      <c r="Q157" s="23"/>
      <c r="R157" s="107"/>
      <c r="S157" s="107"/>
      <c r="T157" s="107"/>
      <c r="U157" s="107"/>
      <c r="V157" s="107"/>
    </row>
    <row r="158" spans="1:22" s="12" customFormat="1" x14ac:dyDescent="0.2">
      <c r="A158" s="107"/>
      <c r="B158" s="107"/>
      <c r="C158" s="107"/>
      <c r="D158" s="107"/>
      <c r="E158" s="35"/>
      <c r="F158" s="36"/>
      <c r="G158" s="37"/>
      <c r="H158" s="38"/>
      <c r="I158" s="39"/>
      <c r="J158" s="39"/>
      <c r="K158" s="35"/>
      <c r="L158" s="103"/>
      <c r="M158" s="40"/>
      <c r="O158" s="107"/>
      <c r="P158" s="22"/>
      <c r="Q158" s="23"/>
      <c r="R158" s="107"/>
      <c r="S158" s="107"/>
      <c r="T158" s="107"/>
      <c r="U158" s="107"/>
      <c r="V158" s="107"/>
    </row>
    <row r="159" spans="1:22" s="12" customFormat="1" x14ac:dyDescent="0.2">
      <c r="A159" s="107"/>
      <c r="B159" s="107"/>
      <c r="C159" s="107"/>
      <c r="D159" s="107"/>
      <c r="E159" s="35"/>
      <c r="F159" s="36"/>
      <c r="G159" s="37"/>
      <c r="H159" s="38"/>
      <c r="I159" s="39"/>
      <c r="J159" s="39"/>
      <c r="K159" s="35"/>
      <c r="L159" s="103"/>
      <c r="M159" s="40"/>
      <c r="O159" s="107"/>
      <c r="P159" s="22"/>
      <c r="Q159" s="23"/>
      <c r="R159" s="107"/>
      <c r="S159" s="107"/>
      <c r="T159" s="107"/>
      <c r="U159" s="107"/>
      <c r="V159" s="107"/>
    </row>
    <row r="160" spans="1:22" s="12" customFormat="1" x14ac:dyDescent="0.2">
      <c r="A160" s="107"/>
      <c r="B160" s="107"/>
      <c r="C160" s="107"/>
      <c r="D160" s="107"/>
      <c r="E160" s="35"/>
      <c r="F160" s="36"/>
      <c r="G160" s="37"/>
      <c r="H160" s="38"/>
      <c r="I160" s="39"/>
      <c r="J160" s="39"/>
      <c r="K160" s="35"/>
      <c r="L160" s="103"/>
      <c r="M160" s="40"/>
      <c r="O160" s="107"/>
      <c r="P160" s="22"/>
      <c r="Q160" s="23"/>
      <c r="R160" s="107"/>
      <c r="S160" s="107"/>
      <c r="T160" s="107"/>
      <c r="U160" s="107"/>
      <c r="V160" s="107"/>
    </row>
    <row r="161" spans="1:22" s="12" customFormat="1" x14ac:dyDescent="0.2">
      <c r="A161" s="107"/>
      <c r="B161" s="107"/>
      <c r="C161" s="107"/>
      <c r="D161" s="107"/>
      <c r="E161" s="35"/>
      <c r="F161" s="36"/>
      <c r="G161" s="37"/>
      <c r="H161" s="38"/>
      <c r="I161" s="39"/>
      <c r="J161" s="39"/>
      <c r="K161" s="35"/>
      <c r="L161" s="103"/>
      <c r="M161" s="40"/>
      <c r="O161" s="107"/>
      <c r="P161" s="22"/>
      <c r="Q161" s="23"/>
      <c r="R161" s="107"/>
      <c r="S161" s="107"/>
      <c r="T161" s="107"/>
      <c r="U161" s="107"/>
      <c r="V161" s="107"/>
    </row>
    <row r="162" spans="1:22" s="12" customFormat="1" x14ac:dyDescent="0.2">
      <c r="A162" s="107"/>
      <c r="B162" s="107"/>
      <c r="C162" s="107"/>
      <c r="D162" s="107"/>
      <c r="E162" s="35"/>
      <c r="F162" s="36"/>
      <c r="G162" s="37"/>
      <c r="H162" s="38"/>
      <c r="I162" s="39"/>
      <c r="J162" s="39"/>
      <c r="K162" s="35"/>
      <c r="L162" s="103"/>
      <c r="M162" s="40"/>
      <c r="O162" s="107"/>
      <c r="P162" s="22"/>
      <c r="Q162" s="23"/>
      <c r="R162" s="107"/>
      <c r="S162" s="107"/>
      <c r="T162" s="107"/>
      <c r="U162" s="107"/>
      <c r="V162" s="107"/>
    </row>
    <row r="163" spans="1:22" s="12" customFormat="1" x14ac:dyDescent="0.2">
      <c r="A163" s="107"/>
      <c r="B163" s="107"/>
      <c r="C163" s="107"/>
      <c r="D163" s="107"/>
      <c r="E163" s="35"/>
      <c r="F163" s="36"/>
      <c r="G163" s="37"/>
      <c r="H163" s="38"/>
      <c r="I163" s="39"/>
      <c r="J163" s="39"/>
      <c r="K163" s="35"/>
      <c r="L163" s="103"/>
      <c r="M163" s="40"/>
      <c r="O163" s="107"/>
      <c r="P163" s="22"/>
      <c r="Q163" s="23"/>
      <c r="R163" s="107"/>
      <c r="S163" s="107"/>
      <c r="T163" s="107"/>
      <c r="U163" s="107"/>
      <c r="V163" s="107"/>
    </row>
    <row r="164" spans="1:22" s="12" customFormat="1" x14ac:dyDescent="0.2">
      <c r="A164" s="107"/>
      <c r="B164" s="107"/>
      <c r="C164" s="107"/>
      <c r="D164" s="107"/>
      <c r="E164" s="35"/>
      <c r="F164" s="36"/>
      <c r="G164" s="37"/>
      <c r="H164" s="38"/>
      <c r="I164" s="39"/>
      <c r="J164" s="39"/>
      <c r="K164" s="35"/>
      <c r="L164" s="103"/>
      <c r="M164" s="40"/>
      <c r="O164" s="107"/>
      <c r="P164" s="22"/>
      <c r="Q164" s="23"/>
      <c r="R164" s="107"/>
      <c r="S164" s="107"/>
      <c r="T164" s="107"/>
      <c r="U164" s="107"/>
      <c r="V164" s="107"/>
    </row>
    <row r="165" spans="1:22" s="12" customFormat="1" x14ac:dyDescent="0.2">
      <c r="A165" s="107"/>
      <c r="B165" s="107"/>
      <c r="C165" s="107"/>
      <c r="D165" s="107"/>
      <c r="E165" s="35"/>
      <c r="F165" s="36"/>
      <c r="G165" s="37"/>
      <c r="H165" s="38"/>
      <c r="I165" s="39"/>
      <c r="J165" s="39"/>
      <c r="K165" s="35"/>
      <c r="L165" s="103"/>
      <c r="M165" s="40"/>
      <c r="O165" s="107"/>
      <c r="P165" s="22"/>
      <c r="Q165" s="23"/>
      <c r="R165" s="107"/>
      <c r="S165" s="107"/>
      <c r="T165" s="107"/>
      <c r="U165" s="107"/>
      <c r="V165" s="107"/>
    </row>
    <row r="166" spans="1:22" s="12" customFormat="1" x14ac:dyDescent="0.2">
      <c r="A166" s="107"/>
      <c r="B166" s="107"/>
      <c r="C166" s="107"/>
      <c r="D166" s="107"/>
      <c r="E166" s="35"/>
      <c r="F166" s="36"/>
      <c r="G166" s="37"/>
      <c r="H166" s="38"/>
      <c r="I166" s="39"/>
      <c r="J166" s="39"/>
      <c r="K166" s="35"/>
      <c r="L166" s="103"/>
      <c r="M166" s="40"/>
      <c r="O166" s="107"/>
      <c r="P166" s="22"/>
      <c r="Q166" s="23"/>
      <c r="R166" s="107"/>
      <c r="S166" s="107"/>
      <c r="T166" s="107"/>
      <c r="U166" s="107"/>
      <c r="V166" s="107"/>
    </row>
    <row r="167" spans="1:22" s="12" customFormat="1" x14ac:dyDescent="0.2">
      <c r="A167" s="107"/>
      <c r="B167" s="107"/>
      <c r="C167" s="107"/>
      <c r="D167" s="107"/>
      <c r="E167" s="35"/>
      <c r="F167" s="36"/>
      <c r="G167" s="37"/>
      <c r="H167" s="38"/>
      <c r="I167" s="39"/>
      <c r="J167" s="39"/>
      <c r="K167" s="35"/>
      <c r="L167" s="103"/>
      <c r="M167" s="40"/>
      <c r="O167" s="107"/>
      <c r="P167" s="22"/>
      <c r="Q167" s="23"/>
      <c r="R167" s="107"/>
      <c r="S167" s="107"/>
      <c r="T167" s="107"/>
      <c r="U167" s="107"/>
      <c r="V167" s="107"/>
    </row>
    <row r="168" spans="1:22" s="12" customFormat="1" x14ac:dyDescent="0.2">
      <c r="A168" s="107"/>
      <c r="B168" s="107"/>
      <c r="C168" s="107"/>
      <c r="D168" s="107"/>
      <c r="E168" s="35"/>
      <c r="F168" s="36"/>
      <c r="G168" s="37"/>
      <c r="H168" s="38"/>
      <c r="I168" s="39"/>
      <c r="J168" s="39"/>
      <c r="K168" s="35"/>
      <c r="L168" s="103"/>
      <c r="M168" s="40"/>
      <c r="O168" s="107"/>
      <c r="P168" s="22"/>
      <c r="Q168" s="23"/>
      <c r="R168" s="107"/>
      <c r="S168" s="107"/>
      <c r="T168" s="107"/>
      <c r="U168" s="107"/>
      <c r="V168" s="107"/>
    </row>
    <row r="169" spans="1:22" s="12" customFormat="1" x14ac:dyDescent="0.2">
      <c r="A169" s="107"/>
      <c r="B169" s="107"/>
      <c r="C169" s="107"/>
      <c r="D169" s="107"/>
      <c r="E169" s="35"/>
      <c r="F169" s="36"/>
      <c r="G169" s="37"/>
      <c r="H169" s="38"/>
      <c r="I169" s="39"/>
      <c r="J169" s="39"/>
      <c r="K169" s="35"/>
      <c r="L169" s="103"/>
      <c r="M169" s="40"/>
      <c r="O169" s="107"/>
      <c r="P169" s="22"/>
      <c r="Q169" s="23"/>
      <c r="R169" s="107"/>
      <c r="S169" s="107"/>
      <c r="T169" s="107"/>
      <c r="U169" s="107"/>
      <c r="V169" s="107"/>
    </row>
    <row r="170" spans="1:22" s="12" customFormat="1" x14ac:dyDescent="0.2">
      <c r="A170" s="107"/>
      <c r="B170" s="107"/>
      <c r="C170" s="107"/>
      <c r="D170" s="107"/>
      <c r="E170" s="35"/>
      <c r="F170" s="36"/>
      <c r="G170" s="37"/>
      <c r="H170" s="38"/>
      <c r="I170" s="39"/>
      <c r="J170" s="39"/>
      <c r="K170" s="35"/>
      <c r="L170" s="103"/>
      <c r="M170" s="40"/>
      <c r="O170" s="107"/>
      <c r="P170" s="22"/>
      <c r="Q170" s="23"/>
      <c r="R170" s="107"/>
      <c r="S170" s="107"/>
      <c r="T170" s="107"/>
      <c r="U170" s="107"/>
      <c r="V170" s="107"/>
    </row>
    <row r="171" spans="1:22" s="12" customFormat="1" x14ac:dyDescent="0.2">
      <c r="A171" s="107"/>
      <c r="B171" s="107"/>
      <c r="C171" s="107"/>
      <c r="D171" s="107"/>
      <c r="E171" s="35"/>
      <c r="F171" s="36"/>
      <c r="G171" s="37"/>
      <c r="H171" s="38"/>
      <c r="I171" s="39"/>
      <c r="J171" s="39"/>
      <c r="K171" s="35"/>
      <c r="L171" s="103"/>
      <c r="M171" s="40"/>
      <c r="O171" s="107"/>
      <c r="P171" s="22"/>
      <c r="Q171" s="23"/>
      <c r="R171" s="107"/>
      <c r="S171" s="107"/>
      <c r="T171" s="107"/>
      <c r="U171" s="107"/>
      <c r="V171" s="107"/>
    </row>
    <row r="172" spans="1:22" s="12" customFormat="1" x14ac:dyDescent="0.2">
      <c r="A172" s="107"/>
      <c r="B172" s="107"/>
      <c r="C172" s="107"/>
      <c r="D172" s="107"/>
      <c r="E172" s="35"/>
      <c r="F172" s="36"/>
      <c r="G172" s="37"/>
      <c r="H172" s="38"/>
      <c r="I172" s="39"/>
      <c r="J172" s="39"/>
      <c r="K172" s="35"/>
      <c r="L172" s="103"/>
      <c r="M172" s="40"/>
      <c r="O172" s="107"/>
      <c r="P172" s="22"/>
      <c r="Q172" s="23"/>
      <c r="R172" s="107"/>
      <c r="S172" s="107"/>
      <c r="T172" s="107"/>
      <c r="U172" s="107"/>
      <c r="V172" s="107"/>
    </row>
    <row r="173" spans="1:22" s="12" customFormat="1" x14ac:dyDescent="0.2">
      <c r="A173" s="107"/>
      <c r="B173" s="107"/>
      <c r="C173" s="107"/>
      <c r="D173" s="107"/>
      <c r="E173" s="35"/>
      <c r="F173" s="36"/>
      <c r="G173" s="37"/>
      <c r="H173" s="38"/>
      <c r="I173" s="39"/>
      <c r="J173" s="39"/>
      <c r="K173" s="35"/>
      <c r="L173" s="103"/>
      <c r="M173" s="40"/>
      <c r="O173" s="107"/>
      <c r="P173" s="22"/>
      <c r="Q173" s="23"/>
      <c r="R173" s="107"/>
      <c r="S173" s="107"/>
      <c r="T173" s="107"/>
      <c r="U173" s="107"/>
      <c r="V173" s="107"/>
    </row>
    <row r="174" spans="1:22" s="12" customFormat="1" x14ac:dyDescent="0.2">
      <c r="A174" s="107"/>
      <c r="B174" s="107"/>
      <c r="C174" s="107"/>
      <c r="D174" s="107"/>
      <c r="E174" s="35"/>
      <c r="F174" s="36"/>
      <c r="G174" s="37"/>
      <c r="H174" s="38"/>
      <c r="I174" s="39"/>
      <c r="J174" s="39"/>
      <c r="K174" s="35"/>
      <c r="L174" s="103"/>
      <c r="M174" s="40"/>
      <c r="O174" s="107"/>
      <c r="P174" s="22"/>
      <c r="Q174" s="23"/>
      <c r="R174" s="107"/>
      <c r="S174" s="107"/>
      <c r="T174" s="107"/>
      <c r="U174" s="107"/>
      <c r="V174" s="107"/>
    </row>
    <row r="175" spans="1:22" s="12" customFormat="1" x14ac:dyDescent="0.2">
      <c r="A175" s="107"/>
      <c r="B175" s="107"/>
      <c r="C175" s="107"/>
      <c r="D175" s="107"/>
      <c r="E175" s="35"/>
      <c r="F175" s="36"/>
      <c r="G175" s="37"/>
      <c r="H175" s="38"/>
      <c r="I175" s="39"/>
      <c r="J175" s="39"/>
      <c r="K175" s="35"/>
      <c r="L175" s="103"/>
      <c r="M175" s="40"/>
      <c r="O175" s="107"/>
      <c r="P175" s="22"/>
      <c r="Q175" s="23"/>
      <c r="R175" s="107"/>
      <c r="S175" s="107"/>
      <c r="T175" s="107"/>
      <c r="U175" s="107"/>
      <c r="V175" s="107"/>
    </row>
    <row r="176" spans="1:22" s="12" customFormat="1" x14ac:dyDescent="0.2">
      <c r="A176" s="107"/>
      <c r="B176" s="107"/>
      <c r="C176" s="107"/>
      <c r="D176" s="107"/>
      <c r="E176" s="35"/>
      <c r="F176" s="36"/>
      <c r="G176" s="37"/>
      <c r="H176" s="38"/>
      <c r="I176" s="39"/>
      <c r="J176" s="39"/>
      <c r="K176" s="35"/>
      <c r="L176" s="103"/>
      <c r="M176" s="40"/>
      <c r="O176" s="107"/>
      <c r="P176" s="22"/>
      <c r="Q176" s="23"/>
      <c r="R176" s="107"/>
      <c r="S176" s="107"/>
      <c r="T176" s="107"/>
      <c r="U176" s="107"/>
      <c r="V176" s="107"/>
    </row>
    <row r="177" spans="1:22" s="12" customFormat="1" x14ac:dyDescent="0.2">
      <c r="A177" s="107"/>
      <c r="B177" s="28"/>
      <c r="C177" s="107"/>
      <c r="D177" s="107"/>
      <c r="E177" s="35"/>
      <c r="F177" s="36"/>
      <c r="G177" s="37"/>
      <c r="H177" s="38"/>
      <c r="I177" s="39"/>
      <c r="J177" s="39"/>
      <c r="K177" s="35"/>
      <c r="L177" s="103"/>
      <c r="M177" s="40"/>
      <c r="O177" s="107"/>
      <c r="P177" s="22"/>
      <c r="Q177" s="23"/>
      <c r="R177" s="107"/>
      <c r="S177" s="107"/>
      <c r="T177" s="107"/>
      <c r="U177" s="107"/>
      <c r="V177" s="107"/>
    </row>
    <row r="178" spans="1:22" s="12" customFormat="1" x14ac:dyDescent="0.2">
      <c r="A178" s="107"/>
      <c r="B178" s="107"/>
      <c r="C178" s="107"/>
      <c r="D178" s="107"/>
      <c r="E178" s="35"/>
      <c r="F178" s="36"/>
      <c r="G178" s="37"/>
      <c r="H178" s="38"/>
      <c r="I178" s="39"/>
      <c r="J178" s="39"/>
      <c r="K178" s="35"/>
      <c r="L178" s="103"/>
      <c r="M178" s="40"/>
      <c r="O178" s="107"/>
      <c r="P178" s="22"/>
      <c r="Q178" s="23"/>
      <c r="R178" s="107"/>
      <c r="S178" s="107"/>
      <c r="T178" s="107"/>
      <c r="U178" s="107"/>
      <c r="V178" s="107"/>
    </row>
    <row r="179" spans="1:22" s="12" customFormat="1" x14ac:dyDescent="0.2">
      <c r="A179" s="107"/>
      <c r="B179" s="107"/>
      <c r="C179" s="107"/>
      <c r="D179" s="107"/>
      <c r="E179" s="35"/>
      <c r="F179" s="36"/>
      <c r="G179" s="37"/>
      <c r="H179" s="38"/>
      <c r="I179" s="39"/>
      <c r="J179" s="39"/>
      <c r="K179" s="35"/>
      <c r="L179" s="103"/>
      <c r="M179" s="40"/>
      <c r="O179" s="107"/>
      <c r="P179" s="22"/>
      <c r="Q179" s="23"/>
      <c r="R179" s="107"/>
      <c r="S179" s="107"/>
      <c r="T179" s="107"/>
      <c r="U179" s="107"/>
      <c r="V179" s="107"/>
    </row>
    <row r="180" spans="1:22" s="12" customFormat="1" x14ac:dyDescent="0.2">
      <c r="A180" s="107"/>
      <c r="B180" s="107"/>
      <c r="C180" s="107"/>
      <c r="D180" s="107"/>
      <c r="E180" s="35"/>
      <c r="F180" s="36"/>
      <c r="G180" s="37"/>
      <c r="H180" s="38"/>
      <c r="I180" s="39"/>
      <c r="J180" s="39"/>
      <c r="K180" s="35"/>
      <c r="L180" s="103"/>
      <c r="M180" s="40"/>
      <c r="O180" s="107"/>
      <c r="P180" s="22"/>
      <c r="Q180" s="23"/>
      <c r="R180" s="107"/>
      <c r="S180" s="107"/>
      <c r="T180" s="107"/>
      <c r="U180" s="107"/>
      <c r="V180" s="107"/>
    </row>
    <row r="181" spans="1:22" s="12" customFormat="1" x14ac:dyDescent="0.2">
      <c r="A181" s="107"/>
      <c r="B181" s="107"/>
      <c r="C181" s="107"/>
      <c r="D181" s="107"/>
      <c r="E181" s="35"/>
      <c r="F181" s="36"/>
      <c r="G181" s="37"/>
      <c r="H181" s="38"/>
      <c r="I181" s="39"/>
      <c r="J181" s="39"/>
      <c r="K181" s="35"/>
      <c r="L181" s="103"/>
      <c r="M181" s="40"/>
      <c r="O181" s="107"/>
      <c r="P181" s="22"/>
      <c r="Q181" s="23"/>
      <c r="R181" s="107"/>
      <c r="S181" s="107"/>
      <c r="T181" s="107"/>
      <c r="U181" s="107"/>
      <c r="V181" s="107"/>
    </row>
    <row r="182" spans="1:22" s="12" customFormat="1" x14ac:dyDescent="0.2">
      <c r="A182" s="107"/>
      <c r="B182" s="107"/>
      <c r="C182" s="107"/>
      <c r="D182" s="107"/>
      <c r="E182" s="35"/>
      <c r="F182" s="36"/>
      <c r="G182" s="37"/>
      <c r="H182" s="38"/>
      <c r="I182" s="39"/>
      <c r="J182" s="39"/>
      <c r="K182" s="35"/>
      <c r="L182" s="103"/>
      <c r="M182" s="40"/>
      <c r="O182" s="107"/>
      <c r="P182" s="22"/>
      <c r="Q182" s="23"/>
      <c r="R182" s="107"/>
      <c r="S182" s="107"/>
      <c r="T182" s="107"/>
      <c r="U182" s="107"/>
      <c r="V182" s="107"/>
    </row>
    <row r="183" spans="1:22" s="12" customFormat="1" x14ac:dyDescent="0.2">
      <c r="A183" s="107"/>
      <c r="B183" s="107"/>
      <c r="C183" s="107"/>
      <c r="D183" s="107"/>
      <c r="E183" s="35"/>
      <c r="F183" s="36"/>
      <c r="G183" s="37"/>
      <c r="H183" s="38"/>
      <c r="I183" s="39"/>
      <c r="J183" s="39"/>
      <c r="K183" s="35"/>
      <c r="L183" s="103"/>
      <c r="M183" s="40"/>
      <c r="O183" s="107"/>
      <c r="P183" s="22"/>
      <c r="Q183" s="23"/>
      <c r="R183" s="107"/>
      <c r="S183" s="107"/>
      <c r="T183" s="107"/>
      <c r="U183" s="107"/>
      <c r="V183" s="107"/>
    </row>
    <row r="184" spans="1:22" s="12" customFormat="1" x14ac:dyDescent="0.2">
      <c r="A184" s="107"/>
      <c r="B184" s="107"/>
      <c r="C184" s="107"/>
      <c r="D184" s="107"/>
      <c r="E184" s="35"/>
      <c r="F184" s="36"/>
      <c r="G184" s="37"/>
      <c r="H184" s="38"/>
      <c r="I184" s="39"/>
      <c r="J184" s="39"/>
      <c r="K184" s="35"/>
      <c r="L184" s="103"/>
      <c r="M184" s="40"/>
      <c r="O184" s="107"/>
      <c r="P184" s="22"/>
      <c r="Q184" s="23"/>
      <c r="R184" s="107"/>
      <c r="S184" s="107"/>
      <c r="T184" s="107"/>
      <c r="U184" s="107"/>
      <c r="V184" s="107"/>
    </row>
    <row r="185" spans="1:22" s="12" customFormat="1" x14ac:dyDescent="0.2">
      <c r="A185" s="107"/>
      <c r="B185" s="107"/>
      <c r="C185" s="107"/>
      <c r="D185" s="107"/>
      <c r="E185" s="35"/>
      <c r="F185" s="36"/>
      <c r="G185" s="37"/>
      <c r="H185" s="38"/>
      <c r="I185" s="39"/>
      <c r="J185" s="39"/>
      <c r="K185" s="35"/>
      <c r="L185" s="103"/>
      <c r="M185" s="40"/>
      <c r="O185" s="107"/>
      <c r="P185" s="22"/>
      <c r="Q185" s="23"/>
      <c r="R185" s="107"/>
      <c r="S185" s="107"/>
      <c r="T185" s="107"/>
      <c r="U185" s="107"/>
      <c r="V185" s="107"/>
    </row>
    <row r="186" spans="1:22" s="12" customFormat="1" x14ac:dyDescent="0.2">
      <c r="A186" s="107"/>
      <c r="B186" s="107"/>
      <c r="C186" s="107"/>
      <c r="D186" s="107"/>
      <c r="E186" s="35"/>
      <c r="F186" s="36"/>
      <c r="G186" s="37"/>
      <c r="H186" s="38"/>
      <c r="I186" s="39"/>
      <c r="J186" s="39"/>
      <c r="K186" s="35"/>
      <c r="L186" s="103"/>
      <c r="M186" s="40"/>
      <c r="O186" s="107"/>
      <c r="P186" s="22"/>
      <c r="Q186" s="23"/>
      <c r="R186" s="107"/>
      <c r="S186" s="107"/>
      <c r="T186" s="107"/>
      <c r="U186" s="107"/>
      <c r="V186" s="107"/>
    </row>
    <row r="187" spans="1:22" s="12" customFormat="1" x14ac:dyDescent="0.2">
      <c r="A187" s="107"/>
      <c r="B187" s="107"/>
      <c r="C187" s="107"/>
      <c r="D187" s="107"/>
      <c r="E187" s="35"/>
      <c r="F187" s="36"/>
      <c r="G187" s="37"/>
      <c r="H187" s="38"/>
      <c r="I187" s="39"/>
      <c r="J187" s="39"/>
      <c r="K187" s="35"/>
      <c r="L187" s="103"/>
      <c r="M187" s="40"/>
      <c r="O187" s="107"/>
      <c r="P187" s="22"/>
      <c r="Q187" s="23"/>
      <c r="R187" s="107"/>
      <c r="S187" s="107"/>
      <c r="T187" s="107"/>
      <c r="U187" s="107"/>
      <c r="V187" s="107"/>
    </row>
    <row r="188" spans="1:22" s="12" customFormat="1" x14ac:dyDescent="0.2">
      <c r="A188" s="107"/>
      <c r="B188" s="107"/>
      <c r="C188" s="107"/>
      <c r="D188" s="107"/>
      <c r="E188" s="35"/>
      <c r="F188" s="36"/>
      <c r="G188" s="37"/>
      <c r="H188" s="38"/>
      <c r="I188" s="39"/>
      <c r="J188" s="39"/>
      <c r="K188" s="35"/>
      <c r="L188" s="103"/>
      <c r="M188" s="40"/>
      <c r="O188" s="107"/>
      <c r="P188" s="22"/>
      <c r="Q188" s="23"/>
      <c r="R188" s="107"/>
      <c r="S188" s="107"/>
      <c r="T188" s="107"/>
      <c r="U188" s="107"/>
      <c r="V188" s="107"/>
    </row>
    <row r="189" spans="1:22" s="12" customFormat="1" x14ac:dyDescent="0.2">
      <c r="A189" s="107"/>
      <c r="B189" s="107"/>
      <c r="C189" s="107"/>
      <c r="D189" s="107"/>
      <c r="E189" s="35"/>
      <c r="F189" s="36"/>
      <c r="G189" s="37"/>
      <c r="H189" s="38"/>
      <c r="I189" s="39"/>
      <c r="J189" s="39"/>
      <c r="K189" s="35"/>
      <c r="L189" s="103"/>
      <c r="M189" s="40"/>
      <c r="O189" s="107"/>
      <c r="P189" s="22"/>
      <c r="Q189" s="23"/>
      <c r="R189" s="107"/>
      <c r="S189" s="107"/>
      <c r="T189" s="107"/>
      <c r="U189" s="107"/>
      <c r="V189" s="107"/>
    </row>
    <row r="190" spans="1:22" s="12" customFormat="1" x14ac:dyDescent="0.2">
      <c r="A190" s="107"/>
      <c r="B190" s="107"/>
      <c r="C190" s="107"/>
      <c r="D190" s="107"/>
      <c r="E190" s="35"/>
      <c r="F190" s="36"/>
      <c r="G190" s="37"/>
      <c r="H190" s="38"/>
      <c r="I190" s="39"/>
      <c r="J190" s="39"/>
      <c r="K190" s="35"/>
      <c r="L190" s="103"/>
      <c r="M190" s="40"/>
      <c r="O190" s="107"/>
      <c r="P190" s="22"/>
      <c r="Q190" s="23"/>
      <c r="R190" s="107"/>
      <c r="S190" s="107"/>
      <c r="T190" s="107"/>
      <c r="U190" s="107"/>
      <c r="V190" s="107"/>
    </row>
    <row r="191" spans="1:22" s="12" customFormat="1" x14ac:dyDescent="0.2">
      <c r="A191" s="107"/>
      <c r="B191" s="107"/>
      <c r="C191" s="107"/>
      <c r="D191" s="107"/>
      <c r="E191" s="35"/>
      <c r="F191" s="36"/>
      <c r="G191" s="37"/>
      <c r="H191" s="38"/>
      <c r="I191" s="39"/>
      <c r="J191" s="39"/>
      <c r="K191" s="35"/>
      <c r="L191" s="103"/>
      <c r="M191" s="40"/>
      <c r="O191" s="107"/>
      <c r="P191" s="22"/>
      <c r="Q191" s="23"/>
      <c r="R191" s="107"/>
      <c r="S191" s="107"/>
      <c r="T191" s="107"/>
      <c r="U191" s="107"/>
      <c r="V191" s="107"/>
    </row>
    <row r="192" spans="1:22" s="12" customFormat="1" x14ac:dyDescent="0.2">
      <c r="A192" s="107"/>
      <c r="B192" s="107"/>
      <c r="C192" s="107"/>
      <c r="D192" s="107"/>
      <c r="E192" s="35"/>
      <c r="F192" s="36"/>
      <c r="G192" s="37"/>
      <c r="H192" s="38"/>
      <c r="I192" s="39"/>
      <c r="J192" s="39"/>
      <c r="K192" s="35"/>
      <c r="L192" s="103"/>
      <c r="M192" s="40"/>
      <c r="O192" s="107"/>
      <c r="P192" s="22"/>
      <c r="Q192" s="23"/>
      <c r="R192" s="107"/>
      <c r="S192" s="107"/>
      <c r="T192" s="107"/>
      <c r="U192" s="107"/>
      <c r="V192" s="107"/>
    </row>
    <row r="193" spans="1:22" s="12" customFormat="1" x14ac:dyDescent="0.2">
      <c r="A193" s="107"/>
      <c r="B193" s="107"/>
      <c r="C193" s="107"/>
      <c r="D193" s="107"/>
      <c r="E193" s="35"/>
      <c r="F193" s="36"/>
      <c r="G193" s="37"/>
      <c r="H193" s="38"/>
      <c r="I193" s="39"/>
      <c r="J193" s="39"/>
      <c r="K193" s="35"/>
      <c r="L193" s="103"/>
      <c r="M193" s="40"/>
      <c r="O193" s="107"/>
      <c r="P193" s="22"/>
      <c r="Q193" s="23"/>
      <c r="R193" s="107"/>
      <c r="S193" s="107"/>
      <c r="T193" s="107"/>
      <c r="U193" s="107"/>
      <c r="V193" s="107"/>
    </row>
    <row r="194" spans="1:22" s="12" customFormat="1" x14ac:dyDescent="0.2">
      <c r="A194" s="107"/>
      <c r="B194" s="107"/>
      <c r="C194" s="107"/>
      <c r="D194" s="107"/>
      <c r="E194" s="35"/>
      <c r="F194" s="36"/>
      <c r="G194" s="37"/>
      <c r="H194" s="38"/>
      <c r="I194" s="39"/>
      <c r="J194" s="39"/>
      <c r="K194" s="35"/>
      <c r="L194" s="103"/>
      <c r="M194" s="40"/>
      <c r="O194" s="107"/>
      <c r="P194" s="22"/>
      <c r="Q194" s="23"/>
      <c r="R194" s="107"/>
      <c r="S194" s="107"/>
      <c r="T194" s="107"/>
      <c r="U194" s="107"/>
      <c r="V194" s="107"/>
    </row>
    <row r="195" spans="1:22" s="12" customFormat="1" x14ac:dyDescent="0.2">
      <c r="A195" s="107"/>
      <c r="B195" s="107"/>
      <c r="C195" s="107"/>
      <c r="D195" s="107"/>
      <c r="E195" s="35"/>
      <c r="F195" s="36"/>
      <c r="G195" s="37"/>
      <c r="H195" s="38"/>
      <c r="I195" s="39"/>
      <c r="J195" s="39"/>
      <c r="K195" s="35"/>
      <c r="L195" s="103"/>
      <c r="M195" s="40"/>
      <c r="O195" s="107"/>
      <c r="P195" s="22"/>
      <c r="Q195" s="23"/>
      <c r="R195" s="107"/>
      <c r="S195" s="107"/>
      <c r="T195" s="107"/>
      <c r="U195" s="107"/>
      <c r="V195" s="107"/>
    </row>
    <row r="196" spans="1:22" s="12" customFormat="1" x14ac:dyDescent="0.2">
      <c r="A196" s="107"/>
      <c r="B196" s="107"/>
      <c r="C196" s="107"/>
      <c r="D196" s="107"/>
      <c r="E196" s="35"/>
      <c r="F196" s="36"/>
      <c r="G196" s="37"/>
      <c r="H196" s="38"/>
      <c r="I196" s="39"/>
      <c r="J196" s="39"/>
      <c r="K196" s="35"/>
      <c r="L196" s="103"/>
      <c r="M196" s="40"/>
      <c r="O196" s="107"/>
      <c r="P196" s="22"/>
      <c r="Q196" s="23"/>
      <c r="R196" s="107"/>
      <c r="S196" s="107"/>
      <c r="T196" s="107"/>
      <c r="U196" s="107"/>
      <c r="V196" s="107"/>
    </row>
    <row r="197" spans="1:22" s="12" customFormat="1" x14ac:dyDescent="0.2">
      <c r="A197" s="107"/>
      <c r="B197" s="107"/>
      <c r="C197" s="107"/>
      <c r="D197" s="107"/>
      <c r="E197" s="35"/>
      <c r="F197" s="36"/>
      <c r="G197" s="37"/>
      <c r="H197" s="38"/>
      <c r="I197" s="39"/>
      <c r="J197" s="39"/>
      <c r="K197" s="35"/>
      <c r="L197" s="103"/>
      <c r="M197" s="40"/>
      <c r="O197" s="107"/>
      <c r="P197" s="22"/>
      <c r="Q197" s="23"/>
      <c r="R197" s="107"/>
      <c r="S197" s="107"/>
      <c r="T197" s="107"/>
      <c r="U197" s="107"/>
      <c r="V197" s="107"/>
    </row>
    <row r="198" spans="1:22" s="12" customFormat="1" x14ac:dyDescent="0.2">
      <c r="A198" s="107"/>
      <c r="B198" s="28"/>
      <c r="C198" s="107"/>
      <c r="D198" s="107"/>
      <c r="E198" s="35"/>
      <c r="F198" s="36"/>
      <c r="G198" s="37"/>
      <c r="H198" s="38"/>
      <c r="I198" s="39"/>
      <c r="J198" s="39"/>
      <c r="K198" s="35"/>
      <c r="L198" s="103"/>
      <c r="M198" s="40"/>
      <c r="O198" s="107"/>
      <c r="P198" s="22"/>
      <c r="Q198" s="23"/>
      <c r="R198" s="107"/>
      <c r="S198" s="107"/>
      <c r="T198" s="107"/>
      <c r="U198" s="107"/>
      <c r="V198" s="107"/>
    </row>
    <row r="199" spans="1:22" s="12" customFormat="1" x14ac:dyDescent="0.2">
      <c r="A199" s="107"/>
      <c r="B199" s="107"/>
      <c r="C199" s="107"/>
      <c r="D199" s="107"/>
      <c r="E199" s="35"/>
      <c r="F199" s="36"/>
      <c r="G199" s="37"/>
      <c r="H199" s="38"/>
      <c r="I199" s="39"/>
      <c r="J199" s="39"/>
      <c r="K199" s="35"/>
      <c r="L199" s="103"/>
      <c r="M199" s="40"/>
      <c r="O199" s="107"/>
      <c r="P199" s="22"/>
      <c r="Q199" s="23"/>
      <c r="R199" s="107"/>
      <c r="S199" s="107"/>
      <c r="T199" s="107"/>
      <c r="U199" s="107"/>
      <c r="V199" s="107"/>
    </row>
    <row r="200" spans="1:22" s="12" customFormat="1" x14ac:dyDescent="0.2">
      <c r="A200" s="107"/>
      <c r="B200" s="107"/>
      <c r="C200" s="107"/>
      <c r="D200" s="107"/>
      <c r="E200" s="35"/>
      <c r="F200" s="36"/>
      <c r="G200" s="37"/>
      <c r="H200" s="38"/>
      <c r="I200" s="39"/>
      <c r="J200" s="39"/>
      <c r="K200" s="35"/>
      <c r="L200" s="103"/>
      <c r="M200" s="40"/>
      <c r="O200" s="107"/>
      <c r="P200" s="22"/>
      <c r="Q200" s="23"/>
      <c r="R200" s="107"/>
      <c r="S200" s="107"/>
      <c r="T200" s="107"/>
      <c r="U200" s="107"/>
      <c r="V200" s="107"/>
    </row>
    <row r="201" spans="1:22" s="12" customFormat="1" x14ac:dyDescent="0.2">
      <c r="A201" s="107"/>
      <c r="B201" s="107"/>
      <c r="C201" s="107"/>
      <c r="D201" s="107"/>
      <c r="E201" s="35"/>
      <c r="F201" s="36"/>
      <c r="G201" s="37"/>
      <c r="H201" s="38"/>
      <c r="I201" s="39"/>
      <c r="J201" s="39"/>
      <c r="K201" s="35"/>
      <c r="L201" s="103"/>
      <c r="M201" s="40"/>
      <c r="O201" s="107"/>
      <c r="P201" s="22"/>
      <c r="Q201" s="23"/>
      <c r="R201" s="107"/>
      <c r="S201" s="107"/>
      <c r="T201" s="107"/>
      <c r="U201" s="107"/>
      <c r="V201" s="107"/>
    </row>
    <row r="202" spans="1:22" s="12" customFormat="1" x14ac:dyDescent="0.2">
      <c r="A202" s="107"/>
      <c r="B202" s="107"/>
      <c r="C202" s="107"/>
      <c r="D202" s="107"/>
      <c r="E202" s="35"/>
      <c r="F202" s="36"/>
      <c r="G202" s="37"/>
      <c r="H202" s="38"/>
      <c r="I202" s="39"/>
      <c r="J202" s="39"/>
      <c r="K202" s="35"/>
      <c r="L202" s="103"/>
      <c r="M202" s="40"/>
      <c r="O202" s="107"/>
      <c r="P202" s="22"/>
      <c r="Q202" s="23"/>
      <c r="R202" s="107"/>
      <c r="S202" s="107"/>
      <c r="T202" s="107"/>
      <c r="U202" s="107"/>
      <c r="V202" s="107"/>
    </row>
    <row r="203" spans="1:22" s="12" customFormat="1" x14ac:dyDescent="0.2">
      <c r="D203" s="107"/>
      <c r="E203" s="35"/>
      <c r="F203" s="36"/>
      <c r="G203" s="37"/>
      <c r="H203" s="38"/>
      <c r="I203" s="39"/>
      <c r="J203" s="39"/>
      <c r="K203" s="35"/>
      <c r="L203" s="103"/>
      <c r="M203" s="40"/>
      <c r="O203" s="107"/>
      <c r="P203" s="22"/>
      <c r="Q203" s="23"/>
      <c r="R203" s="107"/>
      <c r="S203" s="107"/>
      <c r="T203" s="107"/>
      <c r="U203" s="107"/>
      <c r="V203" s="107"/>
    </row>
    <row r="204" spans="1:22" s="12" customFormat="1" x14ac:dyDescent="0.2">
      <c r="D204" s="107"/>
      <c r="E204" s="35"/>
      <c r="F204" s="36"/>
      <c r="G204" s="37"/>
      <c r="H204" s="38"/>
      <c r="I204" s="39"/>
      <c r="J204" s="39"/>
      <c r="K204" s="35"/>
      <c r="L204" s="103"/>
      <c r="M204" s="40"/>
      <c r="O204" s="107"/>
      <c r="P204" s="22"/>
      <c r="Q204" s="23"/>
      <c r="R204" s="107"/>
      <c r="S204" s="107"/>
      <c r="T204" s="107"/>
      <c r="U204" s="107"/>
      <c r="V204" s="107"/>
    </row>
    <row r="205" spans="1:22" s="12" customFormat="1" x14ac:dyDescent="0.2">
      <c r="D205" s="107"/>
      <c r="E205" s="35"/>
      <c r="F205" s="36"/>
      <c r="G205" s="37"/>
      <c r="H205" s="38"/>
      <c r="I205" s="39"/>
      <c r="J205" s="39"/>
      <c r="K205" s="35"/>
      <c r="L205" s="103"/>
      <c r="M205" s="40"/>
      <c r="O205" s="107"/>
      <c r="P205" s="22"/>
      <c r="Q205" s="23"/>
      <c r="R205" s="107"/>
      <c r="S205" s="107"/>
      <c r="T205" s="107"/>
      <c r="U205" s="107"/>
      <c r="V205" s="107"/>
    </row>
    <row r="206" spans="1:22" s="12" customFormat="1" x14ac:dyDescent="0.2">
      <c r="D206" s="107"/>
      <c r="E206" s="35"/>
      <c r="F206" s="36"/>
      <c r="G206" s="37"/>
      <c r="H206" s="38"/>
      <c r="I206" s="39"/>
      <c r="J206" s="39"/>
      <c r="K206" s="35"/>
      <c r="L206" s="103"/>
      <c r="M206" s="40"/>
      <c r="O206" s="107"/>
      <c r="P206" s="22"/>
      <c r="Q206" s="23"/>
      <c r="R206" s="107"/>
      <c r="S206" s="107"/>
      <c r="T206" s="107"/>
      <c r="U206" s="107"/>
      <c r="V206" s="107"/>
    </row>
    <row r="207" spans="1:22" s="12" customFormat="1" x14ac:dyDescent="0.2">
      <c r="D207" s="107"/>
      <c r="E207" s="35"/>
      <c r="F207" s="36"/>
      <c r="G207" s="37"/>
      <c r="H207" s="38"/>
      <c r="I207" s="39"/>
      <c r="J207" s="39"/>
      <c r="K207" s="35"/>
      <c r="L207" s="103"/>
      <c r="M207" s="40"/>
      <c r="O207" s="107"/>
      <c r="P207" s="22"/>
      <c r="Q207" s="23"/>
      <c r="R207" s="107"/>
      <c r="S207" s="107"/>
      <c r="T207" s="107"/>
      <c r="U207" s="107"/>
      <c r="V207" s="107"/>
    </row>
    <row r="208" spans="1:22" s="12" customFormat="1" x14ac:dyDescent="0.2">
      <c r="D208" s="107"/>
      <c r="E208" s="35"/>
      <c r="F208" s="36"/>
      <c r="G208" s="37"/>
      <c r="H208" s="38"/>
      <c r="I208" s="39"/>
      <c r="J208" s="39"/>
      <c r="K208" s="35"/>
      <c r="L208" s="103"/>
      <c r="M208" s="40"/>
      <c r="O208" s="107"/>
      <c r="P208" s="22"/>
      <c r="Q208" s="23"/>
      <c r="R208" s="107"/>
      <c r="S208" s="107"/>
      <c r="T208" s="107"/>
      <c r="U208" s="107"/>
      <c r="V208" s="107"/>
    </row>
    <row r="209" spans="4:22" s="12" customFormat="1" x14ac:dyDescent="0.2">
      <c r="D209" s="107"/>
      <c r="E209" s="35"/>
      <c r="F209" s="36"/>
      <c r="G209" s="37"/>
      <c r="H209" s="38"/>
      <c r="I209" s="39"/>
      <c r="J209" s="39"/>
      <c r="K209" s="35"/>
      <c r="L209" s="103"/>
      <c r="M209" s="40"/>
      <c r="O209" s="107"/>
      <c r="P209" s="22"/>
      <c r="Q209" s="23"/>
      <c r="R209" s="107"/>
      <c r="S209" s="107"/>
      <c r="T209" s="107"/>
      <c r="U209" s="107"/>
      <c r="V209" s="107"/>
    </row>
    <row r="210" spans="4:22" s="12" customFormat="1" x14ac:dyDescent="0.2">
      <c r="D210" s="107"/>
      <c r="E210" s="35"/>
      <c r="F210" s="36"/>
      <c r="G210" s="37"/>
      <c r="H210" s="38"/>
      <c r="I210" s="39"/>
      <c r="J210" s="39"/>
      <c r="K210" s="35"/>
      <c r="L210" s="103"/>
      <c r="M210" s="40"/>
      <c r="O210" s="107"/>
      <c r="P210" s="22"/>
      <c r="Q210" s="23"/>
      <c r="R210" s="107"/>
      <c r="S210" s="107"/>
      <c r="T210" s="107"/>
      <c r="U210" s="107"/>
      <c r="V210" s="107"/>
    </row>
    <row r="211" spans="4:22" s="12" customFormat="1" x14ac:dyDescent="0.2">
      <c r="D211" s="107"/>
      <c r="E211" s="35"/>
      <c r="F211" s="36"/>
      <c r="G211" s="37"/>
      <c r="H211" s="38"/>
      <c r="I211" s="39"/>
      <c r="J211" s="39"/>
      <c r="K211" s="35"/>
      <c r="L211" s="103"/>
      <c r="M211" s="40"/>
      <c r="O211" s="107"/>
      <c r="P211" s="22"/>
      <c r="Q211" s="23"/>
      <c r="R211" s="107"/>
      <c r="S211" s="107"/>
      <c r="T211" s="107"/>
      <c r="U211" s="107"/>
      <c r="V211" s="107"/>
    </row>
    <row r="212" spans="4:22" s="12" customFormat="1" x14ac:dyDescent="0.2">
      <c r="D212" s="107"/>
      <c r="E212" s="35"/>
      <c r="F212" s="36"/>
      <c r="G212" s="37"/>
      <c r="H212" s="38"/>
      <c r="I212" s="39"/>
      <c r="J212" s="39"/>
      <c r="K212" s="35"/>
      <c r="L212" s="103"/>
      <c r="M212" s="40"/>
      <c r="O212" s="107"/>
      <c r="P212" s="22"/>
      <c r="Q212" s="23"/>
      <c r="R212" s="107"/>
      <c r="S212" s="107"/>
      <c r="T212" s="107"/>
      <c r="U212" s="107"/>
      <c r="V212" s="107"/>
    </row>
    <row r="213" spans="4:22" s="12" customFormat="1" x14ac:dyDescent="0.2">
      <c r="D213" s="107"/>
      <c r="E213" s="35"/>
      <c r="F213" s="36"/>
      <c r="G213" s="37"/>
      <c r="H213" s="38"/>
      <c r="I213" s="39"/>
      <c r="J213" s="39"/>
      <c r="K213" s="35"/>
      <c r="L213" s="103"/>
      <c r="M213" s="40"/>
      <c r="O213" s="107"/>
      <c r="P213" s="22"/>
      <c r="Q213" s="23"/>
      <c r="R213" s="107"/>
      <c r="S213" s="107"/>
      <c r="T213" s="107"/>
      <c r="U213" s="107"/>
      <c r="V213" s="107"/>
    </row>
    <row r="214" spans="4:22" s="12" customFormat="1" x14ac:dyDescent="0.2">
      <c r="D214" s="107"/>
      <c r="E214" s="35"/>
      <c r="F214" s="36"/>
      <c r="G214" s="37"/>
      <c r="H214" s="38"/>
      <c r="I214" s="39"/>
      <c r="J214" s="39"/>
      <c r="K214" s="35"/>
      <c r="L214" s="103"/>
      <c r="M214" s="40"/>
      <c r="O214" s="107"/>
      <c r="P214" s="22"/>
      <c r="Q214" s="23"/>
      <c r="R214" s="107"/>
      <c r="S214" s="107"/>
      <c r="T214" s="107"/>
      <c r="U214" s="107"/>
      <c r="V214" s="107"/>
    </row>
    <row r="215" spans="4:22" s="12" customFormat="1" x14ac:dyDescent="0.2">
      <c r="D215" s="107"/>
      <c r="E215" s="35"/>
      <c r="F215" s="36"/>
      <c r="G215" s="37"/>
      <c r="H215" s="38"/>
      <c r="I215" s="39"/>
      <c r="J215" s="39"/>
      <c r="K215" s="35"/>
      <c r="L215" s="103"/>
      <c r="M215" s="40"/>
      <c r="O215" s="107"/>
      <c r="P215" s="22"/>
      <c r="Q215" s="23"/>
      <c r="R215" s="107"/>
      <c r="S215" s="107"/>
      <c r="T215" s="107"/>
      <c r="U215" s="107"/>
      <c r="V215" s="107"/>
    </row>
    <row r="216" spans="4:22" s="12" customFormat="1" x14ac:dyDescent="0.2">
      <c r="D216" s="107"/>
      <c r="E216" s="35"/>
      <c r="F216" s="36"/>
      <c r="G216" s="37"/>
      <c r="H216" s="38"/>
      <c r="I216" s="39"/>
      <c r="J216" s="39"/>
      <c r="K216" s="35"/>
      <c r="L216" s="103"/>
      <c r="M216" s="40"/>
      <c r="O216" s="107"/>
      <c r="P216" s="22"/>
      <c r="Q216" s="23"/>
      <c r="R216" s="107"/>
      <c r="S216" s="107"/>
      <c r="T216" s="107"/>
      <c r="U216" s="107"/>
      <c r="V216" s="107"/>
    </row>
    <row r="217" spans="4:22" s="12" customFormat="1" x14ac:dyDescent="0.2">
      <c r="D217" s="107"/>
      <c r="E217" s="35"/>
      <c r="F217" s="36"/>
      <c r="G217" s="37"/>
      <c r="H217" s="38"/>
      <c r="I217" s="39"/>
      <c r="J217" s="39"/>
      <c r="K217" s="35"/>
      <c r="L217" s="103"/>
      <c r="M217" s="40"/>
      <c r="O217" s="107"/>
      <c r="P217" s="22"/>
      <c r="Q217" s="23"/>
      <c r="R217" s="107"/>
      <c r="S217" s="107"/>
      <c r="T217" s="107"/>
      <c r="U217" s="107"/>
      <c r="V217" s="107"/>
    </row>
    <row r="218" spans="4:22" s="12" customFormat="1" x14ac:dyDescent="0.2">
      <c r="D218" s="107"/>
      <c r="E218" s="35"/>
      <c r="F218" s="36"/>
      <c r="G218" s="37"/>
      <c r="H218" s="38"/>
      <c r="I218" s="39"/>
      <c r="J218" s="39"/>
      <c r="K218" s="35"/>
      <c r="L218" s="103"/>
      <c r="M218" s="40"/>
      <c r="O218" s="107"/>
      <c r="P218" s="22"/>
      <c r="Q218" s="23"/>
      <c r="R218" s="107"/>
      <c r="S218" s="107"/>
      <c r="T218" s="107"/>
      <c r="U218" s="107"/>
      <c r="V218" s="107"/>
    </row>
    <row r="219" spans="4:22" s="12" customFormat="1" x14ac:dyDescent="0.2">
      <c r="D219" s="107"/>
      <c r="E219" s="35"/>
      <c r="F219" s="36"/>
      <c r="G219" s="37"/>
      <c r="H219" s="38"/>
      <c r="I219" s="39"/>
      <c r="J219" s="39"/>
      <c r="K219" s="35"/>
      <c r="L219" s="103"/>
      <c r="M219" s="40"/>
      <c r="O219" s="107"/>
      <c r="P219" s="22"/>
      <c r="Q219" s="23"/>
      <c r="R219" s="107"/>
      <c r="S219" s="107"/>
      <c r="T219" s="107"/>
      <c r="U219" s="107"/>
      <c r="V219" s="107"/>
    </row>
    <row r="220" spans="4:22" s="12" customFormat="1" x14ac:dyDescent="0.2">
      <c r="D220" s="107"/>
      <c r="E220" s="35"/>
      <c r="F220" s="36"/>
      <c r="G220" s="37"/>
      <c r="H220" s="38"/>
      <c r="I220" s="39"/>
      <c r="J220" s="39"/>
      <c r="K220" s="35"/>
      <c r="L220" s="103"/>
      <c r="M220" s="40"/>
      <c r="O220" s="107"/>
      <c r="P220" s="22"/>
      <c r="Q220" s="23"/>
      <c r="R220" s="107"/>
      <c r="S220" s="107"/>
      <c r="T220" s="107"/>
      <c r="U220" s="107"/>
      <c r="V220" s="107"/>
    </row>
    <row r="221" spans="4:22" s="12" customFormat="1" x14ac:dyDescent="0.2">
      <c r="D221" s="107"/>
      <c r="E221" s="35"/>
      <c r="F221" s="36"/>
      <c r="G221" s="37"/>
      <c r="H221" s="38"/>
      <c r="I221" s="39"/>
      <c r="J221" s="39"/>
      <c r="K221" s="35"/>
      <c r="L221" s="103"/>
      <c r="M221" s="40"/>
      <c r="O221" s="107"/>
      <c r="P221" s="22"/>
      <c r="Q221" s="23"/>
      <c r="R221" s="107"/>
      <c r="S221" s="107"/>
      <c r="T221" s="107"/>
      <c r="U221" s="107"/>
      <c r="V221" s="107"/>
    </row>
    <row r="222" spans="4:22" s="12" customFormat="1" x14ac:dyDescent="0.2">
      <c r="D222" s="107"/>
      <c r="E222" s="35"/>
      <c r="F222" s="36"/>
      <c r="G222" s="37"/>
      <c r="H222" s="38"/>
      <c r="I222" s="39"/>
      <c r="J222" s="39"/>
      <c r="K222" s="35"/>
      <c r="L222" s="103"/>
      <c r="M222" s="40"/>
      <c r="O222" s="107"/>
      <c r="P222" s="22"/>
      <c r="Q222" s="23"/>
      <c r="R222" s="107"/>
      <c r="S222" s="107"/>
      <c r="T222" s="107"/>
      <c r="U222" s="107"/>
      <c r="V222" s="107"/>
    </row>
    <row r="223" spans="4:22" s="12" customFormat="1" x14ac:dyDescent="0.2">
      <c r="D223" s="107"/>
      <c r="E223" s="35"/>
      <c r="F223" s="36"/>
      <c r="G223" s="37"/>
      <c r="H223" s="38"/>
      <c r="I223" s="39"/>
      <c r="J223" s="39"/>
      <c r="K223" s="35"/>
      <c r="L223" s="103"/>
      <c r="M223" s="40"/>
      <c r="O223" s="107"/>
      <c r="P223" s="22"/>
      <c r="Q223" s="23"/>
      <c r="R223" s="107"/>
      <c r="S223" s="107"/>
      <c r="T223" s="107"/>
      <c r="U223" s="107"/>
      <c r="V223" s="107"/>
    </row>
    <row r="224" spans="4:22" s="12" customFormat="1" x14ac:dyDescent="0.2">
      <c r="D224" s="107"/>
      <c r="E224" s="35"/>
      <c r="F224" s="36"/>
      <c r="G224" s="37"/>
      <c r="H224" s="38"/>
      <c r="I224" s="39"/>
      <c r="J224" s="39"/>
      <c r="K224" s="35"/>
      <c r="L224" s="103"/>
      <c r="M224" s="40"/>
      <c r="O224" s="107"/>
      <c r="P224" s="22"/>
      <c r="Q224" s="23"/>
      <c r="R224" s="107"/>
      <c r="S224" s="107"/>
      <c r="T224" s="107"/>
      <c r="U224" s="107"/>
      <c r="V224" s="107"/>
    </row>
    <row r="225" spans="4:22" s="12" customFormat="1" x14ac:dyDescent="0.2">
      <c r="D225" s="107"/>
      <c r="E225" s="35"/>
      <c r="F225" s="36"/>
      <c r="G225" s="37"/>
      <c r="H225" s="38"/>
      <c r="I225" s="39"/>
      <c r="J225" s="39"/>
      <c r="K225" s="35"/>
      <c r="L225" s="103"/>
      <c r="M225" s="40"/>
      <c r="O225" s="107"/>
      <c r="P225" s="22"/>
      <c r="Q225" s="23"/>
      <c r="R225" s="107"/>
      <c r="S225" s="107"/>
      <c r="T225" s="107"/>
      <c r="U225" s="107"/>
      <c r="V225" s="107"/>
    </row>
    <row r="226" spans="4:22" s="12" customFormat="1" x14ac:dyDescent="0.2">
      <c r="D226" s="107"/>
      <c r="E226" s="35"/>
      <c r="F226" s="36"/>
      <c r="G226" s="37"/>
      <c r="H226" s="38"/>
      <c r="I226" s="39"/>
      <c r="J226" s="39"/>
      <c r="K226" s="35"/>
      <c r="L226" s="103"/>
      <c r="M226" s="40"/>
      <c r="O226" s="107"/>
      <c r="P226" s="22"/>
      <c r="Q226" s="23"/>
      <c r="R226" s="107"/>
      <c r="S226" s="107"/>
      <c r="T226" s="107"/>
      <c r="U226" s="107"/>
      <c r="V226" s="107"/>
    </row>
    <row r="227" spans="4:22" s="12" customFormat="1" x14ac:dyDescent="0.2">
      <c r="D227" s="107"/>
      <c r="E227" s="35"/>
      <c r="F227" s="36"/>
      <c r="G227" s="37"/>
      <c r="H227" s="38"/>
      <c r="I227" s="39"/>
      <c r="J227" s="39"/>
      <c r="K227" s="35"/>
      <c r="L227" s="103"/>
      <c r="M227" s="40"/>
      <c r="O227" s="107"/>
      <c r="P227" s="22"/>
      <c r="Q227" s="23"/>
      <c r="R227" s="107"/>
      <c r="S227" s="107"/>
      <c r="T227" s="107"/>
      <c r="U227" s="107"/>
      <c r="V227" s="107"/>
    </row>
    <row r="228" spans="4:22" s="12" customFormat="1" x14ac:dyDescent="0.2">
      <c r="D228" s="107"/>
      <c r="E228" s="35"/>
      <c r="F228" s="36"/>
      <c r="G228" s="37"/>
      <c r="H228" s="38"/>
      <c r="I228" s="39"/>
      <c r="J228" s="39"/>
      <c r="K228" s="35"/>
      <c r="L228" s="103"/>
      <c r="M228" s="40"/>
      <c r="O228" s="107"/>
      <c r="P228" s="22"/>
      <c r="Q228" s="23"/>
      <c r="R228" s="107"/>
      <c r="S228" s="107"/>
      <c r="T228" s="107"/>
      <c r="U228" s="107"/>
      <c r="V228" s="107"/>
    </row>
    <row r="229" spans="4:22" s="12" customFormat="1" x14ac:dyDescent="0.2">
      <c r="D229" s="107"/>
      <c r="E229" s="35"/>
      <c r="F229" s="36"/>
      <c r="G229" s="37"/>
      <c r="H229" s="38"/>
      <c r="I229" s="39"/>
      <c r="J229" s="39"/>
      <c r="K229" s="35"/>
      <c r="L229" s="103"/>
      <c r="M229" s="40"/>
      <c r="O229" s="107"/>
      <c r="P229" s="22"/>
      <c r="Q229" s="23"/>
      <c r="R229" s="107"/>
      <c r="S229" s="107"/>
      <c r="T229" s="107"/>
      <c r="U229" s="107"/>
      <c r="V229" s="107"/>
    </row>
    <row r="230" spans="4:22" s="12" customFormat="1" x14ac:dyDescent="0.2">
      <c r="D230" s="107"/>
      <c r="E230" s="35"/>
      <c r="F230" s="36"/>
      <c r="G230" s="37"/>
      <c r="H230" s="38"/>
      <c r="I230" s="39"/>
      <c r="J230" s="39"/>
      <c r="K230" s="35"/>
      <c r="L230" s="103"/>
      <c r="M230" s="40"/>
      <c r="O230" s="107"/>
      <c r="P230" s="22"/>
      <c r="Q230" s="23"/>
      <c r="R230" s="107"/>
      <c r="S230" s="107"/>
      <c r="T230" s="107"/>
      <c r="U230" s="107"/>
      <c r="V230" s="107"/>
    </row>
    <row r="231" spans="4:22" s="12" customFormat="1" x14ac:dyDescent="0.2">
      <c r="D231" s="107"/>
      <c r="E231" s="35"/>
      <c r="F231" s="36"/>
      <c r="G231" s="37"/>
      <c r="H231" s="38"/>
      <c r="I231" s="39"/>
      <c r="J231" s="39"/>
      <c r="K231" s="35"/>
      <c r="L231" s="103"/>
      <c r="M231" s="40"/>
      <c r="O231" s="107"/>
      <c r="P231" s="22"/>
      <c r="Q231" s="23"/>
      <c r="R231" s="107"/>
      <c r="S231" s="107"/>
      <c r="T231" s="107"/>
      <c r="U231" s="107"/>
      <c r="V231" s="107"/>
    </row>
    <row r="232" spans="4:22" s="12" customFormat="1" x14ac:dyDescent="0.2">
      <c r="D232" s="107"/>
      <c r="E232" s="35"/>
      <c r="F232" s="36"/>
      <c r="G232" s="37"/>
      <c r="H232" s="38"/>
      <c r="I232" s="39"/>
      <c r="J232" s="39"/>
      <c r="K232" s="35"/>
      <c r="L232" s="103"/>
      <c r="M232" s="40"/>
      <c r="O232" s="107"/>
      <c r="P232" s="22"/>
      <c r="Q232" s="23"/>
      <c r="R232" s="107"/>
      <c r="S232" s="107"/>
      <c r="T232" s="107"/>
      <c r="U232" s="107"/>
      <c r="V232" s="107"/>
    </row>
    <row r="233" spans="4:22" s="12" customFormat="1" x14ac:dyDescent="0.2">
      <c r="D233" s="107"/>
      <c r="E233" s="35"/>
      <c r="F233" s="36"/>
      <c r="G233" s="37"/>
      <c r="H233" s="38"/>
      <c r="I233" s="39"/>
      <c r="J233" s="39"/>
      <c r="K233" s="35"/>
      <c r="L233" s="103"/>
      <c r="M233" s="40"/>
      <c r="O233" s="107"/>
      <c r="P233" s="22"/>
      <c r="Q233" s="23"/>
      <c r="R233" s="107"/>
      <c r="S233" s="107"/>
      <c r="T233" s="107"/>
      <c r="U233" s="107"/>
      <c r="V233" s="107"/>
    </row>
    <row r="234" spans="4:22" s="12" customFormat="1" x14ac:dyDescent="0.2">
      <c r="D234" s="107"/>
      <c r="E234" s="35"/>
      <c r="F234" s="36"/>
      <c r="G234" s="37"/>
      <c r="H234" s="38"/>
      <c r="I234" s="39"/>
      <c r="J234" s="39"/>
      <c r="K234" s="35"/>
      <c r="L234" s="103"/>
      <c r="M234" s="40"/>
      <c r="O234" s="107"/>
      <c r="P234" s="22"/>
      <c r="Q234" s="23"/>
      <c r="R234" s="107"/>
      <c r="S234" s="107"/>
      <c r="T234" s="107"/>
      <c r="U234" s="107"/>
      <c r="V234" s="107"/>
    </row>
    <row r="235" spans="4:22" s="12" customFormat="1" x14ac:dyDescent="0.2">
      <c r="D235" s="107"/>
      <c r="E235" s="35"/>
      <c r="F235" s="36"/>
      <c r="G235" s="37"/>
      <c r="H235" s="38"/>
      <c r="I235" s="39"/>
      <c r="J235" s="39"/>
      <c r="K235" s="35"/>
      <c r="L235" s="103"/>
      <c r="M235" s="40"/>
      <c r="O235" s="107"/>
      <c r="P235" s="22"/>
      <c r="Q235" s="23"/>
      <c r="R235" s="107"/>
      <c r="S235" s="107"/>
      <c r="T235" s="107"/>
      <c r="U235" s="107"/>
      <c r="V235" s="107"/>
    </row>
    <row r="236" spans="4:22" s="12" customFormat="1" x14ac:dyDescent="0.2">
      <c r="D236" s="107"/>
      <c r="E236" s="35"/>
      <c r="F236" s="36"/>
      <c r="G236" s="37"/>
      <c r="H236" s="38"/>
      <c r="I236" s="39"/>
      <c r="J236" s="39"/>
      <c r="K236" s="35"/>
      <c r="L236" s="103"/>
      <c r="M236" s="40"/>
      <c r="O236" s="107"/>
      <c r="P236" s="22"/>
      <c r="Q236" s="23"/>
      <c r="R236" s="107"/>
      <c r="S236" s="107"/>
      <c r="T236" s="107"/>
      <c r="U236" s="107"/>
      <c r="V236" s="107"/>
    </row>
    <row r="237" spans="4:22" s="12" customFormat="1" x14ac:dyDescent="0.2">
      <c r="D237" s="107"/>
      <c r="E237" s="35"/>
      <c r="F237" s="36"/>
      <c r="G237" s="37"/>
      <c r="H237" s="38"/>
      <c r="I237" s="39"/>
      <c r="J237" s="39"/>
      <c r="K237" s="35"/>
      <c r="L237" s="103"/>
      <c r="M237" s="40"/>
      <c r="O237" s="107"/>
      <c r="P237" s="22"/>
      <c r="Q237" s="23"/>
      <c r="R237" s="107"/>
      <c r="S237" s="107"/>
      <c r="T237" s="107"/>
      <c r="U237" s="107"/>
      <c r="V237" s="107"/>
    </row>
    <row r="238" spans="4:22" s="12" customFormat="1" x14ac:dyDescent="0.2">
      <c r="D238" s="107"/>
      <c r="E238" s="35"/>
      <c r="F238" s="36"/>
      <c r="G238" s="37"/>
      <c r="H238" s="38"/>
      <c r="I238" s="39"/>
      <c r="J238" s="39"/>
      <c r="K238" s="35"/>
      <c r="L238" s="103"/>
      <c r="M238" s="40"/>
      <c r="O238" s="107"/>
      <c r="P238" s="22"/>
      <c r="Q238" s="23"/>
      <c r="R238" s="107"/>
      <c r="S238" s="107"/>
      <c r="T238" s="107"/>
      <c r="U238" s="107"/>
      <c r="V238" s="107"/>
    </row>
    <row r="239" spans="4:22" s="12" customFormat="1" x14ac:dyDescent="0.2">
      <c r="D239" s="107"/>
      <c r="E239" s="35"/>
      <c r="F239" s="36"/>
      <c r="G239" s="37"/>
      <c r="H239" s="38"/>
      <c r="I239" s="39"/>
      <c r="J239" s="39"/>
      <c r="K239" s="35"/>
      <c r="L239" s="103"/>
      <c r="M239" s="40"/>
      <c r="O239" s="107"/>
      <c r="P239" s="22"/>
      <c r="Q239" s="23"/>
      <c r="R239" s="107"/>
      <c r="S239" s="107"/>
      <c r="T239" s="107"/>
      <c r="U239" s="107"/>
      <c r="V239" s="107"/>
    </row>
    <row r="240" spans="4:22" s="12" customFormat="1" x14ac:dyDescent="0.2">
      <c r="D240" s="107"/>
      <c r="E240" s="35"/>
      <c r="F240" s="36"/>
      <c r="G240" s="37"/>
      <c r="H240" s="38"/>
      <c r="I240" s="39"/>
      <c r="J240" s="39"/>
      <c r="K240" s="35"/>
      <c r="L240" s="103"/>
      <c r="M240" s="40"/>
      <c r="O240" s="107"/>
      <c r="P240" s="22"/>
      <c r="Q240" s="23"/>
      <c r="R240" s="107"/>
      <c r="S240" s="107"/>
      <c r="T240" s="107"/>
      <c r="U240" s="107"/>
      <c r="V240" s="107"/>
    </row>
    <row r="241" spans="4:22" s="12" customFormat="1" x14ac:dyDescent="0.2">
      <c r="D241" s="107"/>
      <c r="E241" s="35"/>
      <c r="F241" s="36"/>
      <c r="G241" s="37"/>
      <c r="H241" s="38"/>
      <c r="I241" s="39"/>
      <c r="J241" s="39"/>
      <c r="K241" s="35"/>
      <c r="L241" s="103"/>
      <c r="M241" s="40"/>
      <c r="O241" s="107"/>
      <c r="P241" s="22"/>
      <c r="Q241" s="23"/>
      <c r="R241" s="107"/>
      <c r="S241" s="107"/>
      <c r="T241" s="107"/>
      <c r="U241" s="107"/>
      <c r="V241" s="107"/>
    </row>
    <row r="242" spans="4:22" s="12" customFormat="1" x14ac:dyDescent="0.2">
      <c r="D242" s="107"/>
      <c r="E242" s="35"/>
      <c r="F242" s="36"/>
      <c r="G242" s="37"/>
      <c r="H242" s="38"/>
      <c r="I242" s="39"/>
      <c r="J242" s="39"/>
      <c r="K242" s="35"/>
      <c r="L242" s="103"/>
      <c r="M242" s="40"/>
      <c r="O242" s="107"/>
      <c r="P242" s="22"/>
      <c r="Q242" s="23"/>
      <c r="R242" s="107"/>
      <c r="S242" s="107"/>
      <c r="T242" s="107"/>
      <c r="U242" s="107"/>
      <c r="V242" s="107"/>
    </row>
    <row r="243" spans="4:22" s="12" customFormat="1" x14ac:dyDescent="0.2">
      <c r="D243" s="107"/>
      <c r="E243" s="35"/>
      <c r="F243" s="36"/>
      <c r="G243" s="37"/>
      <c r="H243" s="38"/>
      <c r="I243" s="39"/>
      <c r="J243" s="39"/>
      <c r="K243" s="35"/>
      <c r="L243" s="103"/>
      <c r="M243" s="40"/>
      <c r="O243" s="107"/>
      <c r="P243" s="22"/>
      <c r="Q243" s="23"/>
      <c r="R243" s="107"/>
      <c r="S243" s="107"/>
      <c r="T243" s="107"/>
      <c r="U243" s="107"/>
      <c r="V243" s="107"/>
    </row>
    <row r="244" spans="4:22" s="12" customFormat="1" x14ac:dyDescent="0.2">
      <c r="D244" s="107"/>
      <c r="E244" s="35"/>
      <c r="F244" s="36"/>
      <c r="G244" s="37"/>
      <c r="H244" s="38"/>
      <c r="I244" s="39"/>
      <c r="J244" s="39"/>
      <c r="K244" s="35"/>
      <c r="L244" s="103"/>
      <c r="M244" s="40"/>
      <c r="O244" s="107"/>
      <c r="P244" s="22"/>
      <c r="Q244" s="23"/>
      <c r="R244" s="107"/>
      <c r="S244" s="107"/>
      <c r="T244" s="107"/>
      <c r="U244" s="107"/>
      <c r="V244" s="107"/>
    </row>
    <row r="245" spans="4:22" s="12" customFormat="1" x14ac:dyDescent="0.2">
      <c r="D245" s="107"/>
      <c r="E245" s="35"/>
      <c r="F245" s="36"/>
      <c r="G245" s="37"/>
      <c r="H245" s="38"/>
      <c r="I245" s="39"/>
      <c r="J245" s="39"/>
      <c r="K245" s="35"/>
      <c r="L245" s="103"/>
      <c r="M245" s="40"/>
      <c r="O245" s="107"/>
      <c r="P245" s="22"/>
      <c r="Q245" s="23"/>
      <c r="R245" s="107"/>
      <c r="S245" s="107"/>
      <c r="T245" s="107"/>
      <c r="U245" s="107"/>
      <c r="V245" s="107"/>
    </row>
    <row r="246" spans="4:22" s="12" customFormat="1" x14ac:dyDescent="0.2">
      <c r="D246" s="107"/>
      <c r="E246" s="35"/>
      <c r="F246" s="36"/>
      <c r="G246" s="37"/>
      <c r="H246" s="38"/>
      <c r="I246" s="39"/>
      <c r="J246" s="39"/>
      <c r="K246" s="35"/>
      <c r="L246" s="103"/>
      <c r="M246" s="40"/>
      <c r="O246" s="107"/>
      <c r="P246" s="22"/>
      <c r="Q246" s="23"/>
      <c r="R246" s="107"/>
      <c r="S246" s="107"/>
      <c r="T246" s="107"/>
      <c r="U246" s="107"/>
      <c r="V246" s="107"/>
    </row>
    <row r="247" spans="4:22" s="12" customFormat="1" x14ac:dyDescent="0.2">
      <c r="D247" s="107"/>
      <c r="E247" s="35"/>
      <c r="F247" s="36"/>
      <c r="G247" s="37"/>
      <c r="H247" s="38"/>
      <c r="I247" s="39"/>
      <c r="J247" s="39"/>
      <c r="K247" s="35"/>
      <c r="L247" s="103"/>
      <c r="M247" s="40"/>
      <c r="O247" s="107"/>
      <c r="P247" s="22"/>
      <c r="Q247" s="23"/>
      <c r="R247" s="107"/>
      <c r="S247" s="107"/>
      <c r="T247" s="107"/>
      <c r="U247" s="107"/>
      <c r="V247" s="107"/>
    </row>
    <row r="248" spans="4:22" s="12" customFormat="1" x14ac:dyDescent="0.2">
      <c r="D248" s="107"/>
      <c r="E248" s="35"/>
      <c r="F248" s="36"/>
      <c r="G248" s="37"/>
      <c r="H248" s="38"/>
      <c r="I248" s="39"/>
      <c r="J248" s="39"/>
      <c r="K248" s="35"/>
      <c r="L248" s="103"/>
      <c r="M248" s="40"/>
      <c r="O248" s="107"/>
      <c r="P248" s="22"/>
      <c r="Q248" s="23"/>
      <c r="R248" s="107"/>
      <c r="S248" s="107"/>
      <c r="T248" s="107"/>
      <c r="U248" s="107"/>
      <c r="V248" s="107"/>
    </row>
    <row r="249" spans="4:22" s="12" customFormat="1" x14ac:dyDescent="0.2">
      <c r="D249" s="107"/>
      <c r="E249" s="35"/>
      <c r="F249" s="36"/>
      <c r="G249" s="37"/>
      <c r="H249" s="38"/>
      <c r="I249" s="39"/>
      <c r="J249" s="39"/>
      <c r="K249" s="35"/>
      <c r="L249" s="103"/>
      <c r="M249" s="40"/>
      <c r="O249" s="107"/>
      <c r="P249" s="22"/>
      <c r="Q249" s="23"/>
      <c r="R249" s="107"/>
      <c r="S249" s="107"/>
      <c r="T249" s="107"/>
      <c r="U249" s="107"/>
      <c r="V249" s="107"/>
    </row>
    <row r="250" spans="4:22" s="12" customFormat="1" x14ac:dyDescent="0.2">
      <c r="D250" s="107"/>
      <c r="E250" s="35"/>
      <c r="F250" s="36"/>
      <c r="G250" s="37"/>
      <c r="H250" s="38"/>
      <c r="I250" s="39"/>
      <c r="J250" s="39"/>
      <c r="K250" s="35"/>
      <c r="L250" s="103"/>
      <c r="M250" s="40"/>
      <c r="O250" s="107"/>
      <c r="P250" s="22"/>
      <c r="Q250" s="23"/>
      <c r="R250" s="107"/>
      <c r="S250" s="107"/>
      <c r="T250" s="107"/>
      <c r="U250" s="107"/>
      <c r="V250" s="107"/>
    </row>
    <row r="251" spans="4:22" s="12" customFormat="1" x14ac:dyDescent="0.2">
      <c r="D251" s="107"/>
      <c r="E251" s="35"/>
      <c r="F251" s="36"/>
      <c r="G251" s="37"/>
      <c r="H251" s="38"/>
      <c r="I251" s="39"/>
      <c r="J251" s="39"/>
      <c r="K251" s="35"/>
      <c r="L251" s="103"/>
      <c r="M251" s="40"/>
      <c r="O251" s="107"/>
      <c r="P251" s="22"/>
      <c r="Q251" s="23"/>
      <c r="R251" s="107"/>
      <c r="S251" s="107"/>
      <c r="T251" s="107"/>
      <c r="U251" s="107"/>
      <c r="V251" s="107"/>
    </row>
    <row r="252" spans="4:22" s="12" customFormat="1" x14ac:dyDescent="0.2">
      <c r="D252" s="107"/>
      <c r="E252" s="35"/>
      <c r="F252" s="36"/>
      <c r="G252" s="37"/>
      <c r="H252" s="38"/>
      <c r="I252" s="39"/>
      <c r="J252" s="39"/>
      <c r="K252" s="35"/>
      <c r="L252" s="103"/>
      <c r="M252" s="40"/>
      <c r="O252" s="107"/>
      <c r="P252" s="22"/>
      <c r="Q252" s="23"/>
      <c r="R252" s="107"/>
      <c r="S252" s="107"/>
      <c r="T252" s="107"/>
      <c r="U252" s="107"/>
      <c r="V252" s="107"/>
    </row>
    <row r="253" spans="4:22" s="12" customFormat="1" x14ac:dyDescent="0.2">
      <c r="D253" s="107"/>
      <c r="E253" s="35"/>
      <c r="F253" s="36"/>
      <c r="G253" s="37"/>
      <c r="H253" s="38"/>
      <c r="I253" s="39"/>
      <c r="J253" s="39"/>
      <c r="K253" s="35"/>
      <c r="L253" s="103"/>
      <c r="M253" s="40"/>
      <c r="O253" s="107"/>
      <c r="P253" s="22"/>
      <c r="Q253" s="23"/>
      <c r="R253" s="107"/>
      <c r="S253" s="107"/>
      <c r="T253" s="107"/>
      <c r="U253" s="107"/>
      <c r="V253" s="107"/>
    </row>
    <row r="254" spans="4:22" s="12" customFormat="1" x14ac:dyDescent="0.2">
      <c r="D254" s="107"/>
      <c r="E254" s="35"/>
      <c r="F254" s="36"/>
      <c r="G254" s="37"/>
      <c r="H254" s="38"/>
      <c r="I254" s="39"/>
      <c r="J254" s="39"/>
      <c r="K254" s="35"/>
      <c r="L254" s="103"/>
      <c r="M254" s="40"/>
      <c r="O254" s="107"/>
      <c r="P254" s="22"/>
      <c r="Q254" s="23"/>
      <c r="R254" s="107"/>
      <c r="S254" s="107"/>
      <c r="T254" s="107"/>
      <c r="U254" s="107"/>
      <c r="V254" s="107"/>
    </row>
    <row r="255" spans="4:22" s="12" customFormat="1" x14ac:dyDescent="0.2">
      <c r="D255" s="107"/>
      <c r="E255" s="35"/>
      <c r="F255" s="36"/>
      <c r="G255" s="37"/>
      <c r="H255" s="38"/>
      <c r="I255" s="39"/>
      <c r="J255" s="39"/>
      <c r="K255" s="35"/>
      <c r="L255" s="103"/>
      <c r="M255" s="40"/>
      <c r="O255" s="107"/>
      <c r="P255" s="22"/>
      <c r="Q255" s="23"/>
      <c r="R255" s="107"/>
      <c r="S255" s="107"/>
      <c r="T255" s="107"/>
      <c r="U255" s="107"/>
      <c r="V255" s="107"/>
    </row>
    <row r="256" spans="4:22" s="12" customFormat="1" x14ac:dyDescent="0.2">
      <c r="D256" s="107"/>
      <c r="E256" s="35"/>
      <c r="F256" s="36"/>
      <c r="G256" s="37"/>
      <c r="H256" s="38"/>
      <c r="I256" s="39"/>
      <c r="J256" s="39"/>
      <c r="K256" s="35"/>
      <c r="L256" s="103"/>
      <c r="M256" s="40"/>
      <c r="O256" s="107"/>
      <c r="P256" s="22"/>
      <c r="Q256" s="23"/>
      <c r="R256" s="107"/>
      <c r="S256" s="107"/>
      <c r="T256" s="107"/>
      <c r="U256" s="107"/>
      <c r="V256" s="107"/>
    </row>
    <row r="257" spans="4:22" s="12" customFormat="1" x14ac:dyDescent="0.2">
      <c r="D257" s="107"/>
      <c r="E257" s="35"/>
      <c r="F257" s="36"/>
      <c r="G257" s="37"/>
      <c r="H257" s="38"/>
      <c r="I257" s="39"/>
      <c r="J257" s="39"/>
      <c r="K257" s="35"/>
      <c r="L257" s="103"/>
      <c r="M257" s="40"/>
      <c r="O257" s="107"/>
      <c r="P257" s="22"/>
      <c r="Q257" s="23"/>
      <c r="R257" s="107"/>
      <c r="S257" s="107"/>
      <c r="T257" s="107"/>
      <c r="U257" s="107"/>
      <c r="V257" s="107"/>
    </row>
    <row r="258" spans="4:22" s="12" customFormat="1" x14ac:dyDescent="0.2">
      <c r="D258" s="107"/>
      <c r="E258" s="35"/>
      <c r="F258" s="36"/>
      <c r="G258" s="37"/>
      <c r="H258" s="38"/>
      <c r="I258" s="39"/>
      <c r="J258" s="39"/>
      <c r="K258" s="35"/>
      <c r="L258" s="103"/>
      <c r="M258" s="40"/>
      <c r="O258" s="107"/>
      <c r="P258" s="22"/>
      <c r="Q258" s="23"/>
      <c r="R258" s="107"/>
      <c r="S258" s="107"/>
      <c r="T258" s="107"/>
      <c r="U258" s="107"/>
      <c r="V258" s="107"/>
    </row>
    <row r="259" spans="4:22" s="12" customFormat="1" x14ac:dyDescent="0.2">
      <c r="D259" s="107"/>
      <c r="E259" s="35"/>
      <c r="F259" s="36"/>
      <c r="G259" s="37"/>
      <c r="H259" s="38"/>
      <c r="I259" s="39"/>
      <c r="J259" s="39"/>
      <c r="K259" s="35"/>
      <c r="L259" s="103"/>
      <c r="M259" s="40"/>
      <c r="O259" s="107"/>
      <c r="P259" s="22"/>
      <c r="Q259" s="23"/>
      <c r="R259" s="107"/>
      <c r="S259" s="107"/>
      <c r="T259" s="107"/>
      <c r="U259" s="107"/>
      <c r="V259" s="107"/>
    </row>
    <row r="260" spans="4:22" s="12" customFormat="1" x14ac:dyDescent="0.2">
      <c r="D260" s="107"/>
      <c r="E260" s="35"/>
      <c r="F260" s="36"/>
      <c r="G260" s="37"/>
      <c r="H260" s="38"/>
      <c r="I260" s="39"/>
      <c r="J260" s="39"/>
      <c r="K260" s="35"/>
      <c r="L260" s="103"/>
      <c r="M260" s="40"/>
      <c r="O260" s="107"/>
      <c r="P260" s="22"/>
      <c r="Q260" s="23"/>
      <c r="R260" s="107"/>
      <c r="S260" s="107"/>
      <c r="T260" s="107"/>
      <c r="U260" s="107"/>
      <c r="V260" s="107"/>
    </row>
    <row r="261" spans="4:22" s="12" customFormat="1" x14ac:dyDescent="0.2">
      <c r="D261" s="107"/>
      <c r="E261" s="35"/>
      <c r="F261" s="36"/>
      <c r="G261" s="37"/>
      <c r="H261" s="38"/>
      <c r="I261" s="39"/>
      <c r="J261" s="39"/>
      <c r="K261" s="35"/>
      <c r="L261" s="103"/>
      <c r="M261" s="40"/>
      <c r="O261" s="107"/>
      <c r="P261" s="22"/>
      <c r="Q261" s="23"/>
      <c r="R261" s="107"/>
      <c r="S261" s="107"/>
      <c r="T261" s="107"/>
      <c r="U261" s="107"/>
      <c r="V261" s="107"/>
    </row>
    <row r="262" spans="4:22" s="12" customFormat="1" x14ac:dyDescent="0.2">
      <c r="D262" s="107"/>
      <c r="E262" s="35"/>
      <c r="F262" s="36"/>
      <c r="G262" s="37"/>
      <c r="H262" s="38"/>
      <c r="I262" s="39"/>
      <c r="J262" s="39"/>
      <c r="K262" s="35"/>
      <c r="L262" s="103"/>
      <c r="M262" s="40"/>
      <c r="O262" s="107"/>
      <c r="P262" s="22"/>
      <c r="Q262" s="23"/>
      <c r="R262" s="107"/>
      <c r="S262" s="107"/>
      <c r="T262" s="107"/>
      <c r="U262" s="107"/>
      <c r="V262" s="107"/>
    </row>
    <row r="263" spans="4:22" s="12" customFormat="1" x14ac:dyDescent="0.2">
      <c r="D263" s="107"/>
      <c r="E263" s="35"/>
      <c r="F263" s="36"/>
      <c r="G263" s="37"/>
      <c r="H263" s="38"/>
      <c r="I263" s="39"/>
      <c r="J263" s="39"/>
      <c r="K263" s="35"/>
      <c r="L263" s="103"/>
      <c r="M263" s="40"/>
      <c r="O263" s="107"/>
      <c r="P263" s="22"/>
      <c r="Q263" s="23"/>
      <c r="R263" s="107"/>
      <c r="S263" s="107"/>
      <c r="T263" s="107"/>
      <c r="U263" s="107"/>
      <c r="V263" s="107"/>
    </row>
    <row r="264" spans="4:22" s="12" customFormat="1" x14ac:dyDescent="0.2">
      <c r="D264" s="107"/>
      <c r="E264" s="35"/>
      <c r="F264" s="36"/>
      <c r="G264" s="37"/>
      <c r="H264" s="38"/>
      <c r="I264" s="39"/>
      <c r="J264" s="39"/>
      <c r="K264" s="35"/>
      <c r="L264" s="103"/>
      <c r="M264" s="40"/>
      <c r="O264" s="107"/>
      <c r="P264" s="22"/>
      <c r="Q264" s="23"/>
      <c r="R264" s="107"/>
      <c r="S264" s="107"/>
      <c r="T264" s="107"/>
      <c r="U264" s="107"/>
      <c r="V264" s="107"/>
    </row>
    <row r="265" spans="4:22" s="12" customFormat="1" x14ac:dyDescent="0.2">
      <c r="D265" s="107"/>
      <c r="E265" s="35"/>
      <c r="F265" s="36"/>
      <c r="G265" s="37"/>
      <c r="H265" s="38"/>
      <c r="I265" s="39"/>
      <c r="J265" s="39"/>
      <c r="K265" s="35"/>
      <c r="L265" s="103"/>
      <c r="M265" s="40"/>
      <c r="O265" s="107"/>
      <c r="P265" s="22"/>
      <c r="Q265" s="23"/>
      <c r="R265" s="107"/>
      <c r="S265" s="107"/>
      <c r="T265" s="107"/>
      <c r="U265" s="107"/>
      <c r="V265" s="107"/>
    </row>
    <row r="266" spans="4:22" s="12" customFormat="1" x14ac:dyDescent="0.2">
      <c r="D266" s="107"/>
      <c r="E266" s="35"/>
      <c r="F266" s="36"/>
      <c r="G266" s="37"/>
      <c r="H266" s="38"/>
      <c r="I266" s="39"/>
      <c r="J266" s="39"/>
      <c r="K266" s="35"/>
      <c r="L266" s="103"/>
      <c r="M266" s="40"/>
      <c r="O266" s="107"/>
      <c r="P266" s="22"/>
      <c r="Q266" s="23"/>
      <c r="R266" s="107"/>
      <c r="S266" s="107"/>
      <c r="T266" s="107"/>
      <c r="U266" s="107"/>
      <c r="V266" s="107"/>
    </row>
    <row r="267" spans="4:22" s="12" customFormat="1" x14ac:dyDescent="0.2">
      <c r="D267" s="107"/>
      <c r="E267" s="35"/>
      <c r="F267" s="36"/>
      <c r="G267" s="37"/>
      <c r="H267" s="38"/>
      <c r="I267" s="39"/>
      <c r="J267" s="39"/>
      <c r="K267" s="35"/>
      <c r="L267" s="103"/>
      <c r="M267" s="40"/>
      <c r="O267" s="107"/>
      <c r="P267" s="22"/>
      <c r="Q267" s="23"/>
      <c r="R267" s="107"/>
      <c r="S267" s="107"/>
      <c r="T267" s="107"/>
      <c r="U267" s="107"/>
      <c r="V267" s="107"/>
    </row>
    <row r="268" spans="4:22" s="12" customFormat="1" x14ac:dyDescent="0.2">
      <c r="D268" s="107"/>
      <c r="E268" s="35"/>
      <c r="F268" s="36"/>
      <c r="G268" s="37"/>
      <c r="H268" s="38"/>
      <c r="I268" s="39"/>
      <c r="J268" s="39"/>
      <c r="K268" s="35"/>
      <c r="L268" s="103"/>
      <c r="M268" s="40"/>
      <c r="O268" s="107"/>
      <c r="P268" s="22"/>
      <c r="Q268" s="23"/>
      <c r="R268" s="107"/>
      <c r="S268" s="107"/>
      <c r="T268" s="107"/>
      <c r="U268" s="107"/>
      <c r="V268" s="107"/>
    </row>
    <row r="269" spans="4:22" s="12" customFormat="1" x14ac:dyDescent="0.2">
      <c r="D269" s="107"/>
      <c r="E269" s="35"/>
      <c r="F269" s="36"/>
      <c r="G269" s="37"/>
      <c r="H269" s="38"/>
      <c r="I269" s="39"/>
      <c r="J269" s="39"/>
      <c r="K269" s="35"/>
      <c r="L269" s="103"/>
      <c r="M269" s="40"/>
      <c r="O269" s="107"/>
      <c r="P269" s="22"/>
      <c r="Q269" s="23"/>
      <c r="R269" s="107"/>
      <c r="S269" s="107"/>
      <c r="T269" s="107"/>
      <c r="U269" s="107"/>
      <c r="V269" s="107"/>
    </row>
    <row r="270" spans="4:22" s="12" customFormat="1" x14ac:dyDescent="0.2">
      <c r="D270" s="107"/>
      <c r="E270" s="35"/>
      <c r="F270" s="36"/>
      <c r="G270" s="37"/>
      <c r="H270" s="38"/>
      <c r="I270" s="39"/>
      <c r="J270" s="39"/>
      <c r="K270" s="35"/>
      <c r="L270" s="103"/>
      <c r="M270" s="40"/>
      <c r="O270" s="107"/>
      <c r="P270" s="22"/>
      <c r="Q270" s="23"/>
      <c r="R270" s="107"/>
      <c r="S270" s="107"/>
      <c r="T270" s="107"/>
      <c r="U270" s="107"/>
      <c r="V270" s="107"/>
    </row>
    <row r="271" spans="4:22" s="12" customFormat="1" x14ac:dyDescent="0.2">
      <c r="D271" s="107"/>
      <c r="E271" s="35"/>
      <c r="F271" s="36"/>
      <c r="G271" s="37"/>
      <c r="H271" s="38"/>
      <c r="I271" s="39"/>
      <c r="J271" s="39"/>
      <c r="K271" s="35"/>
      <c r="L271" s="103"/>
      <c r="M271" s="40"/>
      <c r="O271" s="107"/>
      <c r="P271" s="22"/>
      <c r="Q271" s="23"/>
      <c r="R271" s="107"/>
      <c r="S271" s="107"/>
      <c r="T271" s="107"/>
      <c r="U271" s="107"/>
      <c r="V271" s="107"/>
    </row>
    <row r="272" spans="4:22" s="12" customFormat="1" x14ac:dyDescent="0.2">
      <c r="D272" s="107"/>
      <c r="E272" s="35"/>
      <c r="F272" s="36"/>
      <c r="G272" s="37"/>
      <c r="H272" s="38"/>
      <c r="I272" s="39"/>
      <c r="J272" s="39"/>
      <c r="K272" s="35"/>
      <c r="L272" s="103"/>
      <c r="M272" s="40"/>
      <c r="O272" s="107"/>
      <c r="P272" s="22"/>
      <c r="Q272" s="23"/>
      <c r="R272" s="107"/>
      <c r="S272" s="107"/>
      <c r="T272" s="107"/>
      <c r="U272" s="107"/>
      <c r="V272" s="107"/>
    </row>
    <row r="273" spans="4:22" s="12" customFormat="1" x14ac:dyDescent="0.2">
      <c r="D273" s="107"/>
      <c r="E273" s="35"/>
      <c r="F273" s="36"/>
      <c r="G273" s="37"/>
      <c r="H273" s="38"/>
      <c r="I273" s="39"/>
      <c r="J273" s="39"/>
      <c r="K273" s="35"/>
      <c r="L273" s="103"/>
      <c r="M273" s="40"/>
      <c r="O273" s="107"/>
      <c r="P273" s="22"/>
      <c r="Q273" s="23"/>
      <c r="R273" s="107"/>
      <c r="S273" s="107"/>
      <c r="T273" s="107"/>
      <c r="U273" s="107"/>
      <c r="V273" s="107"/>
    </row>
    <row r="274" spans="4:22" s="12" customFormat="1" x14ac:dyDescent="0.2">
      <c r="D274" s="107"/>
      <c r="E274" s="35"/>
      <c r="F274" s="36"/>
      <c r="G274" s="37"/>
      <c r="H274" s="38"/>
      <c r="I274" s="39"/>
      <c r="J274" s="39"/>
      <c r="K274" s="35"/>
      <c r="L274" s="103"/>
      <c r="M274" s="40"/>
      <c r="O274" s="107"/>
      <c r="P274" s="22"/>
      <c r="Q274" s="23"/>
      <c r="R274" s="107"/>
      <c r="S274" s="107"/>
      <c r="T274" s="107"/>
      <c r="U274" s="107"/>
      <c r="V274" s="107"/>
    </row>
    <row r="275" spans="4:22" s="12" customFormat="1" x14ac:dyDescent="0.2">
      <c r="D275" s="107"/>
      <c r="E275" s="35"/>
      <c r="F275" s="36"/>
      <c r="G275" s="37"/>
      <c r="H275" s="38"/>
      <c r="I275" s="39"/>
      <c r="J275" s="39"/>
      <c r="K275" s="35"/>
      <c r="L275" s="103"/>
      <c r="M275" s="40"/>
      <c r="O275" s="107"/>
      <c r="P275" s="22"/>
      <c r="Q275" s="23"/>
      <c r="R275" s="107"/>
      <c r="S275" s="107"/>
      <c r="T275" s="107"/>
      <c r="U275" s="107"/>
      <c r="V275" s="107"/>
    </row>
    <row r="276" spans="4:22" s="12" customFormat="1" x14ac:dyDescent="0.2">
      <c r="D276" s="107"/>
      <c r="E276" s="35"/>
      <c r="F276" s="36"/>
      <c r="G276" s="37"/>
      <c r="H276" s="38"/>
      <c r="I276" s="39"/>
      <c r="J276" s="39"/>
      <c r="K276" s="35"/>
      <c r="L276" s="103"/>
      <c r="M276" s="40"/>
      <c r="O276" s="107"/>
      <c r="P276" s="22"/>
      <c r="Q276" s="23"/>
      <c r="R276" s="107"/>
      <c r="S276" s="107"/>
      <c r="T276" s="107"/>
      <c r="U276" s="107"/>
      <c r="V276" s="107"/>
    </row>
    <row r="277" spans="4:22" s="12" customFormat="1" x14ac:dyDescent="0.2">
      <c r="D277" s="107"/>
      <c r="E277" s="35"/>
      <c r="F277" s="36"/>
      <c r="G277" s="37"/>
      <c r="H277" s="38"/>
      <c r="I277" s="39"/>
      <c r="J277" s="39"/>
      <c r="K277" s="35"/>
      <c r="L277" s="103"/>
      <c r="M277" s="40"/>
      <c r="O277" s="107"/>
      <c r="P277" s="22"/>
      <c r="Q277" s="23"/>
      <c r="R277" s="107"/>
      <c r="S277" s="107"/>
      <c r="T277" s="107"/>
      <c r="U277" s="107"/>
      <c r="V277" s="107"/>
    </row>
    <row r="278" spans="4:22" s="12" customFormat="1" x14ac:dyDescent="0.2">
      <c r="D278" s="107"/>
      <c r="E278" s="35"/>
      <c r="F278" s="36"/>
      <c r="G278" s="37"/>
      <c r="H278" s="38"/>
      <c r="I278" s="39"/>
      <c r="J278" s="39"/>
      <c r="K278" s="35"/>
      <c r="L278" s="103"/>
      <c r="M278" s="40"/>
      <c r="O278" s="107"/>
      <c r="P278" s="22"/>
      <c r="Q278" s="23"/>
      <c r="R278" s="107"/>
      <c r="S278" s="107"/>
      <c r="T278" s="107"/>
      <c r="U278" s="107"/>
      <c r="V278" s="107"/>
    </row>
    <row r="279" spans="4:22" s="12" customFormat="1" x14ac:dyDescent="0.2">
      <c r="D279" s="107"/>
      <c r="E279" s="35"/>
      <c r="F279" s="36"/>
      <c r="G279" s="37"/>
      <c r="H279" s="38"/>
      <c r="I279" s="39"/>
      <c r="J279" s="39"/>
      <c r="K279" s="35"/>
      <c r="L279" s="103"/>
      <c r="M279" s="40"/>
      <c r="O279" s="107"/>
      <c r="P279" s="22"/>
      <c r="Q279" s="23"/>
      <c r="R279" s="107"/>
      <c r="S279" s="107"/>
      <c r="T279" s="107"/>
      <c r="U279" s="107"/>
      <c r="V279" s="107"/>
    </row>
    <row r="280" spans="4:22" s="12" customFormat="1" x14ac:dyDescent="0.2">
      <c r="D280" s="107"/>
      <c r="E280" s="35"/>
      <c r="F280" s="36"/>
      <c r="G280" s="37"/>
      <c r="H280" s="38"/>
      <c r="I280" s="39"/>
      <c r="J280" s="39"/>
      <c r="K280" s="35"/>
      <c r="L280" s="103"/>
      <c r="M280" s="40"/>
      <c r="O280" s="107"/>
      <c r="P280" s="22"/>
      <c r="Q280" s="23"/>
      <c r="R280" s="107"/>
      <c r="S280" s="107"/>
      <c r="T280" s="107"/>
      <c r="U280" s="107"/>
      <c r="V280" s="107"/>
    </row>
    <row r="281" spans="4:22" s="12" customFormat="1" x14ac:dyDescent="0.2">
      <c r="D281" s="107"/>
      <c r="E281" s="35"/>
      <c r="F281" s="36"/>
      <c r="G281" s="37"/>
      <c r="H281" s="38"/>
      <c r="I281" s="39"/>
      <c r="J281" s="39"/>
      <c r="K281" s="35"/>
      <c r="L281" s="103"/>
      <c r="M281" s="40"/>
      <c r="O281" s="107"/>
      <c r="P281" s="22"/>
      <c r="Q281" s="23"/>
      <c r="R281" s="107"/>
      <c r="S281" s="107"/>
      <c r="T281" s="107"/>
      <c r="U281" s="107"/>
      <c r="V281" s="107"/>
    </row>
    <row r="282" spans="4:22" s="12" customFormat="1" x14ac:dyDescent="0.2">
      <c r="D282" s="107"/>
      <c r="E282" s="35"/>
      <c r="F282" s="36"/>
      <c r="G282" s="37"/>
      <c r="H282" s="38"/>
      <c r="I282" s="39"/>
      <c r="J282" s="39"/>
      <c r="K282" s="35"/>
      <c r="L282" s="103"/>
      <c r="M282" s="40"/>
      <c r="O282" s="107"/>
      <c r="P282" s="22"/>
      <c r="Q282" s="23"/>
      <c r="R282" s="107"/>
      <c r="S282" s="107"/>
      <c r="T282" s="107"/>
      <c r="U282" s="107"/>
      <c r="V282" s="107"/>
    </row>
    <row r="283" spans="4:22" s="12" customFormat="1" x14ac:dyDescent="0.2">
      <c r="D283" s="107"/>
      <c r="E283" s="35"/>
      <c r="F283" s="36"/>
      <c r="G283" s="37"/>
      <c r="H283" s="38"/>
      <c r="I283" s="39"/>
      <c r="J283" s="39"/>
      <c r="K283" s="35"/>
      <c r="L283" s="103"/>
      <c r="M283" s="40"/>
      <c r="O283" s="107"/>
      <c r="P283" s="22"/>
      <c r="Q283" s="23"/>
      <c r="R283" s="107"/>
      <c r="S283" s="107"/>
      <c r="T283" s="107"/>
      <c r="U283" s="107"/>
      <c r="V283" s="107"/>
    </row>
    <row r="284" spans="4:22" s="12" customFormat="1" x14ac:dyDescent="0.2">
      <c r="D284" s="107"/>
      <c r="E284" s="35"/>
      <c r="F284" s="36"/>
      <c r="G284" s="37"/>
      <c r="H284" s="38"/>
      <c r="I284" s="39"/>
      <c r="J284" s="39"/>
      <c r="K284" s="35"/>
      <c r="L284" s="103"/>
      <c r="M284" s="40"/>
      <c r="O284" s="107"/>
      <c r="P284" s="22"/>
      <c r="Q284" s="23"/>
      <c r="R284" s="107"/>
      <c r="S284" s="107"/>
      <c r="T284" s="107"/>
      <c r="U284" s="107"/>
      <c r="V284" s="107"/>
    </row>
    <row r="285" spans="4:22" s="12" customFormat="1" x14ac:dyDescent="0.2">
      <c r="D285" s="107"/>
      <c r="E285" s="35"/>
      <c r="F285" s="36"/>
      <c r="G285" s="37"/>
      <c r="H285" s="38"/>
      <c r="I285" s="39"/>
      <c r="J285" s="39"/>
      <c r="K285" s="35"/>
      <c r="L285" s="103"/>
      <c r="M285" s="40"/>
      <c r="O285" s="107"/>
      <c r="P285" s="22"/>
      <c r="Q285" s="23"/>
      <c r="R285" s="107"/>
      <c r="S285" s="107"/>
      <c r="T285" s="107"/>
      <c r="U285" s="107"/>
      <c r="V285" s="107"/>
    </row>
    <row r="286" spans="4:22" s="12" customFormat="1" x14ac:dyDescent="0.2">
      <c r="D286" s="107"/>
      <c r="E286" s="35"/>
      <c r="F286" s="36"/>
      <c r="G286" s="37"/>
      <c r="H286" s="38"/>
      <c r="I286" s="39"/>
      <c r="J286" s="39"/>
      <c r="K286" s="35"/>
      <c r="L286" s="103"/>
      <c r="M286" s="40"/>
      <c r="O286" s="107"/>
      <c r="P286" s="22"/>
      <c r="Q286" s="23"/>
      <c r="R286" s="107"/>
      <c r="S286" s="107"/>
      <c r="T286" s="107"/>
      <c r="U286" s="107"/>
      <c r="V286" s="107"/>
    </row>
    <row r="287" spans="4:22" s="12" customFormat="1" x14ac:dyDescent="0.2">
      <c r="D287" s="107"/>
      <c r="E287" s="35"/>
      <c r="F287" s="36"/>
      <c r="G287" s="37"/>
      <c r="H287" s="38"/>
      <c r="I287" s="39"/>
      <c r="J287" s="39"/>
      <c r="K287" s="35"/>
      <c r="L287" s="103"/>
      <c r="M287" s="40"/>
      <c r="O287" s="107"/>
      <c r="P287" s="22"/>
      <c r="Q287" s="23"/>
      <c r="R287" s="107"/>
      <c r="S287" s="107"/>
      <c r="T287" s="107"/>
      <c r="U287" s="107"/>
      <c r="V287" s="107"/>
    </row>
    <row r="288" spans="4:22" s="12" customFormat="1" x14ac:dyDescent="0.2">
      <c r="D288" s="107"/>
      <c r="E288" s="35"/>
      <c r="F288" s="36"/>
      <c r="G288" s="37"/>
      <c r="H288" s="38"/>
      <c r="I288" s="39"/>
      <c r="J288" s="39"/>
      <c r="K288" s="35"/>
      <c r="L288" s="103"/>
      <c r="M288" s="40"/>
      <c r="O288" s="107"/>
      <c r="P288" s="22"/>
      <c r="Q288" s="23"/>
      <c r="R288" s="107"/>
      <c r="S288" s="107"/>
      <c r="T288" s="107"/>
      <c r="U288" s="107"/>
      <c r="V288" s="107"/>
    </row>
    <row r="289" spans="4:22" s="12" customFormat="1" x14ac:dyDescent="0.2">
      <c r="D289" s="107"/>
      <c r="E289" s="35"/>
      <c r="F289" s="36"/>
      <c r="G289" s="37"/>
      <c r="H289" s="38"/>
      <c r="I289" s="39"/>
      <c r="J289" s="39"/>
      <c r="K289" s="35"/>
      <c r="L289" s="103"/>
      <c r="M289" s="40"/>
      <c r="O289" s="107"/>
      <c r="P289" s="22"/>
      <c r="Q289" s="23"/>
      <c r="R289" s="107"/>
      <c r="S289" s="107"/>
      <c r="T289" s="107"/>
      <c r="U289" s="107"/>
      <c r="V289" s="107"/>
    </row>
    <row r="290" spans="4:22" s="12" customFormat="1" x14ac:dyDescent="0.2">
      <c r="D290" s="107"/>
      <c r="E290" s="35"/>
      <c r="F290" s="36"/>
      <c r="G290" s="37"/>
      <c r="H290" s="38"/>
      <c r="I290" s="39"/>
      <c r="J290" s="39"/>
      <c r="K290" s="35"/>
      <c r="L290" s="103"/>
      <c r="M290" s="40"/>
      <c r="O290" s="107"/>
      <c r="P290" s="22"/>
      <c r="Q290" s="23"/>
      <c r="R290" s="107"/>
      <c r="S290" s="107"/>
      <c r="T290" s="107"/>
      <c r="U290" s="107"/>
      <c r="V290" s="107"/>
    </row>
    <row r="291" spans="4:22" s="12" customFormat="1" x14ac:dyDescent="0.2">
      <c r="D291" s="107"/>
      <c r="E291" s="35"/>
      <c r="F291" s="36"/>
      <c r="G291" s="37"/>
      <c r="H291" s="38"/>
      <c r="I291" s="39"/>
      <c r="J291" s="39"/>
      <c r="K291" s="35"/>
      <c r="L291" s="103"/>
      <c r="M291" s="40"/>
      <c r="O291" s="107"/>
      <c r="P291" s="22"/>
      <c r="Q291" s="23"/>
      <c r="R291" s="107"/>
      <c r="S291" s="107"/>
      <c r="T291" s="107"/>
      <c r="U291" s="107"/>
      <c r="V291" s="107"/>
    </row>
    <row r="292" spans="4:22" s="12" customFormat="1" x14ac:dyDescent="0.2">
      <c r="D292" s="107"/>
      <c r="E292" s="35"/>
      <c r="F292" s="36"/>
      <c r="G292" s="37"/>
      <c r="H292" s="38"/>
      <c r="I292" s="39"/>
      <c r="J292" s="39"/>
      <c r="K292" s="35"/>
      <c r="L292" s="103"/>
      <c r="M292" s="40"/>
      <c r="O292" s="107"/>
      <c r="P292" s="22"/>
      <c r="Q292" s="23"/>
      <c r="R292" s="107"/>
      <c r="S292" s="107"/>
      <c r="T292" s="107"/>
      <c r="U292" s="107"/>
      <c r="V292" s="107"/>
    </row>
    <row r="293" spans="4:22" s="12" customFormat="1" x14ac:dyDescent="0.2">
      <c r="D293" s="107"/>
      <c r="E293" s="35"/>
      <c r="F293" s="36"/>
      <c r="G293" s="37"/>
      <c r="H293" s="38"/>
      <c r="I293" s="39"/>
      <c r="J293" s="39"/>
      <c r="K293" s="35"/>
      <c r="L293" s="103"/>
      <c r="M293" s="40"/>
      <c r="O293" s="107"/>
      <c r="P293" s="22"/>
      <c r="Q293" s="23"/>
      <c r="R293" s="107"/>
      <c r="S293" s="107"/>
      <c r="T293" s="107"/>
      <c r="U293" s="107"/>
      <c r="V293" s="107"/>
    </row>
    <row r="294" spans="4:22" s="12" customFormat="1" x14ac:dyDescent="0.2">
      <c r="D294" s="107"/>
      <c r="E294" s="35"/>
      <c r="F294" s="36"/>
      <c r="G294" s="37"/>
      <c r="H294" s="38"/>
      <c r="I294" s="39"/>
      <c r="J294" s="39"/>
      <c r="K294" s="35"/>
      <c r="L294" s="103"/>
      <c r="M294" s="40"/>
      <c r="O294" s="107"/>
      <c r="P294" s="22"/>
      <c r="Q294" s="23"/>
      <c r="R294" s="107"/>
      <c r="S294" s="107"/>
      <c r="T294" s="107"/>
      <c r="U294" s="107"/>
      <c r="V294" s="107"/>
    </row>
    <row r="295" spans="4:22" s="12" customFormat="1" x14ac:dyDescent="0.2">
      <c r="D295" s="107"/>
      <c r="E295" s="35"/>
      <c r="F295" s="36"/>
      <c r="G295" s="37"/>
      <c r="H295" s="38"/>
      <c r="I295" s="39"/>
      <c r="J295" s="39"/>
      <c r="K295" s="35"/>
      <c r="L295" s="103"/>
      <c r="M295" s="40"/>
      <c r="O295" s="107"/>
      <c r="P295" s="22"/>
      <c r="Q295" s="23"/>
      <c r="R295" s="107"/>
      <c r="S295" s="107"/>
      <c r="T295" s="107"/>
      <c r="U295" s="107"/>
      <c r="V295" s="107"/>
    </row>
    <row r="296" spans="4:22" s="12" customFormat="1" x14ac:dyDescent="0.2">
      <c r="D296" s="107"/>
      <c r="E296" s="35"/>
      <c r="F296" s="36"/>
      <c r="G296" s="37"/>
      <c r="H296" s="38"/>
      <c r="I296" s="39"/>
      <c r="J296" s="39"/>
      <c r="K296" s="35"/>
      <c r="L296" s="103"/>
      <c r="M296" s="40"/>
      <c r="O296" s="107"/>
      <c r="P296" s="22"/>
      <c r="Q296" s="23"/>
      <c r="R296" s="107"/>
      <c r="S296" s="107"/>
      <c r="T296" s="107"/>
      <c r="U296" s="107"/>
      <c r="V296" s="107"/>
    </row>
    <row r="297" spans="4:22" s="12" customFormat="1" x14ac:dyDescent="0.2">
      <c r="D297" s="107"/>
      <c r="E297" s="35"/>
      <c r="F297" s="36"/>
      <c r="G297" s="37"/>
      <c r="H297" s="38"/>
      <c r="I297" s="39"/>
      <c r="J297" s="39"/>
      <c r="K297" s="35"/>
      <c r="L297" s="103"/>
      <c r="M297" s="40"/>
      <c r="O297" s="107"/>
      <c r="P297" s="22"/>
      <c r="Q297" s="23"/>
      <c r="R297" s="107"/>
      <c r="S297" s="107"/>
      <c r="T297" s="107"/>
      <c r="U297" s="107"/>
      <c r="V297" s="107"/>
    </row>
    <row r="298" spans="4:22" s="12" customFormat="1" x14ac:dyDescent="0.2">
      <c r="D298" s="107"/>
      <c r="E298" s="35"/>
      <c r="F298" s="36"/>
      <c r="G298" s="37"/>
      <c r="H298" s="38"/>
      <c r="I298" s="39"/>
      <c r="J298" s="39"/>
      <c r="K298" s="35"/>
      <c r="L298" s="103"/>
      <c r="M298" s="40"/>
      <c r="O298" s="107"/>
      <c r="P298" s="22"/>
      <c r="Q298" s="23"/>
      <c r="R298" s="107"/>
      <c r="S298" s="107"/>
      <c r="T298" s="107"/>
      <c r="U298" s="107"/>
      <c r="V298" s="107"/>
    </row>
    <row r="299" spans="4:22" s="12" customFormat="1" x14ac:dyDescent="0.2">
      <c r="D299" s="107"/>
      <c r="E299" s="35"/>
      <c r="F299" s="36"/>
      <c r="G299" s="37"/>
      <c r="H299" s="38"/>
      <c r="I299" s="39"/>
      <c r="J299" s="39"/>
      <c r="K299" s="35"/>
      <c r="L299" s="103"/>
      <c r="M299" s="40"/>
      <c r="O299" s="107"/>
      <c r="P299" s="22"/>
      <c r="Q299" s="23"/>
      <c r="R299" s="107"/>
      <c r="S299" s="107"/>
      <c r="T299" s="107"/>
      <c r="U299" s="107"/>
      <c r="V299" s="107"/>
    </row>
    <row r="300" spans="4:22" s="12" customFormat="1" x14ac:dyDescent="0.2">
      <c r="D300" s="107"/>
      <c r="E300" s="35"/>
      <c r="F300" s="36"/>
      <c r="G300" s="37"/>
      <c r="H300" s="38"/>
      <c r="I300" s="39"/>
      <c r="J300" s="39"/>
      <c r="K300" s="35"/>
      <c r="L300" s="103"/>
      <c r="M300" s="40"/>
      <c r="O300" s="107"/>
      <c r="P300" s="22"/>
      <c r="Q300" s="23"/>
      <c r="R300" s="107"/>
      <c r="S300" s="107"/>
      <c r="T300" s="107"/>
      <c r="U300" s="107"/>
      <c r="V300" s="107"/>
    </row>
    <row r="301" spans="4:22" s="12" customFormat="1" x14ac:dyDescent="0.2">
      <c r="D301" s="107"/>
      <c r="E301" s="35"/>
      <c r="F301" s="36"/>
      <c r="G301" s="37"/>
      <c r="H301" s="38"/>
      <c r="I301" s="39"/>
      <c r="J301" s="39"/>
      <c r="K301" s="35"/>
      <c r="L301" s="103"/>
      <c r="M301" s="40"/>
      <c r="O301" s="107"/>
      <c r="P301" s="22"/>
      <c r="Q301" s="23"/>
      <c r="R301" s="107"/>
      <c r="S301" s="107"/>
      <c r="T301" s="107"/>
      <c r="U301" s="107"/>
      <c r="V301" s="107"/>
    </row>
    <row r="302" spans="4:22" s="12" customFormat="1" x14ac:dyDescent="0.2">
      <c r="D302" s="107"/>
      <c r="E302" s="35"/>
      <c r="F302" s="36"/>
      <c r="G302" s="37"/>
      <c r="H302" s="38"/>
      <c r="I302" s="39"/>
      <c r="J302" s="39"/>
      <c r="K302" s="35"/>
      <c r="L302" s="103"/>
      <c r="M302" s="40"/>
      <c r="O302" s="107"/>
      <c r="P302" s="22"/>
      <c r="Q302" s="23"/>
      <c r="R302" s="107"/>
      <c r="S302" s="107"/>
      <c r="T302" s="107"/>
      <c r="U302" s="107"/>
      <c r="V302" s="107"/>
    </row>
    <row r="303" spans="4:22" s="12" customFormat="1" x14ac:dyDescent="0.2">
      <c r="D303" s="107"/>
      <c r="E303" s="35"/>
      <c r="F303" s="36"/>
      <c r="G303" s="37"/>
      <c r="H303" s="38"/>
      <c r="I303" s="39"/>
      <c r="J303" s="39"/>
      <c r="K303" s="35"/>
      <c r="L303" s="103"/>
      <c r="M303" s="40"/>
      <c r="O303" s="107"/>
      <c r="P303" s="22"/>
      <c r="Q303" s="23"/>
      <c r="R303" s="107"/>
      <c r="S303" s="107"/>
      <c r="T303" s="107"/>
      <c r="U303" s="107"/>
      <c r="V303" s="107"/>
    </row>
    <row r="304" spans="4:22" s="12" customFormat="1" x14ac:dyDescent="0.2">
      <c r="D304" s="107"/>
      <c r="E304" s="35"/>
      <c r="F304" s="36"/>
      <c r="G304" s="37"/>
      <c r="H304" s="38"/>
      <c r="I304" s="39"/>
      <c r="J304" s="39"/>
      <c r="K304" s="35"/>
      <c r="L304" s="103"/>
      <c r="M304" s="40"/>
      <c r="O304" s="107"/>
      <c r="P304" s="22"/>
      <c r="Q304" s="23"/>
      <c r="R304" s="107"/>
      <c r="S304" s="107"/>
      <c r="T304" s="107"/>
      <c r="U304" s="107"/>
      <c r="V304" s="107"/>
    </row>
    <row r="305" spans="4:22" s="12" customFormat="1" x14ac:dyDescent="0.2">
      <c r="D305" s="107"/>
      <c r="E305" s="35"/>
      <c r="F305" s="36"/>
      <c r="G305" s="37"/>
      <c r="H305" s="38"/>
      <c r="I305" s="39"/>
      <c r="J305" s="39"/>
      <c r="K305" s="35"/>
      <c r="L305" s="103"/>
      <c r="M305" s="40"/>
      <c r="O305" s="107"/>
      <c r="P305" s="22"/>
      <c r="Q305" s="23"/>
      <c r="R305" s="107"/>
      <c r="S305" s="107"/>
      <c r="T305" s="107"/>
      <c r="U305" s="107"/>
      <c r="V305" s="107"/>
    </row>
    <row r="306" spans="4:22" s="12" customFormat="1" x14ac:dyDescent="0.2">
      <c r="D306" s="107"/>
      <c r="E306" s="35"/>
      <c r="F306" s="36"/>
      <c r="G306" s="37"/>
      <c r="H306" s="38"/>
      <c r="I306" s="39"/>
      <c r="J306" s="39"/>
      <c r="K306" s="35"/>
      <c r="L306" s="103"/>
      <c r="M306" s="40"/>
      <c r="O306" s="107"/>
      <c r="P306" s="22"/>
      <c r="Q306" s="23"/>
      <c r="R306" s="107"/>
      <c r="S306" s="107"/>
      <c r="T306" s="107"/>
      <c r="U306" s="107"/>
      <c r="V306" s="107"/>
    </row>
    <row r="307" spans="4:22" s="12" customFormat="1" x14ac:dyDescent="0.2">
      <c r="D307" s="107"/>
      <c r="E307" s="35"/>
      <c r="F307" s="36"/>
      <c r="G307" s="37"/>
      <c r="H307" s="38"/>
      <c r="I307" s="39"/>
      <c r="J307" s="39"/>
      <c r="K307" s="35"/>
      <c r="L307" s="103"/>
      <c r="M307" s="40"/>
      <c r="O307" s="107"/>
      <c r="P307" s="22"/>
      <c r="Q307" s="23"/>
      <c r="R307" s="107"/>
      <c r="S307" s="107"/>
      <c r="T307" s="107"/>
      <c r="U307" s="107"/>
      <c r="V307" s="107"/>
    </row>
    <row r="308" spans="4:22" s="12" customFormat="1" x14ac:dyDescent="0.2">
      <c r="D308" s="107"/>
      <c r="E308" s="35"/>
      <c r="F308" s="36"/>
      <c r="G308" s="37"/>
      <c r="H308" s="38"/>
      <c r="I308" s="39"/>
      <c r="J308" s="39"/>
      <c r="K308" s="35"/>
      <c r="L308" s="103"/>
      <c r="M308" s="40"/>
      <c r="O308" s="107"/>
      <c r="P308" s="22"/>
      <c r="Q308" s="23"/>
      <c r="R308" s="107"/>
      <c r="S308" s="107"/>
      <c r="T308" s="107"/>
      <c r="U308" s="107"/>
      <c r="V308" s="107"/>
    </row>
    <row r="309" spans="4:22" s="12" customFormat="1" x14ac:dyDescent="0.2">
      <c r="D309" s="107"/>
      <c r="E309" s="35"/>
      <c r="F309" s="36"/>
      <c r="G309" s="37"/>
      <c r="H309" s="38"/>
      <c r="I309" s="39"/>
      <c r="J309" s="39"/>
      <c r="K309" s="35"/>
      <c r="L309" s="103"/>
      <c r="M309" s="40"/>
      <c r="O309" s="107"/>
      <c r="P309" s="22"/>
      <c r="Q309" s="23"/>
      <c r="R309" s="107"/>
      <c r="S309" s="107"/>
      <c r="T309" s="107"/>
      <c r="U309" s="107"/>
      <c r="V309" s="107"/>
    </row>
    <row r="310" spans="4:22" s="12" customFormat="1" x14ac:dyDescent="0.2">
      <c r="D310" s="107"/>
      <c r="E310" s="35"/>
      <c r="F310" s="36"/>
      <c r="G310" s="37"/>
      <c r="H310" s="38"/>
      <c r="I310" s="39"/>
      <c r="J310" s="39"/>
      <c r="K310" s="35"/>
      <c r="L310" s="103"/>
      <c r="M310" s="40"/>
      <c r="O310" s="107"/>
      <c r="P310" s="22"/>
      <c r="Q310" s="23"/>
      <c r="R310" s="107"/>
      <c r="S310" s="107"/>
      <c r="T310" s="107"/>
      <c r="U310" s="107"/>
      <c r="V310" s="107"/>
    </row>
    <row r="311" spans="4:22" s="12" customFormat="1" x14ac:dyDescent="0.2">
      <c r="D311" s="107"/>
      <c r="E311" s="35"/>
      <c r="F311" s="36"/>
      <c r="G311" s="37"/>
      <c r="H311" s="38"/>
      <c r="I311" s="39"/>
      <c r="J311" s="39"/>
      <c r="K311" s="35"/>
      <c r="L311" s="103"/>
      <c r="M311" s="40"/>
      <c r="O311" s="107"/>
      <c r="P311" s="22"/>
      <c r="Q311" s="23"/>
      <c r="R311" s="107"/>
      <c r="S311" s="107"/>
      <c r="T311" s="107"/>
      <c r="U311" s="107"/>
      <c r="V311" s="107"/>
    </row>
    <row r="312" spans="4:22" s="12" customFormat="1" x14ac:dyDescent="0.2">
      <c r="D312" s="107"/>
      <c r="E312" s="35"/>
      <c r="F312" s="36"/>
      <c r="G312" s="37"/>
      <c r="H312" s="38"/>
      <c r="I312" s="39"/>
      <c r="J312" s="39"/>
      <c r="K312" s="35"/>
      <c r="L312" s="103"/>
      <c r="M312" s="40"/>
      <c r="O312" s="107"/>
      <c r="P312" s="22"/>
      <c r="Q312" s="23"/>
      <c r="R312" s="107"/>
      <c r="S312" s="107"/>
      <c r="T312" s="107"/>
      <c r="U312" s="107"/>
      <c r="V312" s="107"/>
    </row>
    <row r="313" spans="4:22" s="12" customFormat="1" x14ac:dyDescent="0.2">
      <c r="D313" s="107"/>
      <c r="E313" s="35"/>
      <c r="F313" s="36"/>
      <c r="G313" s="37"/>
      <c r="H313" s="38"/>
      <c r="I313" s="39"/>
      <c r="J313" s="39"/>
      <c r="K313" s="35"/>
      <c r="L313" s="103"/>
      <c r="M313" s="40"/>
      <c r="O313" s="107"/>
      <c r="P313" s="22"/>
      <c r="Q313" s="23"/>
      <c r="R313" s="107"/>
      <c r="S313" s="107"/>
      <c r="T313" s="107"/>
      <c r="U313" s="107"/>
      <c r="V313" s="107"/>
    </row>
    <row r="314" spans="4:22" s="12" customFormat="1" x14ac:dyDescent="0.2">
      <c r="D314" s="107"/>
      <c r="E314" s="35"/>
      <c r="F314" s="36"/>
      <c r="G314" s="37"/>
      <c r="H314" s="38"/>
      <c r="I314" s="39"/>
      <c r="J314" s="39"/>
      <c r="K314" s="35"/>
      <c r="L314" s="103"/>
      <c r="M314" s="40"/>
      <c r="O314" s="107"/>
      <c r="P314" s="22"/>
      <c r="Q314" s="23"/>
      <c r="R314" s="107"/>
      <c r="S314" s="107"/>
      <c r="T314" s="107"/>
      <c r="U314" s="107"/>
      <c r="V314" s="107"/>
    </row>
    <row r="315" spans="4:22" s="12" customFormat="1" x14ac:dyDescent="0.2">
      <c r="D315" s="107"/>
      <c r="E315" s="35"/>
      <c r="F315" s="36"/>
      <c r="G315" s="37"/>
      <c r="H315" s="38"/>
      <c r="I315" s="39"/>
      <c r="J315" s="39"/>
      <c r="K315" s="35"/>
      <c r="L315" s="103"/>
      <c r="M315" s="40"/>
      <c r="O315" s="107"/>
      <c r="P315" s="22"/>
      <c r="Q315" s="23"/>
      <c r="R315" s="107"/>
      <c r="S315" s="107"/>
      <c r="T315" s="107"/>
      <c r="U315" s="107"/>
      <c r="V315" s="107"/>
    </row>
    <row r="316" spans="4:22" s="12" customFormat="1" x14ac:dyDescent="0.2">
      <c r="D316" s="107"/>
      <c r="E316" s="35"/>
      <c r="F316" s="36"/>
      <c r="G316" s="37"/>
      <c r="H316" s="38"/>
      <c r="I316" s="39"/>
      <c r="J316" s="39"/>
      <c r="K316" s="35"/>
      <c r="L316" s="103"/>
      <c r="M316" s="40"/>
      <c r="O316" s="107"/>
      <c r="P316" s="22"/>
      <c r="Q316" s="23"/>
      <c r="R316" s="107"/>
      <c r="S316" s="107"/>
      <c r="T316" s="107"/>
      <c r="U316" s="107"/>
      <c r="V316" s="107"/>
    </row>
    <row r="317" spans="4:22" s="12" customFormat="1" x14ac:dyDescent="0.2">
      <c r="D317" s="107"/>
      <c r="E317" s="35"/>
      <c r="F317" s="36"/>
      <c r="G317" s="37"/>
      <c r="H317" s="38"/>
      <c r="I317" s="39"/>
      <c r="J317" s="39"/>
      <c r="K317" s="35"/>
      <c r="L317" s="103"/>
      <c r="M317" s="40"/>
      <c r="O317" s="107"/>
      <c r="P317" s="22"/>
      <c r="Q317" s="23"/>
      <c r="R317" s="107"/>
      <c r="S317" s="107"/>
      <c r="T317" s="107"/>
      <c r="U317" s="107"/>
      <c r="V317" s="107"/>
    </row>
    <row r="318" spans="4:22" s="12" customFormat="1" x14ac:dyDescent="0.2">
      <c r="D318" s="107"/>
      <c r="E318" s="35"/>
      <c r="F318" s="36"/>
      <c r="G318" s="37"/>
      <c r="H318" s="38"/>
      <c r="I318" s="39"/>
      <c r="J318" s="39"/>
      <c r="K318" s="35"/>
      <c r="L318" s="103"/>
      <c r="M318" s="40"/>
      <c r="O318" s="107"/>
      <c r="P318" s="22"/>
      <c r="Q318" s="23"/>
      <c r="R318" s="107"/>
      <c r="S318" s="107"/>
      <c r="T318" s="107"/>
      <c r="U318" s="107"/>
      <c r="V318" s="107"/>
    </row>
    <row r="319" spans="4:22" s="12" customFormat="1" x14ac:dyDescent="0.2">
      <c r="D319" s="107"/>
      <c r="E319" s="35"/>
      <c r="F319" s="36"/>
      <c r="G319" s="37"/>
      <c r="H319" s="38"/>
      <c r="I319" s="39"/>
      <c r="J319" s="39"/>
      <c r="K319" s="35"/>
      <c r="L319" s="103"/>
      <c r="M319" s="40"/>
      <c r="O319" s="107"/>
      <c r="P319" s="22"/>
      <c r="Q319" s="23"/>
      <c r="R319" s="107"/>
      <c r="S319" s="107"/>
      <c r="T319" s="107"/>
      <c r="U319" s="107"/>
      <c r="V319" s="107"/>
    </row>
    <row r="320" spans="4:22" s="12" customFormat="1" x14ac:dyDescent="0.2">
      <c r="D320" s="107"/>
      <c r="E320" s="35"/>
      <c r="F320" s="36"/>
      <c r="G320" s="37"/>
      <c r="H320" s="38"/>
      <c r="I320" s="39"/>
      <c r="J320" s="39"/>
      <c r="K320" s="35"/>
      <c r="L320" s="103"/>
      <c r="M320" s="40"/>
      <c r="O320" s="107"/>
      <c r="P320" s="22"/>
      <c r="Q320" s="23"/>
      <c r="R320" s="107"/>
      <c r="S320" s="107"/>
      <c r="T320" s="107"/>
      <c r="U320" s="107"/>
      <c r="V320" s="107"/>
    </row>
    <row r="321" spans="4:22" s="12" customFormat="1" x14ac:dyDescent="0.2">
      <c r="D321" s="107"/>
      <c r="E321" s="35"/>
      <c r="F321" s="36"/>
      <c r="G321" s="37"/>
      <c r="H321" s="38"/>
      <c r="I321" s="39"/>
      <c r="J321" s="39"/>
      <c r="K321" s="35"/>
      <c r="L321" s="103"/>
      <c r="M321" s="40"/>
      <c r="O321" s="107"/>
      <c r="P321" s="22"/>
      <c r="Q321" s="23"/>
      <c r="R321" s="107"/>
      <c r="S321" s="107"/>
      <c r="T321" s="107"/>
      <c r="U321" s="107"/>
      <c r="V321" s="107"/>
    </row>
    <row r="322" spans="4:22" s="12" customFormat="1" x14ac:dyDescent="0.2">
      <c r="D322" s="107"/>
      <c r="E322" s="35"/>
      <c r="F322" s="36"/>
      <c r="G322" s="37"/>
      <c r="H322" s="38"/>
      <c r="I322" s="39"/>
      <c r="J322" s="39"/>
      <c r="K322" s="35"/>
      <c r="L322" s="103"/>
      <c r="M322" s="40"/>
      <c r="O322" s="107"/>
      <c r="P322" s="22"/>
      <c r="Q322" s="23"/>
      <c r="R322" s="107"/>
      <c r="S322" s="107"/>
      <c r="T322" s="107"/>
      <c r="U322" s="107"/>
      <c r="V322" s="107"/>
    </row>
    <row r="323" spans="4:22" s="12" customFormat="1" x14ac:dyDescent="0.2">
      <c r="D323" s="107"/>
      <c r="E323" s="35"/>
      <c r="F323" s="36"/>
      <c r="G323" s="37"/>
      <c r="H323" s="38"/>
      <c r="I323" s="39"/>
      <c r="J323" s="39"/>
      <c r="K323" s="35"/>
      <c r="L323" s="103"/>
      <c r="M323" s="40"/>
      <c r="O323" s="107"/>
      <c r="P323" s="22"/>
      <c r="Q323" s="23"/>
      <c r="R323" s="107"/>
      <c r="S323" s="107"/>
      <c r="T323" s="107"/>
      <c r="U323" s="107"/>
      <c r="V323" s="107"/>
    </row>
    <row r="324" spans="4:22" s="12" customFormat="1" x14ac:dyDescent="0.2">
      <c r="D324" s="107"/>
      <c r="E324" s="35"/>
      <c r="F324" s="36"/>
      <c r="G324" s="37"/>
      <c r="H324" s="38"/>
      <c r="I324" s="39"/>
      <c r="J324" s="39"/>
      <c r="K324" s="35"/>
      <c r="L324" s="103"/>
      <c r="M324" s="40"/>
      <c r="O324" s="107"/>
      <c r="P324" s="22"/>
      <c r="Q324" s="23"/>
      <c r="R324" s="107"/>
      <c r="S324" s="107"/>
      <c r="T324" s="107"/>
      <c r="U324" s="107"/>
      <c r="V324" s="107"/>
    </row>
    <row r="325" spans="4:22" s="12" customFormat="1" x14ac:dyDescent="0.2">
      <c r="D325" s="107"/>
      <c r="E325" s="35"/>
      <c r="F325" s="36"/>
      <c r="G325" s="37"/>
      <c r="H325" s="38"/>
      <c r="I325" s="39"/>
      <c r="J325" s="39"/>
      <c r="K325" s="35"/>
      <c r="L325" s="103"/>
      <c r="M325" s="40"/>
      <c r="O325" s="107"/>
      <c r="P325" s="22"/>
      <c r="Q325" s="23"/>
      <c r="R325" s="107"/>
      <c r="S325" s="107"/>
      <c r="T325" s="107"/>
      <c r="U325" s="107"/>
      <c r="V325" s="107"/>
    </row>
    <row r="326" spans="4:22" s="12" customFormat="1" x14ac:dyDescent="0.2">
      <c r="D326" s="107"/>
      <c r="E326" s="35"/>
      <c r="F326" s="36"/>
      <c r="G326" s="37"/>
      <c r="H326" s="38"/>
      <c r="I326" s="39"/>
      <c r="J326" s="39"/>
      <c r="K326" s="35"/>
      <c r="L326" s="103"/>
      <c r="M326" s="40"/>
      <c r="O326" s="107"/>
      <c r="P326" s="22"/>
      <c r="Q326" s="23"/>
      <c r="R326" s="107"/>
      <c r="S326" s="107"/>
      <c r="T326" s="107"/>
      <c r="U326" s="107"/>
      <c r="V326" s="107"/>
    </row>
    <row r="327" spans="4:22" s="12" customFormat="1" x14ac:dyDescent="0.2">
      <c r="D327" s="107"/>
      <c r="E327" s="35"/>
      <c r="F327" s="36"/>
      <c r="G327" s="37"/>
      <c r="H327" s="38"/>
      <c r="I327" s="39"/>
      <c r="J327" s="39"/>
      <c r="K327" s="35"/>
      <c r="L327" s="103"/>
      <c r="M327" s="40"/>
      <c r="O327" s="107"/>
      <c r="P327" s="22"/>
      <c r="Q327" s="23"/>
      <c r="R327" s="107"/>
      <c r="S327" s="107"/>
      <c r="T327" s="107"/>
      <c r="U327" s="107"/>
      <c r="V327" s="107"/>
    </row>
    <row r="328" spans="4:22" s="12" customFormat="1" x14ac:dyDescent="0.2">
      <c r="D328" s="107"/>
      <c r="E328" s="35"/>
      <c r="F328" s="36"/>
      <c r="G328" s="37"/>
      <c r="H328" s="38"/>
      <c r="I328" s="39"/>
      <c r="J328" s="39"/>
      <c r="K328" s="35"/>
      <c r="L328" s="103"/>
      <c r="M328" s="40"/>
      <c r="O328" s="107"/>
      <c r="P328" s="22"/>
      <c r="Q328" s="23"/>
      <c r="R328" s="107"/>
      <c r="S328" s="107"/>
      <c r="T328" s="107"/>
      <c r="U328" s="107"/>
      <c r="V328" s="107"/>
    </row>
    <row r="329" spans="4:22" s="12" customFormat="1" x14ac:dyDescent="0.2">
      <c r="D329" s="107"/>
      <c r="E329" s="35"/>
      <c r="F329" s="36"/>
      <c r="G329" s="37"/>
      <c r="H329" s="38"/>
      <c r="I329" s="39"/>
      <c r="J329" s="39"/>
      <c r="K329" s="35"/>
      <c r="L329" s="103"/>
      <c r="M329" s="40"/>
      <c r="O329" s="107"/>
      <c r="P329" s="22"/>
      <c r="Q329" s="23"/>
      <c r="R329" s="107"/>
      <c r="S329" s="107"/>
      <c r="T329" s="107"/>
      <c r="U329" s="107"/>
      <c r="V329" s="107"/>
    </row>
    <row r="330" spans="4:22" s="12" customFormat="1" x14ac:dyDescent="0.2">
      <c r="D330" s="107"/>
      <c r="E330" s="35"/>
      <c r="F330" s="36"/>
      <c r="G330" s="37"/>
      <c r="H330" s="38"/>
      <c r="I330" s="39"/>
      <c r="J330" s="39"/>
      <c r="K330" s="35"/>
      <c r="L330" s="103"/>
      <c r="M330" s="40"/>
      <c r="O330" s="107"/>
      <c r="P330" s="22"/>
      <c r="Q330" s="23"/>
      <c r="R330" s="107"/>
      <c r="S330" s="107"/>
      <c r="T330" s="107"/>
      <c r="U330" s="107"/>
      <c r="V330" s="107"/>
    </row>
    <row r="331" spans="4:22" s="12" customFormat="1" x14ac:dyDescent="0.2">
      <c r="D331" s="107"/>
      <c r="E331" s="35"/>
      <c r="F331" s="36"/>
      <c r="G331" s="37"/>
      <c r="H331" s="38"/>
      <c r="I331" s="39"/>
      <c r="J331" s="39"/>
      <c r="K331" s="35"/>
      <c r="L331" s="103"/>
      <c r="M331" s="40"/>
      <c r="O331" s="107"/>
      <c r="P331" s="22"/>
      <c r="Q331" s="23"/>
      <c r="R331" s="107"/>
      <c r="S331" s="107"/>
      <c r="T331" s="107"/>
      <c r="U331" s="107"/>
      <c r="V331" s="107"/>
    </row>
    <row r="332" spans="4:22" s="12" customFormat="1" x14ac:dyDescent="0.2">
      <c r="D332" s="107"/>
      <c r="E332" s="35"/>
      <c r="F332" s="36"/>
      <c r="G332" s="37"/>
      <c r="H332" s="38"/>
      <c r="I332" s="39"/>
      <c r="J332" s="39"/>
      <c r="K332" s="35"/>
      <c r="L332" s="103"/>
      <c r="M332" s="40"/>
      <c r="O332" s="107"/>
      <c r="P332" s="22"/>
      <c r="Q332" s="23"/>
      <c r="R332" s="107"/>
      <c r="S332" s="107"/>
      <c r="T332" s="107"/>
      <c r="U332" s="107"/>
      <c r="V332" s="107"/>
    </row>
    <row r="333" spans="4:22" s="12" customFormat="1" x14ac:dyDescent="0.2">
      <c r="D333" s="107"/>
      <c r="E333" s="35"/>
      <c r="F333" s="36"/>
      <c r="G333" s="37"/>
      <c r="H333" s="38"/>
      <c r="I333" s="39"/>
      <c r="J333" s="39"/>
      <c r="K333" s="35"/>
      <c r="L333" s="103"/>
      <c r="M333" s="40"/>
      <c r="O333" s="107"/>
      <c r="P333" s="22"/>
      <c r="Q333" s="23"/>
      <c r="R333" s="107"/>
      <c r="S333" s="107"/>
      <c r="T333" s="107"/>
      <c r="U333" s="107"/>
      <c r="V333" s="107"/>
    </row>
    <row r="334" spans="4:22" s="12" customFormat="1" x14ac:dyDescent="0.2">
      <c r="D334" s="107"/>
      <c r="E334" s="35"/>
      <c r="F334" s="36"/>
      <c r="G334" s="37"/>
      <c r="H334" s="38"/>
      <c r="I334" s="39"/>
      <c r="J334" s="39"/>
      <c r="K334" s="35"/>
      <c r="L334" s="103"/>
      <c r="M334" s="40"/>
      <c r="O334" s="107"/>
      <c r="P334" s="22"/>
      <c r="Q334" s="23"/>
      <c r="R334" s="107"/>
      <c r="S334" s="107"/>
      <c r="T334" s="107"/>
      <c r="U334" s="107"/>
      <c r="V334" s="107"/>
    </row>
    <row r="335" spans="4:22" s="12" customFormat="1" x14ac:dyDescent="0.2">
      <c r="D335" s="107"/>
      <c r="E335" s="35"/>
      <c r="F335" s="36"/>
      <c r="G335" s="37"/>
      <c r="H335" s="38"/>
      <c r="I335" s="39"/>
      <c r="J335" s="39"/>
      <c r="K335" s="35"/>
      <c r="L335" s="103"/>
      <c r="M335" s="40"/>
      <c r="O335" s="107"/>
      <c r="P335" s="22"/>
      <c r="Q335" s="23"/>
      <c r="R335" s="107"/>
      <c r="S335" s="107"/>
      <c r="T335" s="107"/>
      <c r="U335" s="107"/>
      <c r="V335" s="107"/>
    </row>
    <row r="336" spans="4:22" s="12" customFormat="1" x14ac:dyDescent="0.2">
      <c r="D336" s="107"/>
      <c r="E336" s="35"/>
      <c r="F336" s="36"/>
      <c r="G336" s="37"/>
      <c r="H336" s="38"/>
      <c r="I336" s="39"/>
      <c r="J336" s="39"/>
      <c r="K336" s="35"/>
      <c r="L336" s="103"/>
      <c r="M336" s="40"/>
      <c r="O336" s="107"/>
      <c r="P336" s="22"/>
      <c r="Q336" s="23"/>
      <c r="R336" s="107"/>
      <c r="S336" s="107"/>
      <c r="T336" s="107"/>
      <c r="U336" s="107"/>
      <c r="V336" s="107"/>
    </row>
    <row r="337" spans="4:22" s="12" customFormat="1" x14ac:dyDescent="0.2">
      <c r="D337" s="107"/>
      <c r="E337" s="35"/>
      <c r="F337" s="36"/>
      <c r="G337" s="37"/>
      <c r="H337" s="38"/>
      <c r="I337" s="39"/>
      <c r="J337" s="39"/>
      <c r="K337" s="35"/>
      <c r="L337" s="103"/>
      <c r="M337" s="40"/>
      <c r="O337" s="107"/>
      <c r="P337" s="22"/>
      <c r="Q337" s="23"/>
      <c r="R337" s="107"/>
      <c r="S337" s="107"/>
      <c r="T337" s="107"/>
      <c r="U337" s="107"/>
      <c r="V337" s="107"/>
    </row>
    <row r="338" spans="4:22" s="12" customFormat="1" x14ac:dyDescent="0.2">
      <c r="D338" s="107"/>
      <c r="E338" s="35"/>
      <c r="F338" s="36"/>
      <c r="G338" s="37"/>
      <c r="H338" s="38"/>
      <c r="I338" s="39"/>
      <c r="J338" s="39"/>
      <c r="K338" s="35"/>
      <c r="L338" s="103"/>
      <c r="M338" s="40"/>
      <c r="O338" s="107"/>
      <c r="P338" s="22"/>
      <c r="Q338" s="23"/>
      <c r="R338" s="107"/>
      <c r="S338" s="107"/>
      <c r="T338" s="107"/>
      <c r="U338" s="107"/>
      <c r="V338" s="107"/>
    </row>
    <row r="339" spans="4:22" s="12" customFormat="1" x14ac:dyDescent="0.2">
      <c r="D339" s="107"/>
      <c r="E339" s="35"/>
      <c r="F339" s="36"/>
      <c r="G339" s="37"/>
      <c r="H339" s="38"/>
      <c r="I339" s="39"/>
      <c r="J339" s="39"/>
      <c r="K339" s="35"/>
      <c r="L339" s="103"/>
      <c r="M339" s="40"/>
      <c r="O339" s="107"/>
      <c r="P339" s="22"/>
      <c r="Q339" s="23"/>
      <c r="R339" s="107"/>
      <c r="S339" s="107"/>
      <c r="T339" s="107"/>
      <c r="U339" s="107"/>
      <c r="V339" s="107"/>
    </row>
    <row r="340" spans="4:22" s="12" customFormat="1" x14ac:dyDescent="0.2">
      <c r="D340" s="107"/>
      <c r="E340" s="35"/>
      <c r="F340" s="36"/>
      <c r="G340" s="37"/>
      <c r="H340" s="38"/>
      <c r="I340" s="39"/>
      <c r="J340" s="39"/>
      <c r="K340" s="35"/>
      <c r="L340" s="103"/>
      <c r="M340" s="40"/>
      <c r="O340" s="107"/>
      <c r="P340" s="22"/>
      <c r="Q340" s="23"/>
      <c r="R340" s="107"/>
      <c r="S340" s="107"/>
      <c r="T340" s="107"/>
      <c r="U340" s="107"/>
      <c r="V340" s="107"/>
    </row>
    <row r="341" spans="4:22" s="12" customFormat="1" x14ac:dyDescent="0.2">
      <c r="D341" s="107"/>
      <c r="E341" s="35"/>
      <c r="F341" s="36"/>
      <c r="G341" s="37"/>
      <c r="H341" s="38"/>
      <c r="I341" s="39"/>
      <c r="J341" s="39"/>
      <c r="K341" s="35"/>
      <c r="L341" s="103"/>
      <c r="M341" s="40"/>
      <c r="O341" s="107"/>
      <c r="P341" s="22"/>
      <c r="Q341" s="23"/>
      <c r="R341" s="107"/>
      <c r="S341" s="107"/>
      <c r="T341" s="107"/>
      <c r="U341" s="107"/>
      <c r="V341" s="107"/>
    </row>
    <row r="342" spans="4:22" s="12" customFormat="1" x14ac:dyDescent="0.2">
      <c r="D342" s="107"/>
      <c r="E342" s="35"/>
      <c r="F342" s="36"/>
      <c r="G342" s="37"/>
      <c r="H342" s="38"/>
      <c r="I342" s="39"/>
      <c r="J342" s="39"/>
      <c r="K342" s="35"/>
      <c r="L342" s="103"/>
      <c r="M342" s="40"/>
      <c r="O342" s="107"/>
      <c r="P342" s="22"/>
      <c r="Q342" s="23"/>
      <c r="R342" s="107"/>
      <c r="S342" s="107"/>
      <c r="T342" s="107"/>
      <c r="U342" s="107"/>
      <c r="V342" s="107"/>
    </row>
    <row r="343" spans="4:22" s="12" customFormat="1" x14ac:dyDescent="0.2">
      <c r="D343" s="107"/>
      <c r="E343" s="35"/>
      <c r="F343" s="36"/>
      <c r="G343" s="37"/>
      <c r="H343" s="38"/>
      <c r="I343" s="39"/>
      <c r="J343" s="39"/>
      <c r="K343" s="35"/>
      <c r="L343" s="103"/>
      <c r="M343" s="40"/>
      <c r="O343" s="107"/>
      <c r="P343" s="22"/>
      <c r="Q343" s="23"/>
      <c r="R343" s="107"/>
      <c r="S343" s="107"/>
      <c r="T343" s="107"/>
      <c r="U343" s="107"/>
      <c r="V343" s="107"/>
    </row>
    <row r="344" spans="4:22" s="12" customFormat="1" x14ac:dyDescent="0.2">
      <c r="D344" s="107"/>
      <c r="E344" s="35"/>
      <c r="F344" s="36"/>
      <c r="G344" s="37"/>
      <c r="H344" s="38"/>
      <c r="I344" s="39"/>
      <c r="J344" s="39"/>
      <c r="K344" s="35"/>
      <c r="L344" s="103"/>
      <c r="M344" s="40"/>
      <c r="O344" s="107"/>
      <c r="P344" s="22"/>
      <c r="Q344" s="23"/>
      <c r="R344" s="107"/>
      <c r="S344" s="107"/>
      <c r="T344" s="107"/>
      <c r="U344" s="107"/>
      <c r="V344" s="107"/>
    </row>
    <row r="345" spans="4:22" s="12" customFormat="1" x14ac:dyDescent="0.2">
      <c r="D345" s="107"/>
      <c r="E345" s="35"/>
      <c r="F345" s="36"/>
      <c r="G345" s="37"/>
      <c r="H345" s="38"/>
      <c r="I345" s="39"/>
      <c r="J345" s="39"/>
      <c r="K345" s="35"/>
      <c r="L345" s="103"/>
      <c r="M345" s="40"/>
      <c r="O345" s="107"/>
      <c r="P345" s="22"/>
      <c r="Q345" s="23"/>
      <c r="R345" s="107"/>
      <c r="S345" s="107"/>
      <c r="T345" s="107"/>
      <c r="U345" s="107"/>
      <c r="V345" s="107"/>
    </row>
    <row r="346" spans="4:22" s="12" customFormat="1" x14ac:dyDescent="0.2">
      <c r="D346" s="107"/>
      <c r="E346" s="35"/>
      <c r="F346" s="36"/>
      <c r="G346" s="37"/>
      <c r="H346" s="38"/>
      <c r="I346" s="39"/>
      <c r="J346" s="39"/>
      <c r="K346" s="35"/>
      <c r="L346" s="103"/>
      <c r="M346" s="40"/>
      <c r="O346" s="107"/>
      <c r="P346" s="22"/>
      <c r="Q346" s="23"/>
      <c r="R346" s="107"/>
      <c r="S346" s="107"/>
      <c r="T346" s="107"/>
      <c r="U346" s="107"/>
      <c r="V346" s="107"/>
    </row>
    <row r="347" spans="4:22" s="12" customFormat="1" x14ac:dyDescent="0.2">
      <c r="D347" s="107"/>
      <c r="E347" s="35"/>
      <c r="F347" s="36"/>
      <c r="G347" s="37"/>
      <c r="H347" s="38"/>
      <c r="I347" s="39"/>
      <c r="J347" s="39"/>
      <c r="K347" s="35"/>
      <c r="L347" s="103"/>
      <c r="M347" s="40"/>
      <c r="O347" s="107"/>
      <c r="P347" s="22"/>
      <c r="Q347" s="23"/>
      <c r="R347" s="107"/>
      <c r="S347" s="107"/>
      <c r="T347" s="107"/>
      <c r="U347" s="107"/>
      <c r="V347" s="107"/>
    </row>
    <row r="348" spans="4:22" s="12" customFormat="1" x14ac:dyDescent="0.2">
      <c r="D348" s="107"/>
      <c r="E348" s="35"/>
      <c r="F348" s="36"/>
      <c r="G348" s="37"/>
      <c r="H348" s="38"/>
      <c r="I348" s="39"/>
      <c r="J348" s="39"/>
      <c r="K348" s="35"/>
      <c r="L348" s="103"/>
      <c r="M348" s="40"/>
      <c r="O348" s="107"/>
      <c r="P348" s="22"/>
      <c r="Q348" s="23"/>
      <c r="R348" s="107"/>
      <c r="S348" s="107"/>
      <c r="T348" s="107"/>
      <c r="U348" s="107"/>
      <c r="V348" s="107"/>
    </row>
    <row r="349" spans="4:22" s="12" customFormat="1" x14ac:dyDescent="0.2">
      <c r="D349" s="107"/>
      <c r="E349" s="35"/>
      <c r="F349" s="36"/>
      <c r="G349" s="37"/>
      <c r="H349" s="38"/>
      <c r="I349" s="39"/>
      <c r="J349" s="39"/>
      <c r="K349" s="35"/>
      <c r="L349" s="103"/>
      <c r="M349" s="40"/>
      <c r="O349" s="107"/>
      <c r="P349" s="22"/>
      <c r="Q349" s="23"/>
      <c r="R349" s="107"/>
      <c r="S349" s="107"/>
      <c r="T349" s="107"/>
      <c r="U349" s="107"/>
      <c r="V349" s="107"/>
    </row>
    <row r="350" spans="4:22" s="12" customFormat="1" x14ac:dyDescent="0.2">
      <c r="D350" s="107"/>
      <c r="E350" s="35"/>
      <c r="F350" s="36"/>
      <c r="G350" s="37"/>
      <c r="H350" s="38"/>
      <c r="I350" s="39"/>
      <c r="J350" s="39"/>
      <c r="K350" s="35"/>
      <c r="L350" s="103"/>
      <c r="M350" s="40"/>
      <c r="O350" s="107"/>
      <c r="P350" s="22"/>
      <c r="Q350" s="23"/>
      <c r="R350" s="107"/>
      <c r="S350" s="107"/>
      <c r="T350" s="107"/>
      <c r="U350" s="107"/>
      <c r="V350" s="107"/>
    </row>
    <row r="351" spans="4:22" s="12" customFormat="1" x14ac:dyDescent="0.2">
      <c r="D351" s="107"/>
      <c r="E351" s="35"/>
      <c r="F351" s="36"/>
      <c r="G351" s="37"/>
      <c r="H351" s="38"/>
      <c r="I351" s="39"/>
      <c r="J351" s="39"/>
      <c r="K351" s="35"/>
      <c r="L351" s="103"/>
      <c r="M351" s="40"/>
      <c r="O351" s="107"/>
      <c r="P351" s="22"/>
      <c r="Q351" s="23"/>
      <c r="R351" s="107"/>
      <c r="S351" s="107"/>
      <c r="T351" s="107"/>
      <c r="U351" s="107"/>
      <c r="V351" s="107"/>
    </row>
    <row r="352" spans="4:22" s="12" customFormat="1" x14ac:dyDescent="0.2">
      <c r="D352" s="107"/>
      <c r="E352" s="35"/>
      <c r="F352" s="36"/>
      <c r="G352" s="37"/>
      <c r="H352" s="38"/>
      <c r="I352" s="39"/>
      <c r="J352" s="39"/>
      <c r="K352" s="35"/>
      <c r="L352" s="103"/>
      <c r="M352" s="40"/>
      <c r="O352" s="107"/>
      <c r="P352" s="22"/>
      <c r="Q352" s="23"/>
      <c r="R352" s="107"/>
      <c r="S352" s="107"/>
      <c r="T352" s="107"/>
      <c r="U352" s="107"/>
      <c r="V352" s="107"/>
    </row>
    <row r="353" spans="4:22" s="12" customFormat="1" x14ac:dyDescent="0.2">
      <c r="D353" s="107"/>
      <c r="E353" s="35"/>
      <c r="F353" s="36"/>
      <c r="G353" s="37"/>
      <c r="H353" s="38"/>
      <c r="I353" s="39"/>
      <c r="J353" s="39"/>
      <c r="K353" s="35"/>
      <c r="L353" s="103"/>
      <c r="M353" s="40"/>
      <c r="O353" s="107"/>
      <c r="P353" s="22"/>
      <c r="Q353" s="23"/>
      <c r="R353" s="107"/>
      <c r="S353" s="107"/>
      <c r="T353" s="107"/>
      <c r="U353" s="107"/>
      <c r="V353" s="107"/>
    </row>
    <row r="354" spans="4:22" s="12" customFormat="1" x14ac:dyDescent="0.2">
      <c r="D354" s="107"/>
      <c r="E354" s="35"/>
      <c r="F354" s="36"/>
      <c r="G354" s="37"/>
      <c r="H354" s="38"/>
      <c r="I354" s="39"/>
      <c r="J354" s="39"/>
      <c r="K354" s="35"/>
      <c r="L354" s="103"/>
      <c r="M354" s="40"/>
      <c r="O354" s="107"/>
      <c r="P354" s="22"/>
      <c r="Q354" s="23"/>
      <c r="R354" s="107"/>
      <c r="S354" s="107"/>
      <c r="T354" s="107"/>
      <c r="U354" s="107"/>
      <c r="V354" s="107"/>
    </row>
    <row r="355" spans="4:22" s="12" customFormat="1" x14ac:dyDescent="0.2">
      <c r="D355" s="107"/>
      <c r="E355" s="35"/>
      <c r="F355" s="36"/>
      <c r="G355" s="37"/>
      <c r="H355" s="38"/>
      <c r="I355" s="39"/>
      <c r="J355" s="39"/>
      <c r="K355" s="35"/>
      <c r="L355" s="103"/>
      <c r="M355" s="40"/>
      <c r="O355" s="107"/>
      <c r="P355" s="22"/>
      <c r="Q355" s="23"/>
      <c r="R355" s="107"/>
      <c r="S355" s="107"/>
      <c r="T355" s="107"/>
      <c r="U355" s="107"/>
      <c r="V355" s="107"/>
    </row>
    <row r="356" spans="4:22" s="12" customFormat="1" x14ac:dyDescent="0.2">
      <c r="D356" s="107"/>
      <c r="E356" s="35"/>
      <c r="F356" s="36"/>
      <c r="G356" s="37"/>
      <c r="H356" s="38"/>
      <c r="I356" s="39"/>
      <c r="J356" s="39"/>
      <c r="K356" s="35"/>
      <c r="L356" s="103"/>
      <c r="M356" s="40"/>
      <c r="O356" s="107"/>
      <c r="P356" s="22"/>
      <c r="Q356" s="23"/>
      <c r="R356" s="107"/>
      <c r="S356" s="107"/>
      <c r="T356" s="107"/>
      <c r="U356" s="107"/>
      <c r="V356" s="107"/>
    </row>
    <row r="357" spans="4:22" s="12" customFormat="1" x14ac:dyDescent="0.2">
      <c r="D357" s="107"/>
      <c r="E357" s="35"/>
      <c r="F357" s="36"/>
      <c r="G357" s="37"/>
      <c r="H357" s="38"/>
      <c r="I357" s="39"/>
      <c r="J357" s="39"/>
      <c r="K357" s="35"/>
      <c r="L357" s="103"/>
      <c r="M357" s="40"/>
      <c r="O357" s="107"/>
      <c r="P357" s="22"/>
      <c r="Q357" s="23"/>
      <c r="R357" s="107"/>
      <c r="S357" s="107"/>
      <c r="T357" s="107"/>
      <c r="U357" s="107"/>
      <c r="V357" s="107"/>
    </row>
    <row r="358" spans="4:22" s="12" customFormat="1" x14ac:dyDescent="0.2">
      <c r="D358" s="107"/>
      <c r="E358" s="35"/>
      <c r="F358" s="36"/>
      <c r="G358" s="37"/>
      <c r="H358" s="38"/>
      <c r="I358" s="39"/>
      <c r="J358" s="39"/>
      <c r="K358" s="35"/>
      <c r="L358" s="103"/>
      <c r="M358" s="40"/>
      <c r="O358" s="107"/>
      <c r="P358" s="22"/>
      <c r="Q358" s="23"/>
      <c r="R358" s="107"/>
      <c r="S358" s="107"/>
      <c r="T358" s="107"/>
      <c r="U358" s="107"/>
      <c r="V358" s="107"/>
    </row>
    <row r="359" spans="4:22" s="12" customFormat="1" x14ac:dyDescent="0.2">
      <c r="D359" s="107"/>
      <c r="E359" s="35"/>
      <c r="F359" s="36"/>
      <c r="G359" s="37"/>
      <c r="H359" s="38"/>
      <c r="I359" s="39"/>
      <c r="J359" s="39"/>
      <c r="K359" s="35"/>
      <c r="L359" s="103"/>
      <c r="M359" s="40"/>
      <c r="O359" s="107"/>
      <c r="P359" s="22"/>
      <c r="Q359" s="23"/>
      <c r="R359" s="107"/>
      <c r="S359" s="107"/>
      <c r="T359" s="107"/>
      <c r="U359" s="107"/>
      <c r="V359" s="107"/>
    </row>
    <row r="360" spans="4:22" s="12" customFormat="1" x14ac:dyDescent="0.2">
      <c r="D360" s="107"/>
      <c r="E360" s="35"/>
      <c r="F360" s="36"/>
      <c r="G360" s="37"/>
      <c r="H360" s="38"/>
      <c r="I360" s="39"/>
      <c r="J360" s="39"/>
      <c r="K360" s="35"/>
      <c r="L360" s="103"/>
      <c r="M360" s="40"/>
      <c r="O360" s="107"/>
      <c r="P360" s="22"/>
      <c r="Q360" s="23"/>
      <c r="R360" s="107"/>
      <c r="S360" s="107"/>
      <c r="T360" s="107"/>
      <c r="U360" s="107"/>
      <c r="V360" s="107"/>
    </row>
    <row r="361" spans="4:22" s="12" customFormat="1" x14ac:dyDescent="0.2">
      <c r="D361" s="107"/>
      <c r="E361" s="35"/>
      <c r="F361" s="36"/>
      <c r="G361" s="37"/>
      <c r="H361" s="38"/>
      <c r="I361" s="39"/>
      <c r="J361" s="39"/>
      <c r="K361" s="35"/>
      <c r="L361" s="103"/>
      <c r="M361" s="40"/>
      <c r="O361" s="107"/>
      <c r="P361" s="22"/>
      <c r="Q361" s="23"/>
      <c r="R361" s="107"/>
      <c r="S361" s="107"/>
      <c r="T361" s="107"/>
      <c r="U361" s="107"/>
      <c r="V361" s="107"/>
    </row>
    <row r="362" spans="4:22" s="12" customFormat="1" x14ac:dyDescent="0.2">
      <c r="D362" s="107"/>
      <c r="E362" s="35"/>
      <c r="F362" s="36"/>
      <c r="G362" s="37"/>
      <c r="H362" s="38"/>
      <c r="I362" s="39"/>
      <c r="J362" s="39"/>
      <c r="K362" s="35"/>
      <c r="L362" s="103"/>
      <c r="M362" s="40"/>
      <c r="O362" s="107"/>
      <c r="P362" s="22"/>
      <c r="Q362" s="23"/>
      <c r="R362" s="107"/>
      <c r="S362" s="107"/>
      <c r="T362" s="107"/>
      <c r="U362" s="107"/>
      <c r="V362" s="107"/>
    </row>
    <row r="363" spans="4:22" s="12" customFormat="1" x14ac:dyDescent="0.2">
      <c r="D363" s="107"/>
      <c r="E363" s="35"/>
      <c r="F363" s="36"/>
      <c r="G363" s="37"/>
      <c r="H363" s="38"/>
      <c r="I363" s="39"/>
      <c r="J363" s="39"/>
      <c r="K363" s="35"/>
      <c r="L363" s="103"/>
      <c r="M363" s="40"/>
      <c r="O363" s="107"/>
      <c r="P363" s="22"/>
      <c r="Q363" s="23"/>
      <c r="R363" s="107"/>
      <c r="S363" s="107"/>
      <c r="T363" s="107"/>
      <c r="U363" s="107"/>
      <c r="V363" s="107"/>
    </row>
    <row r="364" spans="4:22" s="12" customFormat="1" x14ac:dyDescent="0.2">
      <c r="D364" s="107"/>
      <c r="E364" s="35"/>
      <c r="F364" s="36"/>
      <c r="G364" s="37"/>
      <c r="H364" s="38"/>
      <c r="I364" s="39"/>
      <c r="J364" s="39"/>
      <c r="K364" s="35"/>
      <c r="L364" s="103"/>
      <c r="M364" s="40"/>
      <c r="O364" s="107"/>
      <c r="P364" s="22"/>
      <c r="Q364" s="23"/>
      <c r="R364" s="107"/>
      <c r="S364" s="107"/>
      <c r="T364" s="107"/>
      <c r="U364" s="107"/>
      <c r="V364" s="107"/>
    </row>
    <row r="365" spans="4:22" s="12" customFormat="1" x14ac:dyDescent="0.2">
      <c r="D365" s="107"/>
      <c r="E365" s="35"/>
      <c r="F365" s="36"/>
      <c r="G365" s="37"/>
      <c r="H365" s="38"/>
      <c r="I365" s="39"/>
      <c r="J365" s="39"/>
      <c r="K365" s="35"/>
      <c r="L365" s="103"/>
      <c r="M365" s="40"/>
      <c r="O365" s="107"/>
      <c r="P365" s="22"/>
      <c r="Q365" s="23"/>
      <c r="R365" s="107"/>
      <c r="S365" s="107"/>
      <c r="T365" s="107"/>
      <c r="U365" s="107"/>
      <c r="V365" s="107"/>
    </row>
    <row r="366" spans="4:22" s="12" customFormat="1" x14ac:dyDescent="0.2">
      <c r="D366" s="107"/>
      <c r="E366" s="35"/>
      <c r="F366" s="36"/>
      <c r="G366" s="37"/>
      <c r="H366" s="38"/>
      <c r="I366" s="39"/>
      <c r="J366" s="39"/>
      <c r="K366" s="35"/>
      <c r="L366" s="103"/>
      <c r="M366" s="40"/>
      <c r="O366" s="107"/>
      <c r="P366" s="22"/>
      <c r="Q366" s="23"/>
      <c r="R366" s="107"/>
      <c r="S366" s="107"/>
      <c r="T366" s="107"/>
      <c r="U366" s="107"/>
      <c r="V366" s="107"/>
    </row>
    <row r="367" spans="4:22" s="12" customFormat="1" x14ac:dyDescent="0.2">
      <c r="D367" s="107"/>
      <c r="E367" s="35"/>
      <c r="F367" s="36"/>
      <c r="G367" s="37"/>
      <c r="H367" s="38"/>
      <c r="I367" s="39"/>
      <c r="J367" s="39"/>
      <c r="K367" s="35"/>
      <c r="L367" s="103"/>
      <c r="M367" s="40"/>
      <c r="O367" s="107"/>
      <c r="P367" s="22"/>
      <c r="Q367" s="23"/>
      <c r="R367" s="107"/>
      <c r="S367" s="107"/>
      <c r="T367" s="107"/>
      <c r="U367" s="107"/>
      <c r="V367" s="107"/>
    </row>
    <row r="368" spans="4:22" s="12" customFormat="1" x14ac:dyDescent="0.2">
      <c r="D368" s="107"/>
      <c r="E368" s="35"/>
      <c r="F368" s="36"/>
      <c r="G368" s="37"/>
      <c r="H368" s="38"/>
      <c r="I368" s="39"/>
      <c r="J368" s="39"/>
      <c r="K368" s="35"/>
      <c r="L368" s="103"/>
      <c r="M368" s="40"/>
      <c r="O368" s="107"/>
      <c r="P368" s="22"/>
      <c r="Q368" s="23"/>
      <c r="R368" s="107"/>
      <c r="S368" s="107"/>
      <c r="T368" s="107"/>
      <c r="U368" s="107"/>
      <c r="V368" s="107"/>
    </row>
    <row r="369" spans="4:22" s="12" customFormat="1" x14ac:dyDescent="0.2">
      <c r="D369" s="107"/>
      <c r="E369" s="35"/>
      <c r="F369" s="36"/>
      <c r="G369" s="37"/>
      <c r="H369" s="38"/>
      <c r="I369" s="39"/>
      <c r="J369" s="39"/>
      <c r="K369" s="35"/>
      <c r="L369" s="103"/>
      <c r="M369" s="40"/>
      <c r="O369" s="107"/>
      <c r="P369" s="22"/>
      <c r="Q369" s="23"/>
      <c r="R369" s="107"/>
      <c r="S369" s="107"/>
      <c r="T369" s="107"/>
      <c r="U369" s="107"/>
      <c r="V369" s="107"/>
    </row>
    <row r="370" spans="4:22" s="12" customFormat="1" x14ac:dyDescent="0.2">
      <c r="D370" s="107"/>
      <c r="E370" s="35"/>
      <c r="F370" s="36"/>
      <c r="G370" s="37"/>
      <c r="H370" s="38"/>
      <c r="I370" s="39"/>
      <c r="J370" s="39"/>
      <c r="K370" s="35"/>
      <c r="L370" s="103"/>
      <c r="M370" s="40"/>
      <c r="O370" s="107"/>
      <c r="P370" s="22"/>
      <c r="Q370" s="23"/>
      <c r="R370" s="107"/>
      <c r="S370" s="107"/>
      <c r="T370" s="107"/>
      <c r="U370" s="107"/>
      <c r="V370" s="107"/>
    </row>
    <row r="371" spans="4:22" s="12" customFormat="1" x14ac:dyDescent="0.2">
      <c r="D371" s="107"/>
      <c r="E371" s="35"/>
      <c r="F371" s="36"/>
      <c r="G371" s="37"/>
      <c r="H371" s="38"/>
      <c r="I371" s="39"/>
      <c r="J371" s="39"/>
      <c r="K371" s="35"/>
      <c r="L371" s="103"/>
      <c r="M371" s="40"/>
      <c r="O371" s="107"/>
      <c r="P371" s="22"/>
      <c r="Q371" s="23"/>
      <c r="R371" s="107"/>
      <c r="S371" s="107"/>
      <c r="T371" s="107"/>
      <c r="U371" s="107"/>
      <c r="V371" s="107"/>
    </row>
    <row r="372" spans="4:22" s="12" customFormat="1" x14ac:dyDescent="0.2">
      <c r="D372" s="107"/>
      <c r="E372" s="35"/>
      <c r="F372" s="36"/>
      <c r="G372" s="37"/>
      <c r="H372" s="38"/>
      <c r="I372" s="39"/>
      <c r="J372" s="39"/>
      <c r="K372" s="35"/>
      <c r="L372" s="103"/>
      <c r="M372" s="40"/>
      <c r="O372" s="107"/>
      <c r="P372" s="22"/>
      <c r="Q372" s="23"/>
      <c r="R372" s="107"/>
      <c r="S372" s="107"/>
      <c r="T372" s="107"/>
      <c r="U372" s="107"/>
      <c r="V372" s="107"/>
    </row>
    <row r="373" spans="4:22" s="12" customFormat="1" x14ac:dyDescent="0.2">
      <c r="D373" s="107"/>
      <c r="E373" s="35"/>
      <c r="F373" s="36"/>
      <c r="G373" s="37"/>
      <c r="H373" s="38"/>
      <c r="I373" s="39"/>
      <c r="J373" s="39"/>
      <c r="K373" s="35"/>
      <c r="L373" s="103"/>
      <c r="M373" s="40"/>
      <c r="O373" s="107"/>
      <c r="P373" s="22"/>
      <c r="Q373" s="23"/>
      <c r="R373" s="107"/>
      <c r="S373" s="107"/>
      <c r="T373" s="107"/>
      <c r="U373" s="107"/>
      <c r="V373" s="107"/>
    </row>
    <row r="374" spans="4:22" s="12" customFormat="1" x14ac:dyDescent="0.2">
      <c r="D374" s="107"/>
      <c r="E374" s="35"/>
      <c r="F374" s="36"/>
      <c r="G374" s="37"/>
      <c r="H374" s="38"/>
      <c r="I374" s="39"/>
      <c r="J374" s="39"/>
      <c r="K374" s="35"/>
      <c r="L374" s="103"/>
      <c r="M374" s="40"/>
      <c r="O374" s="107"/>
      <c r="P374" s="22"/>
      <c r="Q374" s="23"/>
      <c r="R374" s="107"/>
      <c r="S374" s="107"/>
      <c r="T374" s="107"/>
      <c r="U374" s="107"/>
      <c r="V374" s="107"/>
    </row>
    <row r="375" spans="4:22" s="12" customFormat="1" x14ac:dyDescent="0.2">
      <c r="D375" s="107"/>
      <c r="E375" s="35"/>
      <c r="F375" s="36"/>
      <c r="G375" s="37"/>
      <c r="H375" s="38"/>
      <c r="I375" s="39"/>
      <c r="J375" s="39"/>
      <c r="K375" s="35"/>
      <c r="L375" s="103"/>
      <c r="M375" s="40"/>
      <c r="O375" s="107"/>
      <c r="P375" s="22"/>
      <c r="Q375" s="23"/>
      <c r="R375" s="107"/>
      <c r="S375" s="107"/>
      <c r="T375" s="107"/>
      <c r="U375" s="107"/>
      <c r="V375" s="107"/>
    </row>
    <row r="376" spans="4:22" s="12" customFormat="1" x14ac:dyDescent="0.2">
      <c r="D376" s="107"/>
      <c r="E376" s="35"/>
      <c r="F376" s="36"/>
      <c r="G376" s="37"/>
      <c r="H376" s="38"/>
      <c r="I376" s="39"/>
      <c r="J376" s="39"/>
      <c r="K376" s="35"/>
      <c r="L376" s="103"/>
      <c r="M376" s="40"/>
      <c r="O376" s="107"/>
      <c r="P376" s="22"/>
      <c r="Q376" s="23"/>
      <c r="R376" s="107"/>
      <c r="S376" s="107"/>
      <c r="T376" s="107"/>
      <c r="U376" s="107"/>
      <c r="V376" s="107"/>
    </row>
    <row r="377" spans="4:22" s="12" customFormat="1" x14ac:dyDescent="0.2">
      <c r="D377" s="107"/>
      <c r="E377" s="35"/>
      <c r="F377" s="36"/>
      <c r="G377" s="37"/>
      <c r="H377" s="38"/>
      <c r="I377" s="39"/>
      <c r="J377" s="39"/>
      <c r="K377" s="35"/>
      <c r="L377" s="103"/>
      <c r="M377" s="40"/>
      <c r="O377" s="107"/>
      <c r="P377" s="22"/>
      <c r="Q377" s="23"/>
      <c r="R377" s="107"/>
      <c r="S377" s="107"/>
      <c r="T377" s="107"/>
      <c r="U377" s="107"/>
      <c r="V377" s="107"/>
    </row>
    <row r="378" spans="4:22" s="12" customFormat="1" x14ac:dyDescent="0.2">
      <c r="D378" s="107"/>
      <c r="E378" s="35"/>
      <c r="F378" s="36"/>
      <c r="G378" s="37"/>
      <c r="H378" s="38"/>
      <c r="I378" s="39"/>
      <c r="J378" s="39"/>
      <c r="K378" s="35"/>
      <c r="L378" s="103"/>
      <c r="M378" s="40"/>
      <c r="O378" s="107"/>
      <c r="P378" s="22"/>
      <c r="Q378" s="23"/>
      <c r="R378" s="107"/>
      <c r="S378" s="107"/>
      <c r="T378" s="107"/>
      <c r="U378" s="107"/>
      <c r="V378" s="107"/>
    </row>
    <row r="379" spans="4:22" s="12" customFormat="1" x14ac:dyDescent="0.2">
      <c r="D379" s="107"/>
      <c r="E379" s="35"/>
      <c r="F379" s="36"/>
      <c r="G379" s="37"/>
      <c r="H379" s="38"/>
      <c r="I379" s="39"/>
      <c r="J379" s="39"/>
      <c r="K379" s="35"/>
      <c r="L379" s="103"/>
      <c r="M379" s="40"/>
      <c r="O379" s="107"/>
      <c r="P379" s="22"/>
      <c r="Q379" s="23"/>
      <c r="R379" s="107"/>
      <c r="S379" s="107"/>
      <c r="T379" s="107"/>
      <c r="U379" s="107"/>
      <c r="V379" s="107"/>
    </row>
    <row r="380" spans="4:22" s="12" customFormat="1" x14ac:dyDescent="0.2">
      <c r="D380" s="107"/>
      <c r="E380" s="35"/>
      <c r="F380" s="36"/>
      <c r="G380" s="37"/>
      <c r="H380" s="38"/>
      <c r="I380" s="39"/>
      <c r="J380" s="39"/>
      <c r="K380" s="35"/>
      <c r="L380" s="103"/>
      <c r="M380" s="40"/>
      <c r="O380" s="107"/>
      <c r="P380" s="22"/>
      <c r="Q380" s="23"/>
      <c r="R380" s="107"/>
      <c r="S380" s="107"/>
      <c r="T380" s="107"/>
      <c r="U380" s="107"/>
      <c r="V380" s="107"/>
    </row>
    <row r="381" spans="4:22" s="12" customFormat="1" x14ac:dyDescent="0.2">
      <c r="D381" s="107"/>
      <c r="E381" s="35"/>
      <c r="F381" s="36"/>
      <c r="G381" s="37"/>
      <c r="H381" s="38"/>
      <c r="I381" s="39"/>
      <c r="J381" s="39"/>
      <c r="K381" s="35"/>
      <c r="L381" s="103"/>
      <c r="M381" s="40"/>
      <c r="O381" s="107"/>
      <c r="P381" s="22"/>
      <c r="Q381" s="23"/>
      <c r="R381" s="107"/>
      <c r="S381" s="107"/>
      <c r="T381" s="107"/>
      <c r="U381" s="107"/>
      <c r="V381" s="107"/>
    </row>
    <row r="382" spans="4:22" s="12" customFormat="1" x14ac:dyDescent="0.2">
      <c r="D382" s="107"/>
      <c r="E382" s="35"/>
      <c r="F382" s="36"/>
      <c r="G382" s="37"/>
      <c r="H382" s="38"/>
      <c r="I382" s="39"/>
      <c r="J382" s="39"/>
      <c r="K382" s="35"/>
      <c r="L382" s="103"/>
      <c r="M382" s="40"/>
      <c r="O382" s="107"/>
      <c r="P382" s="22"/>
      <c r="Q382" s="23"/>
      <c r="R382" s="107"/>
      <c r="S382" s="107"/>
      <c r="T382" s="107"/>
      <c r="U382" s="107"/>
      <c r="V382" s="107"/>
    </row>
    <row r="383" spans="4:22" s="12" customFormat="1" x14ac:dyDescent="0.2">
      <c r="D383" s="107"/>
      <c r="E383" s="35"/>
      <c r="F383" s="36"/>
      <c r="G383" s="37"/>
      <c r="H383" s="38"/>
      <c r="I383" s="39"/>
      <c r="J383" s="39"/>
      <c r="K383" s="35"/>
      <c r="L383" s="103"/>
      <c r="M383" s="40"/>
      <c r="O383" s="107"/>
      <c r="P383" s="22"/>
      <c r="Q383" s="23"/>
      <c r="R383" s="107"/>
      <c r="S383" s="107"/>
      <c r="T383" s="107"/>
      <c r="U383" s="107"/>
      <c r="V383" s="107"/>
    </row>
    <row r="384" spans="4:22" s="12" customFormat="1" x14ac:dyDescent="0.2">
      <c r="D384" s="107"/>
      <c r="E384" s="35"/>
      <c r="F384" s="36"/>
      <c r="G384" s="37"/>
      <c r="H384" s="38"/>
      <c r="I384" s="39"/>
      <c r="J384" s="39"/>
      <c r="K384" s="35"/>
      <c r="L384" s="103"/>
      <c r="M384" s="40"/>
      <c r="O384" s="107"/>
      <c r="P384" s="22"/>
      <c r="Q384" s="23"/>
      <c r="R384" s="107"/>
      <c r="S384" s="107"/>
      <c r="T384" s="107"/>
      <c r="U384" s="107"/>
      <c r="V384" s="107"/>
    </row>
    <row r="385" spans="4:22" s="12" customFormat="1" x14ac:dyDescent="0.2">
      <c r="D385" s="107"/>
      <c r="E385" s="35"/>
      <c r="F385" s="36"/>
      <c r="G385" s="37"/>
      <c r="H385" s="38"/>
      <c r="I385" s="39"/>
      <c r="J385" s="39"/>
      <c r="K385" s="35"/>
      <c r="L385" s="103"/>
      <c r="M385" s="40"/>
      <c r="O385" s="107"/>
      <c r="P385" s="22"/>
      <c r="Q385" s="23"/>
      <c r="R385" s="107"/>
      <c r="S385" s="107"/>
      <c r="T385" s="107"/>
      <c r="U385" s="107"/>
      <c r="V385" s="107"/>
    </row>
    <row r="386" spans="4:22" s="12" customFormat="1" x14ac:dyDescent="0.2">
      <c r="D386" s="107"/>
      <c r="E386" s="35"/>
      <c r="F386" s="36"/>
      <c r="G386" s="37"/>
      <c r="H386" s="38"/>
      <c r="I386" s="39"/>
      <c r="J386" s="39"/>
      <c r="K386" s="35"/>
      <c r="L386" s="103"/>
      <c r="M386" s="40"/>
      <c r="O386" s="107"/>
      <c r="P386" s="22"/>
      <c r="Q386" s="23"/>
      <c r="R386" s="107"/>
      <c r="S386" s="107"/>
      <c r="T386" s="107"/>
      <c r="U386" s="107"/>
      <c r="V386" s="107"/>
    </row>
    <row r="387" spans="4:22" s="12" customFormat="1" x14ac:dyDescent="0.2">
      <c r="D387" s="107"/>
      <c r="E387" s="35"/>
      <c r="F387" s="36"/>
      <c r="G387" s="37"/>
      <c r="H387" s="38"/>
      <c r="I387" s="39"/>
      <c r="J387" s="39"/>
      <c r="K387" s="35"/>
      <c r="L387" s="103"/>
      <c r="M387" s="40"/>
      <c r="O387" s="107"/>
      <c r="P387" s="22"/>
      <c r="Q387" s="23"/>
      <c r="R387" s="107"/>
      <c r="S387" s="107"/>
      <c r="T387" s="107"/>
      <c r="U387" s="107"/>
      <c r="V387" s="107"/>
    </row>
    <row r="388" spans="4:22" s="12" customFormat="1" x14ac:dyDescent="0.2">
      <c r="D388" s="107"/>
      <c r="E388" s="35"/>
      <c r="F388" s="36"/>
      <c r="G388" s="37"/>
      <c r="H388" s="38"/>
      <c r="I388" s="39"/>
      <c r="J388" s="39"/>
      <c r="K388" s="35"/>
      <c r="L388" s="103"/>
      <c r="M388" s="40"/>
      <c r="O388" s="107"/>
      <c r="P388" s="22"/>
      <c r="Q388" s="23"/>
      <c r="R388" s="107"/>
      <c r="S388" s="107"/>
      <c r="T388" s="107"/>
      <c r="U388" s="107"/>
      <c r="V388" s="107"/>
    </row>
    <row r="389" spans="4:22" s="12" customFormat="1" x14ac:dyDescent="0.2">
      <c r="D389" s="107"/>
      <c r="E389" s="35"/>
      <c r="F389" s="36"/>
      <c r="G389" s="37"/>
      <c r="H389" s="38"/>
      <c r="I389" s="39"/>
      <c r="J389" s="39"/>
      <c r="K389" s="35"/>
      <c r="L389" s="103"/>
      <c r="M389" s="40"/>
      <c r="O389" s="107"/>
      <c r="P389" s="22"/>
      <c r="Q389" s="23"/>
      <c r="R389" s="107"/>
      <c r="S389" s="107"/>
      <c r="T389" s="107"/>
      <c r="U389" s="107"/>
      <c r="V389" s="107"/>
    </row>
    <row r="390" spans="4:22" s="12" customFormat="1" x14ac:dyDescent="0.2">
      <c r="D390" s="107"/>
      <c r="E390" s="35"/>
      <c r="F390" s="36"/>
      <c r="G390" s="37"/>
      <c r="H390" s="38"/>
      <c r="I390" s="39"/>
      <c r="J390" s="39"/>
      <c r="K390" s="35"/>
      <c r="L390" s="103"/>
      <c r="M390" s="40"/>
      <c r="O390" s="107"/>
      <c r="P390" s="22"/>
      <c r="Q390" s="23"/>
      <c r="R390" s="107"/>
      <c r="S390" s="107"/>
      <c r="T390" s="107"/>
      <c r="U390" s="107"/>
      <c r="V390" s="107"/>
    </row>
    <row r="391" spans="4:22" s="12" customFormat="1" x14ac:dyDescent="0.2">
      <c r="D391" s="107"/>
      <c r="E391" s="35"/>
      <c r="F391" s="36"/>
      <c r="G391" s="37"/>
      <c r="H391" s="38"/>
      <c r="I391" s="39"/>
      <c r="J391" s="39"/>
      <c r="K391" s="35"/>
      <c r="L391" s="103"/>
      <c r="M391" s="40"/>
      <c r="O391" s="107"/>
      <c r="P391" s="22"/>
      <c r="Q391" s="23"/>
      <c r="R391" s="107"/>
      <c r="S391" s="107"/>
      <c r="T391" s="107"/>
      <c r="U391" s="107"/>
      <c r="V391" s="107"/>
    </row>
    <row r="392" spans="4:22" s="12" customFormat="1" x14ac:dyDescent="0.2">
      <c r="D392" s="107"/>
      <c r="E392" s="35"/>
      <c r="F392" s="36"/>
      <c r="G392" s="37"/>
      <c r="H392" s="38"/>
      <c r="I392" s="39"/>
      <c r="J392" s="39"/>
      <c r="K392" s="35"/>
      <c r="L392" s="103"/>
      <c r="M392" s="40"/>
      <c r="O392" s="107"/>
      <c r="P392" s="22"/>
      <c r="Q392" s="23"/>
      <c r="R392" s="107"/>
      <c r="S392" s="107"/>
      <c r="T392" s="107"/>
      <c r="U392" s="107"/>
      <c r="V392" s="107"/>
    </row>
    <row r="393" spans="4:22" s="12" customFormat="1" x14ac:dyDescent="0.2">
      <c r="D393" s="107"/>
      <c r="E393" s="35"/>
      <c r="F393" s="36"/>
      <c r="G393" s="37"/>
      <c r="H393" s="38"/>
      <c r="I393" s="39"/>
      <c r="J393" s="39"/>
      <c r="K393" s="35"/>
      <c r="L393" s="103"/>
      <c r="M393" s="40"/>
      <c r="O393" s="107"/>
      <c r="P393" s="22"/>
      <c r="Q393" s="23"/>
      <c r="R393" s="107"/>
      <c r="S393" s="107"/>
      <c r="T393" s="107"/>
      <c r="U393" s="107"/>
      <c r="V393" s="107"/>
    </row>
    <row r="394" spans="4:22" s="12" customFormat="1" x14ac:dyDescent="0.2">
      <c r="D394" s="107"/>
      <c r="E394" s="35"/>
      <c r="F394" s="36"/>
      <c r="G394" s="37"/>
      <c r="H394" s="38"/>
      <c r="I394" s="39"/>
      <c r="J394" s="39"/>
      <c r="K394" s="35"/>
      <c r="L394" s="103"/>
      <c r="M394" s="40"/>
      <c r="O394" s="107"/>
      <c r="P394" s="22"/>
      <c r="Q394" s="23"/>
      <c r="R394" s="107"/>
      <c r="S394" s="107"/>
      <c r="T394" s="107"/>
      <c r="U394" s="107"/>
      <c r="V394" s="107"/>
    </row>
    <row r="395" spans="4:22" s="12" customFormat="1" x14ac:dyDescent="0.2">
      <c r="D395" s="107"/>
      <c r="E395" s="35"/>
      <c r="F395" s="36"/>
      <c r="G395" s="37"/>
      <c r="H395" s="38"/>
      <c r="I395" s="39"/>
      <c r="J395" s="39"/>
      <c r="K395" s="35"/>
      <c r="L395" s="103"/>
      <c r="M395" s="40"/>
      <c r="O395" s="107"/>
      <c r="P395" s="22"/>
      <c r="Q395" s="23"/>
      <c r="R395" s="107"/>
      <c r="S395" s="107"/>
      <c r="T395" s="107"/>
      <c r="U395" s="107"/>
      <c r="V395" s="107"/>
    </row>
    <row r="396" spans="4:22" s="12" customFormat="1" x14ac:dyDescent="0.2">
      <c r="D396" s="107"/>
      <c r="E396" s="35"/>
      <c r="F396" s="36"/>
      <c r="G396" s="37"/>
      <c r="H396" s="38"/>
      <c r="I396" s="39"/>
      <c r="J396" s="39"/>
      <c r="K396" s="35"/>
      <c r="L396" s="103"/>
      <c r="M396" s="40"/>
      <c r="O396" s="107"/>
      <c r="P396" s="22"/>
      <c r="Q396" s="23"/>
      <c r="R396" s="107"/>
      <c r="S396" s="107"/>
      <c r="T396" s="107"/>
      <c r="U396" s="107"/>
      <c r="V396" s="107"/>
    </row>
    <row r="397" spans="4:22" s="12" customFormat="1" x14ac:dyDescent="0.2">
      <c r="D397" s="107"/>
      <c r="E397" s="35"/>
      <c r="F397" s="36"/>
      <c r="G397" s="37"/>
      <c r="H397" s="38"/>
      <c r="I397" s="39"/>
      <c r="J397" s="39"/>
      <c r="K397" s="35"/>
      <c r="L397" s="103"/>
      <c r="M397" s="40"/>
      <c r="O397" s="107"/>
      <c r="P397" s="22"/>
      <c r="Q397" s="23"/>
      <c r="R397" s="107"/>
      <c r="S397" s="107"/>
      <c r="T397" s="107"/>
      <c r="U397" s="107"/>
      <c r="V397" s="107"/>
    </row>
    <row r="398" spans="4:22" s="12" customFormat="1" x14ac:dyDescent="0.2">
      <c r="D398" s="107"/>
      <c r="E398" s="35"/>
      <c r="F398" s="36"/>
      <c r="G398" s="37"/>
      <c r="H398" s="38"/>
      <c r="I398" s="39"/>
      <c r="J398" s="39"/>
      <c r="K398" s="35"/>
      <c r="L398" s="103"/>
      <c r="M398" s="40"/>
      <c r="O398" s="107"/>
      <c r="P398" s="22"/>
      <c r="Q398" s="23"/>
      <c r="R398" s="107"/>
      <c r="S398" s="107"/>
      <c r="T398" s="107"/>
      <c r="U398" s="107"/>
      <c r="V398" s="107"/>
    </row>
    <row r="399" spans="4:22" s="12" customFormat="1" x14ac:dyDescent="0.2">
      <c r="D399" s="107"/>
      <c r="E399" s="35"/>
      <c r="F399" s="36"/>
      <c r="G399" s="37"/>
      <c r="H399" s="38"/>
      <c r="I399" s="39"/>
      <c r="J399" s="39"/>
      <c r="K399" s="35"/>
      <c r="L399" s="103"/>
      <c r="M399" s="40"/>
      <c r="O399" s="107"/>
      <c r="P399" s="22"/>
      <c r="Q399" s="23"/>
      <c r="R399" s="107"/>
      <c r="S399" s="107"/>
      <c r="T399" s="107"/>
      <c r="U399" s="107"/>
      <c r="V399" s="107"/>
    </row>
    <row r="400" spans="4:22" s="12" customFormat="1" x14ac:dyDescent="0.2">
      <c r="D400" s="107"/>
      <c r="E400" s="35"/>
      <c r="F400" s="36"/>
      <c r="G400" s="37"/>
      <c r="H400" s="38"/>
      <c r="I400" s="39"/>
      <c r="J400" s="39"/>
      <c r="K400" s="35"/>
      <c r="L400" s="103"/>
      <c r="M400" s="40"/>
      <c r="O400" s="107"/>
      <c r="P400" s="22"/>
      <c r="Q400" s="23"/>
      <c r="R400" s="107"/>
      <c r="S400" s="107"/>
      <c r="T400" s="107"/>
      <c r="U400" s="107"/>
      <c r="V400" s="107"/>
    </row>
    <row r="401" spans="4:22" s="12" customFormat="1" x14ac:dyDescent="0.2">
      <c r="D401" s="107"/>
      <c r="E401" s="35"/>
      <c r="F401" s="36"/>
      <c r="G401" s="37"/>
      <c r="H401" s="38"/>
      <c r="I401" s="39"/>
      <c r="J401" s="39"/>
      <c r="K401" s="35"/>
      <c r="L401" s="103"/>
      <c r="M401" s="40"/>
      <c r="O401" s="107"/>
      <c r="P401" s="22"/>
      <c r="Q401" s="23"/>
      <c r="R401" s="107"/>
      <c r="S401" s="107"/>
      <c r="T401" s="107"/>
      <c r="U401" s="107"/>
      <c r="V401" s="107"/>
    </row>
    <row r="402" spans="4:22" s="12" customFormat="1" x14ac:dyDescent="0.2">
      <c r="D402" s="107"/>
      <c r="E402" s="35"/>
      <c r="F402" s="36"/>
      <c r="G402" s="37"/>
      <c r="H402" s="38"/>
      <c r="I402" s="39"/>
      <c r="J402" s="39"/>
      <c r="K402" s="35"/>
      <c r="L402" s="103"/>
      <c r="M402" s="40"/>
      <c r="O402" s="107"/>
      <c r="P402" s="22"/>
      <c r="Q402" s="23"/>
      <c r="R402" s="107"/>
      <c r="S402" s="107"/>
      <c r="T402" s="107"/>
      <c r="U402" s="107"/>
      <c r="V402" s="107"/>
    </row>
    <row r="403" spans="4:22" s="12" customFormat="1" x14ac:dyDescent="0.2">
      <c r="D403" s="107"/>
      <c r="E403" s="35"/>
      <c r="F403" s="36"/>
      <c r="G403" s="37"/>
      <c r="H403" s="38"/>
      <c r="I403" s="39"/>
      <c r="J403" s="39"/>
      <c r="K403" s="35"/>
      <c r="L403" s="103"/>
      <c r="M403" s="40"/>
      <c r="O403" s="107"/>
      <c r="P403" s="22"/>
      <c r="Q403" s="23"/>
      <c r="R403" s="107"/>
      <c r="S403" s="107"/>
      <c r="T403" s="107"/>
      <c r="U403" s="107"/>
      <c r="V403" s="107"/>
    </row>
    <row r="404" spans="4:22" s="12" customFormat="1" x14ac:dyDescent="0.2">
      <c r="D404" s="107"/>
      <c r="E404" s="35"/>
      <c r="F404" s="36"/>
      <c r="G404" s="37"/>
      <c r="H404" s="38"/>
      <c r="I404" s="39"/>
      <c r="J404" s="39"/>
      <c r="K404" s="35"/>
      <c r="L404" s="103"/>
      <c r="M404" s="40"/>
      <c r="O404" s="107"/>
      <c r="P404" s="22"/>
      <c r="Q404" s="23"/>
      <c r="R404" s="107"/>
      <c r="S404" s="107"/>
      <c r="T404" s="107"/>
      <c r="U404" s="107"/>
      <c r="V404" s="107"/>
    </row>
    <row r="405" spans="4:22" s="12" customFormat="1" x14ac:dyDescent="0.2">
      <c r="D405" s="107"/>
      <c r="E405" s="35"/>
      <c r="F405" s="36"/>
      <c r="G405" s="37"/>
      <c r="H405" s="38"/>
      <c r="I405" s="39"/>
      <c r="J405" s="39"/>
      <c r="K405" s="35"/>
      <c r="L405" s="103"/>
      <c r="M405" s="40"/>
      <c r="O405" s="107"/>
      <c r="P405" s="22"/>
      <c r="Q405" s="23"/>
      <c r="R405" s="107"/>
      <c r="S405" s="107"/>
      <c r="T405" s="107"/>
      <c r="U405" s="107"/>
      <c r="V405" s="107"/>
    </row>
    <row r="406" spans="4:22" s="12" customFormat="1" x14ac:dyDescent="0.2">
      <c r="D406" s="107"/>
      <c r="E406" s="35"/>
      <c r="F406" s="36"/>
      <c r="G406" s="37"/>
      <c r="H406" s="38"/>
      <c r="I406" s="39"/>
      <c r="J406" s="39"/>
      <c r="K406" s="35"/>
      <c r="L406" s="103"/>
      <c r="M406" s="40"/>
      <c r="O406" s="107"/>
      <c r="P406" s="22"/>
      <c r="Q406" s="23"/>
      <c r="R406" s="107"/>
      <c r="S406" s="107"/>
      <c r="T406" s="107"/>
      <c r="U406" s="107"/>
      <c r="V406" s="107"/>
    </row>
    <row r="407" spans="4:22" s="12" customFormat="1" x14ac:dyDescent="0.2">
      <c r="D407" s="107"/>
      <c r="E407" s="35"/>
      <c r="F407" s="36"/>
      <c r="G407" s="37"/>
      <c r="H407" s="38"/>
      <c r="I407" s="39"/>
      <c r="J407" s="39"/>
      <c r="K407" s="35"/>
      <c r="L407" s="103"/>
      <c r="M407" s="40"/>
      <c r="O407" s="107"/>
      <c r="P407" s="22"/>
      <c r="Q407" s="23"/>
      <c r="R407" s="107"/>
      <c r="S407" s="107"/>
      <c r="T407" s="107"/>
      <c r="U407" s="107"/>
      <c r="V407" s="107"/>
    </row>
    <row r="408" spans="4:22" s="12" customFormat="1" x14ac:dyDescent="0.2">
      <c r="D408" s="107"/>
      <c r="E408" s="35"/>
      <c r="F408" s="36"/>
      <c r="G408" s="37"/>
      <c r="H408" s="38"/>
      <c r="I408" s="39"/>
      <c r="J408" s="39"/>
      <c r="K408" s="35"/>
      <c r="L408" s="103"/>
      <c r="M408" s="40"/>
      <c r="O408" s="107"/>
      <c r="P408" s="22"/>
      <c r="Q408" s="23"/>
      <c r="R408" s="107"/>
      <c r="S408" s="107"/>
      <c r="T408" s="107"/>
      <c r="U408" s="107"/>
      <c r="V408" s="107"/>
    </row>
    <row r="409" spans="4:22" s="12" customFormat="1" x14ac:dyDescent="0.2">
      <c r="D409" s="107"/>
      <c r="E409" s="35"/>
      <c r="F409" s="36"/>
      <c r="G409" s="37"/>
      <c r="H409" s="38"/>
      <c r="I409" s="39"/>
      <c r="J409" s="39"/>
      <c r="K409" s="35"/>
      <c r="L409" s="103"/>
      <c r="M409" s="40"/>
      <c r="O409" s="107"/>
      <c r="P409" s="22"/>
      <c r="Q409" s="23"/>
      <c r="R409" s="107"/>
      <c r="S409" s="107"/>
      <c r="T409" s="107"/>
      <c r="U409" s="107"/>
      <c r="V409" s="107"/>
    </row>
    <row r="410" spans="4:22" s="12" customFormat="1" x14ac:dyDescent="0.2">
      <c r="D410" s="107"/>
      <c r="E410" s="35"/>
      <c r="F410" s="36"/>
      <c r="G410" s="37"/>
      <c r="H410" s="38"/>
      <c r="I410" s="39"/>
      <c r="J410" s="39"/>
      <c r="K410" s="35"/>
      <c r="L410" s="103"/>
      <c r="M410" s="40"/>
      <c r="O410" s="107"/>
      <c r="P410" s="22"/>
      <c r="Q410" s="23"/>
      <c r="R410" s="107"/>
      <c r="S410" s="107"/>
      <c r="T410" s="107"/>
      <c r="U410" s="107"/>
      <c r="V410" s="107"/>
    </row>
    <row r="411" spans="4:22" s="12" customFormat="1" x14ac:dyDescent="0.2">
      <c r="D411" s="107"/>
      <c r="E411" s="35"/>
      <c r="F411" s="36"/>
      <c r="G411" s="37"/>
      <c r="H411" s="38"/>
      <c r="I411" s="39"/>
      <c r="J411" s="39"/>
      <c r="K411" s="35"/>
      <c r="L411" s="103"/>
      <c r="M411" s="40"/>
      <c r="O411" s="107"/>
      <c r="P411" s="22"/>
      <c r="Q411" s="23"/>
      <c r="R411" s="107"/>
      <c r="S411" s="107"/>
      <c r="T411" s="107"/>
      <c r="U411" s="107"/>
      <c r="V411" s="107"/>
    </row>
    <row r="412" spans="4:22" s="12" customFormat="1" x14ac:dyDescent="0.2">
      <c r="D412" s="107"/>
      <c r="E412" s="35"/>
      <c r="F412" s="36"/>
      <c r="G412" s="37"/>
      <c r="H412" s="38"/>
      <c r="I412" s="39"/>
      <c r="J412" s="39"/>
      <c r="K412" s="35"/>
      <c r="L412" s="103"/>
      <c r="M412" s="40"/>
      <c r="O412" s="107"/>
      <c r="P412" s="22"/>
      <c r="Q412" s="23"/>
      <c r="R412" s="107"/>
      <c r="S412" s="107"/>
      <c r="T412" s="107"/>
      <c r="U412" s="107"/>
      <c r="V412" s="107"/>
    </row>
    <row r="413" spans="4:22" s="12" customFormat="1" x14ac:dyDescent="0.2">
      <c r="D413" s="107"/>
      <c r="E413" s="35"/>
      <c r="F413" s="36"/>
      <c r="G413" s="37"/>
      <c r="H413" s="38"/>
      <c r="I413" s="39"/>
      <c r="J413" s="39"/>
      <c r="K413" s="35"/>
      <c r="L413" s="103"/>
      <c r="M413" s="40"/>
      <c r="O413" s="107"/>
      <c r="P413" s="22"/>
      <c r="Q413" s="23"/>
      <c r="R413" s="107"/>
      <c r="S413" s="107"/>
      <c r="T413" s="107"/>
      <c r="U413" s="107"/>
      <c r="V413" s="107"/>
    </row>
    <row r="414" spans="4:22" s="12" customFormat="1" x14ac:dyDescent="0.2">
      <c r="D414" s="107"/>
      <c r="E414" s="35"/>
      <c r="F414" s="36"/>
      <c r="G414" s="37"/>
      <c r="H414" s="38"/>
      <c r="I414" s="39"/>
      <c r="J414" s="39"/>
      <c r="K414" s="35"/>
      <c r="L414" s="103"/>
      <c r="M414" s="40"/>
      <c r="O414" s="107"/>
      <c r="P414" s="22"/>
      <c r="Q414" s="23"/>
      <c r="R414" s="107"/>
      <c r="S414" s="107"/>
      <c r="T414" s="107"/>
      <c r="U414" s="107"/>
      <c r="V414" s="107"/>
    </row>
    <row r="415" spans="4:22" s="12" customFormat="1" x14ac:dyDescent="0.2">
      <c r="D415" s="107"/>
      <c r="E415" s="35"/>
      <c r="F415" s="36"/>
      <c r="G415" s="37"/>
      <c r="H415" s="38"/>
      <c r="I415" s="39"/>
      <c r="J415" s="39"/>
      <c r="K415" s="35"/>
      <c r="L415" s="103"/>
      <c r="M415" s="40"/>
      <c r="O415" s="107"/>
      <c r="P415" s="22"/>
      <c r="Q415" s="23"/>
      <c r="R415" s="107"/>
      <c r="S415" s="107"/>
      <c r="T415" s="107"/>
      <c r="U415" s="107"/>
      <c r="V415" s="107"/>
    </row>
    <row r="416" spans="4:22" s="12" customFormat="1" x14ac:dyDescent="0.2">
      <c r="D416" s="107"/>
      <c r="E416" s="35"/>
      <c r="F416" s="36"/>
      <c r="G416" s="37"/>
      <c r="H416" s="38"/>
      <c r="I416" s="39"/>
      <c r="J416" s="39"/>
      <c r="K416" s="35"/>
      <c r="L416" s="103"/>
      <c r="M416" s="40"/>
      <c r="O416" s="107"/>
      <c r="P416" s="22"/>
      <c r="Q416" s="23"/>
      <c r="R416" s="107"/>
      <c r="S416" s="107"/>
      <c r="T416" s="107"/>
      <c r="U416" s="107"/>
      <c r="V416" s="107"/>
    </row>
    <row r="417" spans="4:22" s="12" customFormat="1" x14ac:dyDescent="0.2">
      <c r="D417" s="107"/>
      <c r="E417" s="35"/>
      <c r="F417" s="36"/>
      <c r="G417" s="37"/>
      <c r="H417" s="38"/>
      <c r="I417" s="39"/>
      <c r="J417" s="39"/>
      <c r="K417" s="35"/>
      <c r="L417" s="103"/>
      <c r="M417" s="40"/>
      <c r="O417" s="107"/>
      <c r="P417" s="22"/>
      <c r="Q417" s="23"/>
      <c r="R417" s="107"/>
      <c r="S417" s="107"/>
      <c r="T417" s="107"/>
      <c r="U417" s="107"/>
      <c r="V417" s="107"/>
    </row>
    <row r="418" spans="4:22" s="12" customFormat="1" x14ac:dyDescent="0.2">
      <c r="D418" s="107"/>
      <c r="E418" s="35"/>
      <c r="F418" s="36"/>
      <c r="G418" s="37"/>
      <c r="H418" s="38"/>
      <c r="I418" s="39"/>
      <c r="J418" s="39"/>
      <c r="K418" s="35"/>
      <c r="L418" s="103"/>
      <c r="M418" s="40"/>
      <c r="O418" s="107"/>
      <c r="P418" s="22"/>
      <c r="Q418" s="23"/>
      <c r="R418" s="107"/>
      <c r="S418" s="107"/>
      <c r="T418" s="107"/>
      <c r="U418" s="107"/>
      <c r="V418" s="107"/>
    </row>
    <row r="419" spans="4:22" s="12" customFormat="1" x14ac:dyDescent="0.2">
      <c r="D419" s="107"/>
      <c r="E419" s="35"/>
      <c r="F419" s="36"/>
      <c r="G419" s="37"/>
      <c r="H419" s="38"/>
      <c r="I419" s="39"/>
      <c r="J419" s="39"/>
      <c r="K419" s="35"/>
      <c r="L419" s="103"/>
      <c r="M419" s="40"/>
      <c r="O419" s="107"/>
      <c r="P419" s="22"/>
      <c r="Q419" s="23"/>
      <c r="R419" s="107"/>
      <c r="S419" s="107"/>
      <c r="T419" s="107"/>
      <c r="U419" s="107"/>
      <c r="V419" s="107"/>
    </row>
    <row r="420" spans="4:22" s="12" customFormat="1" x14ac:dyDescent="0.2">
      <c r="D420" s="107"/>
      <c r="E420" s="35"/>
      <c r="F420" s="36"/>
      <c r="G420" s="37"/>
      <c r="H420" s="38"/>
      <c r="I420" s="39"/>
      <c r="J420" s="39"/>
      <c r="K420" s="35"/>
      <c r="L420" s="103"/>
      <c r="M420" s="40"/>
      <c r="O420" s="107"/>
      <c r="P420" s="22"/>
      <c r="Q420" s="23"/>
      <c r="R420" s="107"/>
      <c r="S420" s="107"/>
      <c r="T420" s="107"/>
      <c r="U420" s="107"/>
      <c r="V420" s="107"/>
    </row>
    <row r="421" spans="4:22" s="12" customFormat="1" x14ac:dyDescent="0.2">
      <c r="D421" s="107"/>
      <c r="E421" s="35"/>
      <c r="F421" s="36"/>
      <c r="G421" s="37"/>
      <c r="H421" s="38"/>
      <c r="I421" s="39"/>
      <c r="J421" s="39"/>
      <c r="K421" s="35"/>
      <c r="L421" s="103"/>
      <c r="M421" s="40"/>
      <c r="O421" s="107"/>
      <c r="P421" s="22"/>
      <c r="Q421" s="23"/>
      <c r="R421" s="107"/>
      <c r="S421" s="107"/>
      <c r="T421" s="107"/>
      <c r="U421" s="107"/>
      <c r="V421" s="107"/>
    </row>
    <row r="422" spans="4:22" s="12" customFormat="1" x14ac:dyDescent="0.2">
      <c r="D422" s="107"/>
      <c r="E422" s="35"/>
      <c r="F422" s="36"/>
      <c r="G422" s="37"/>
      <c r="H422" s="38"/>
      <c r="I422" s="39"/>
      <c r="J422" s="39"/>
      <c r="K422" s="35"/>
      <c r="L422" s="103"/>
      <c r="M422" s="40"/>
      <c r="O422" s="107"/>
      <c r="P422" s="22"/>
      <c r="Q422" s="23"/>
      <c r="R422" s="107"/>
      <c r="S422" s="107"/>
      <c r="T422" s="107"/>
      <c r="U422" s="107"/>
      <c r="V422" s="107"/>
    </row>
    <row r="423" spans="4:22" s="12" customFormat="1" x14ac:dyDescent="0.2">
      <c r="D423" s="107"/>
      <c r="E423" s="35"/>
      <c r="F423" s="36"/>
      <c r="G423" s="37"/>
      <c r="H423" s="38"/>
      <c r="I423" s="39"/>
      <c r="J423" s="39"/>
      <c r="K423" s="35"/>
      <c r="L423" s="103"/>
      <c r="M423" s="40"/>
      <c r="O423" s="107"/>
      <c r="P423" s="22"/>
      <c r="Q423" s="23"/>
      <c r="R423" s="107"/>
      <c r="S423" s="107"/>
      <c r="T423" s="107"/>
      <c r="U423" s="107"/>
      <c r="V423" s="107"/>
    </row>
    <row r="424" spans="4:22" s="12" customFormat="1" x14ac:dyDescent="0.2">
      <c r="D424" s="107"/>
      <c r="E424" s="35"/>
      <c r="F424" s="36"/>
      <c r="G424" s="37"/>
      <c r="H424" s="38"/>
      <c r="I424" s="39"/>
      <c r="J424" s="39"/>
      <c r="K424" s="35"/>
      <c r="L424" s="103"/>
      <c r="M424" s="40"/>
      <c r="O424" s="107"/>
      <c r="P424" s="22"/>
      <c r="Q424" s="23"/>
      <c r="R424" s="107"/>
      <c r="S424" s="107"/>
      <c r="T424" s="107"/>
      <c r="U424" s="107"/>
      <c r="V424" s="107"/>
    </row>
    <row r="425" spans="4:22" s="12" customFormat="1" x14ac:dyDescent="0.2">
      <c r="D425" s="107"/>
      <c r="E425" s="35"/>
      <c r="F425" s="36"/>
      <c r="G425" s="37"/>
      <c r="H425" s="38"/>
      <c r="I425" s="39"/>
      <c r="J425" s="39"/>
      <c r="K425" s="35"/>
      <c r="L425" s="103"/>
      <c r="M425" s="40"/>
      <c r="O425" s="107"/>
      <c r="P425" s="22"/>
      <c r="Q425" s="23"/>
      <c r="R425" s="107"/>
      <c r="S425" s="107"/>
      <c r="T425" s="107"/>
      <c r="U425" s="107"/>
      <c r="V425" s="107"/>
    </row>
    <row r="426" spans="4:22" s="12" customFormat="1" x14ac:dyDescent="0.2">
      <c r="D426" s="107"/>
      <c r="E426" s="35"/>
      <c r="F426" s="36"/>
      <c r="G426" s="37"/>
      <c r="H426" s="38"/>
      <c r="I426" s="39"/>
      <c r="J426" s="39"/>
      <c r="K426" s="35"/>
      <c r="L426" s="103"/>
      <c r="M426" s="40"/>
      <c r="O426" s="107"/>
      <c r="P426" s="22"/>
      <c r="Q426" s="23"/>
      <c r="R426" s="107"/>
      <c r="S426" s="107"/>
      <c r="T426" s="107"/>
      <c r="U426" s="107"/>
      <c r="V426" s="107"/>
    </row>
    <row r="427" spans="4:22" s="12" customFormat="1" x14ac:dyDescent="0.2">
      <c r="D427" s="107"/>
      <c r="E427" s="35"/>
      <c r="F427" s="36"/>
      <c r="G427" s="37"/>
      <c r="H427" s="38"/>
      <c r="I427" s="39"/>
      <c r="J427" s="39"/>
      <c r="K427" s="35"/>
      <c r="L427" s="103"/>
      <c r="M427" s="40"/>
      <c r="O427" s="107"/>
      <c r="P427" s="22"/>
      <c r="Q427" s="23"/>
      <c r="R427" s="107"/>
      <c r="S427" s="107"/>
      <c r="T427" s="107"/>
      <c r="U427" s="107"/>
      <c r="V427" s="107"/>
    </row>
    <row r="428" spans="4:22" s="12" customFormat="1" x14ac:dyDescent="0.2">
      <c r="D428" s="107"/>
      <c r="E428" s="35"/>
      <c r="F428" s="36"/>
      <c r="G428" s="37"/>
      <c r="H428" s="38"/>
      <c r="I428" s="39"/>
      <c r="J428" s="39"/>
      <c r="K428" s="35"/>
      <c r="L428" s="103"/>
      <c r="M428" s="40"/>
      <c r="O428" s="107"/>
      <c r="P428" s="22"/>
      <c r="Q428" s="23"/>
      <c r="R428" s="107"/>
      <c r="S428" s="107"/>
      <c r="T428" s="107"/>
      <c r="U428" s="107"/>
      <c r="V428" s="107"/>
    </row>
    <row r="429" spans="4:22" s="12" customFormat="1" x14ac:dyDescent="0.2">
      <c r="D429" s="107"/>
      <c r="E429" s="35"/>
      <c r="F429" s="36"/>
      <c r="G429" s="37"/>
      <c r="H429" s="38"/>
      <c r="I429" s="39"/>
      <c r="J429" s="39"/>
      <c r="K429" s="35"/>
      <c r="L429" s="103"/>
      <c r="M429" s="40"/>
      <c r="O429" s="107"/>
      <c r="P429" s="22"/>
      <c r="Q429" s="23"/>
      <c r="R429" s="107"/>
      <c r="S429" s="107"/>
      <c r="T429" s="107"/>
      <c r="U429" s="107"/>
      <c r="V429" s="107"/>
    </row>
    <row r="430" spans="4:22" s="12" customFormat="1" x14ac:dyDescent="0.2">
      <c r="D430" s="107"/>
      <c r="E430" s="35"/>
      <c r="F430" s="36"/>
      <c r="G430" s="37"/>
      <c r="H430" s="38"/>
      <c r="I430" s="39"/>
      <c r="J430" s="39"/>
      <c r="K430" s="35"/>
      <c r="L430" s="103"/>
      <c r="M430" s="40"/>
      <c r="O430" s="107"/>
      <c r="P430" s="22"/>
      <c r="Q430" s="23"/>
      <c r="R430" s="107"/>
      <c r="S430" s="107"/>
      <c r="T430" s="107"/>
      <c r="U430" s="107"/>
      <c r="V430" s="107"/>
    </row>
    <row r="431" spans="4:22" s="12" customFormat="1" x14ac:dyDescent="0.2">
      <c r="D431" s="107"/>
      <c r="E431" s="35"/>
      <c r="F431" s="36"/>
      <c r="G431" s="37"/>
      <c r="H431" s="38"/>
      <c r="I431" s="39"/>
      <c r="J431" s="39"/>
      <c r="K431" s="35"/>
      <c r="L431" s="103"/>
      <c r="M431" s="40"/>
      <c r="O431" s="107"/>
      <c r="P431" s="22"/>
      <c r="Q431" s="23"/>
      <c r="R431" s="107"/>
      <c r="S431" s="107"/>
      <c r="T431" s="107"/>
      <c r="U431" s="107"/>
      <c r="V431" s="107"/>
    </row>
    <row r="432" spans="4:22" s="12" customFormat="1" x14ac:dyDescent="0.2">
      <c r="D432" s="107"/>
      <c r="E432" s="35"/>
      <c r="F432" s="36"/>
      <c r="G432" s="37"/>
      <c r="H432" s="38"/>
      <c r="I432" s="39"/>
      <c r="J432" s="39"/>
      <c r="K432" s="35"/>
      <c r="L432" s="103"/>
      <c r="M432" s="40"/>
      <c r="O432" s="107"/>
      <c r="P432" s="22"/>
      <c r="Q432" s="23"/>
      <c r="R432" s="107"/>
      <c r="S432" s="107"/>
      <c r="T432" s="107"/>
      <c r="U432" s="107"/>
      <c r="V432" s="107"/>
    </row>
    <row r="433" spans="4:22" s="12" customFormat="1" x14ac:dyDescent="0.2">
      <c r="D433" s="107"/>
      <c r="E433" s="35"/>
      <c r="F433" s="36"/>
      <c r="G433" s="37"/>
      <c r="H433" s="38"/>
      <c r="I433" s="39"/>
      <c r="J433" s="39"/>
      <c r="K433" s="35"/>
      <c r="L433" s="103"/>
      <c r="M433" s="40"/>
      <c r="O433" s="107"/>
      <c r="P433" s="22"/>
      <c r="Q433" s="23"/>
      <c r="R433" s="107"/>
      <c r="S433" s="107"/>
      <c r="T433" s="107"/>
      <c r="U433" s="107"/>
      <c r="V433" s="107"/>
    </row>
    <row r="434" spans="4:22" s="12" customFormat="1" x14ac:dyDescent="0.2">
      <c r="D434" s="107"/>
      <c r="E434" s="35"/>
      <c r="F434" s="36"/>
      <c r="G434" s="37"/>
      <c r="H434" s="38"/>
      <c r="I434" s="39"/>
      <c r="J434" s="39"/>
      <c r="K434" s="35"/>
      <c r="L434" s="103"/>
      <c r="M434" s="40"/>
      <c r="O434" s="107"/>
      <c r="P434" s="22"/>
      <c r="Q434" s="23"/>
      <c r="R434" s="107"/>
      <c r="S434" s="107"/>
      <c r="T434" s="107"/>
      <c r="U434" s="107"/>
      <c r="V434" s="107"/>
    </row>
    <row r="435" spans="4:22" s="12" customFormat="1" x14ac:dyDescent="0.2">
      <c r="D435" s="107"/>
      <c r="E435" s="35"/>
      <c r="F435" s="36"/>
      <c r="G435" s="37"/>
      <c r="H435" s="38"/>
      <c r="I435" s="39"/>
      <c r="J435" s="39"/>
      <c r="K435" s="35"/>
      <c r="L435" s="103"/>
      <c r="M435" s="40"/>
      <c r="O435" s="107"/>
      <c r="P435" s="22"/>
      <c r="Q435" s="23"/>
      <c r="R435" s="107"/>
      <c r="S435" s="107"/>
      <c r="T435" s="107"/>
      <c r="U435" s="107"/>
      <c r="V435" s="107"/>
    </row>
    <row r="436" spans="4:22" s="12" customFormat="1" x14ac:dyDescent="0.2">
      <c r="D436" s="107"/>
      <c r="E436" s="35"/>
      <c r="F436" s="36"/>
      <c r="G436" s="37"/>
      <c r="H436" s="38"/>
      <c r="I436" s="39"/>
      <c r="J436" s="39"/>
      <c r="K436" s="35"/>
      <c r="L436" s="103"/>
      <c r="M436" s="40"/>
      <c r="O436" s="107"/>
      <c r="P436" s="22"/>
      <c r="Q436" s="23"/>
      <c r="R436" s="107"/>
      <c r="S436" s="107"/>
      <c r="T436" s="107"/>
      <c r="U436" s="107"/>
      <c r="V436" s="107"/>
    </row>
    <row r="437" spans="4:22" s="12" customFormat="1" x14ac:dyDescent="0.2">
      <c r="D437" s="107"/>
      <c r="E437" s="35"/>
      <c r="F437" s="36"/>
      <c r="G437" s="37"/>
      <c r="H437" s="38"/>
      <c r="I437" s="39"/>
      <c r="J437" s="39"/>
      <c r="K437" s="35"/>
      <c r="L437" s="103"/>
      <c r="M437" s="40"/>
      <c r="O437" s="107"/>
      <c r="P437" s="22"/>
      <c r="Q437" s="23"/>
      <c r="R437" s="107"/>
      <c r="S437" s="107"/>
      <c r="T437" s="107"/>
      <c r="U437" s="107"/>
      <c r="V437" s="107"/>
    </row>
    <row r="438" spans="4:22" s="12" customFormat="1" x14ac:dyDescent="0.2">
      <c r="D438" s="107"/>
      <c r="E438" s="35"/>
      <c r="F438" s="36"/>
      <c r="G438" s="37"/>
      <c r="H438" s="38"/>
      <c r="I438" s="39"/>
      <c r="J438" s="39"/>
      <c r="K438" s="35"/>
      <c r="L438" s="103"/>
      <c r="M438" s="40"/>
      <c r="O438" s="107"/>
      <c r="P438" s="22"/>
      <c r="Q438" s="23"/>
      <c r="R438" s="107"/>
      <c r="S438" s="107"/>
      <c r="T438" s="107"/>
      <c r="U438" s="107"/>
      <c r="V438" s="107"/>
    </row>
    <row r="439" spans="4:22" s="12" customFormat="1" x14ac:dyDescent="0.2">
      <c r="D439" s="107"/>
      <c r="E439" s="35"/>
      <c r="F439" s="36"/>
      <c r="G439" s="37"/>
      <c r="H439" s="38"/>
      <c r="I439" s="39"/>
      <c r="J439" s="39"/>
      <c r="K439" s="35"/>
      <c r="L439" s="103"/>
      <c r="M439" s="40"/>
      <c r="O439" s="107"/>
      <c r="P439" s="22"/>
      <c r="Q439" s="23"/>
      <c r="R439" s="107"/>
      <c r="S439" s="107"/>
      <c r="T439" s="107"/>
      <c r="U439" s="107"/>
      <c r="V439" s="107"/>
    </row>
    <row r="440" spans="4:22" s="12" customFormat="1" x14ac:dyDescent="0.2">
      <c r="D440" s="107"/>
      <c r="E440" s="35"/>
      <c r="F440" s="36"/>
      <c r="G440" s="37"/>
      <c r="H440" s="38"/>
      <c r="I440" s="39"/>
      <c r="J440" s="39"/>
      <c r="K440" s="35"/>
      <c r="L440" s="103"/>
      <c r="M440" s="40"/>
      <c r="O440" s="107"/>
      <c r="P440" s="22"/>
      <c r="Q440" s="23"/>
      <c r="R440" s="107"/>
      <c r="S440" s="107"/>
      <c r="T440" s="107"/>
      <c r="U440" s="107"/>
      <c r="V440" s="107"/>
    </row>
    <row r="441" spans="4:22" s="12" customFormat="1" x14ac:dyDescent="0.2">
      <c r="D441" s="107"/>
      <c r="E441" s="35"/>
      <c r="F441" s="36"/>
      <c r="G441" s="37"/>
      <c r="H441" s="38"/>
      <c r="I441" s="39"/>
      <c r="J441" s="39"/>
      <c r="K441" s="35"/>
      <c r="L441" s="103"/>
      <c r="M441" s="40"/>
      <c r="O441" s="107"/>
      <c r="P441" s="22"/>
      <c r="Q441" s="23"/>
      <c r="R441" s="107"/>
      <c r="S441" s="107"/>
      <c r="T441" s="107"/>
      <c r="U441" s="107"/>
      <c r="V441" s="107"/>
    </row>
    <row r="442" spans="4:22" s="12" customFormat="1" x14ac:dyDescent="0.2">
      <c r="D442" s="107"/>
      <c r="E442" s="35"/>
      <c r="F442" s="36"/>
      <c r="G442" s="37"/>
      <c r="H442" s="38"/>
      <c r="I442" s="39"/>
      <c r="J442" s="39"/>
      <c r="K442" s="35"/>
      <c r="L442" s="103"/>
      <c r="M442" s="40"/>
      <c r="O442" s="107"/>
      <c r="P442" s="22"/>
      <c r="Q442" s="23"/>
      <c r="R442" s="107"/>
      <c r="S442" s="107"/>
      <c r="T442" s="107"/>
      <c r="U442" s="107"/>
      <c r="V442" s="107"/>
    </row>
    <row r="443" spans="4:22" s="12" customFormat="1" x14ac:dyDescent="0.2">
      <c r="D443" s="107"/>
      <c r="E443" s="35"/>
      <c r="F443" s="36"/>
      <c r="G443" s="37"/>
      <c r="H443" s="38"/>
      <c r="I443" s="39"/>
      <c r="J443" s="39"/>
      <c r="K443" s="35"/>
      <c r="L443" s="103"/>
      <c r="M443" s="40"/>
      <c r="O443" s="107"/>
      <c r="P443" s="22"/>
      <c r="Q443" s="23"/>
      <c r="R443" s="107"/>
      <c r="S443" s="107"/>
      <c r="T443" s="107"/>
      <c r="U443" s="107"/>
      <c r="V443" s="107"/>
    </row>
    <row r="444" spans="4:22" s="12" customFormat="1" x14ac:dyDescent="0.2">
      <c r="D444" s="107"/>
      <c r="E444" s="35"/>
      <c r="F444" s="36"/>
      <c r="G444" s="37"/>
      <c r="H444" s="38"/>
      <c r="I444" s="39"/>
      <c r="J444" s="39"/>
      <c r="K444" s="35"/>
      <c r="L444" s="103"/>
      <c r="M444" s="40"/>
      <c r="O444" s="107"/>
      <c r="P444" s="22"/>
      <c r="Q444" s="23"/>
      <c r="R444" s="107"/>
      <c r="S444" s="107"/>
      <c r="T444" s="107"/>
      <c r="U444" s="107"/>
      <c r="V444" s="107"/>
    </row>
    <row r="445" spans="4:22" s="12" customFormat="1" x14ac:dyDescent="0.2">
      <c r="D445" s="107"/>
      <c r="E445" s="35"/>
      <c r="F445" s="36"/>
      <c r="G445" s="37"/>
      <c r="H445" s="38"/>
      <c r="I445" s="39"/>
      <c r="J445" s="39"/>
      <c r="K445" s="35"/>
      <c r="L445" s="103"/>
      <c r="M445" s="40"/>
      <c r="O445" s="107"/>
      <c r="P445" s="22"/>
      <c r="Q445" s="23"/>
      <c r="R445" s="107"/>
      <c r="S445" s="107"/>
      <c r="T445" s="107"/>
      <c r="U445" s="107"/>
      <c r="V445" s="107"/>
    </row>
    <row r="446" spans="4:22" s="12" customFormat="1" x14ac:dyDescent="0.2">
      <c r="D446" s="107"/>
      <c r="E446" s="35"/>
      <c r="F446" s="36"/>
      <c r="G446" s="37"/>
      <c r="H446" s="38"/>
      <c r="I446" s="39"/>
      <c r="J446" s="39"/>
      <c r="K446" s="35"/>
      <c r="L446" s="103"/>
      <c r="M446" s="40"/>
      <c r="O446" s="107"/>
      <c r="P446" s="22"/>
      <c r="Q446" s="23"/>
      <c r="R446" s="107"/>
      <c r="S446" s="107"/>
      <c r="T446" s="107"/>
      <c r="U446" s="107"/>
      <c r="V446" s="107"/>
    </row>
    <row r="447" spans="4:22" s="12" customFormat="1" x14ac:dyDescent="0.2">
      <c r="D447" s="107"/>
      <c r="E447" s="35"/>
      <c r="F447" s="36"/>
      <c r="G447" s="37"/>
      <c r="H447" s="38"/>
      <c r="I447" s="39"/>
      <c r="J447" s="39"/>
      <c r="K447" s="35"/>
      <c r="L447" s="103"/>
      <c r="M447" s="40"/>
      <c r="O447" s="107"/>
      <c r="P447" s="22"/>
      <c r="Q447" s="23"/>
      <c r="R447" s="107"/>
      <c r="S447" s="107"/>
      <c r="T447" s="107"/>
      <c r="U447" s="107"/>
      <c r="V447" s="107"/>
    </row>
    <row r="448" spans="4:22" s="12" customFormat="1" x14ac:dyDescent="0.2">
      <c r="D448" s="107"/>
      <c r="E448" s="35"/>
      <c r="F448" s="36"/>
      <c r="G448" s="37"/>
      <c r="H448" s="38"/>
      <c r="I448" s="39"/>
      <c r="J448" s="39"/>
      <c r="K448" s="35"/>
      <c r="L448" s="103"/>
      <c r="M448" s="40"/>
      <c r="O448" s="107"/>
      <c r="P448" s="22"/>
      <c r="Q448" s="23"/>
      <c r="R448" s="107"/>
      <c r="S448" s="107"/>
      <c r="T448" s="107"/>
      <c r="U448" s="107"/>
      <c r="V448" s="107"/>
    </row>
    <row r="449" spans="4:22" s="12" customFormat="1" x14ac:dyDescent="0.2">
      <c r="D449" s="107"/>
      <c r="E449" s="35"/>
      <c r="F449" s="36"/>
      <c r="G449" s="37"/>
      <c r="H449" s="38"/>
      <c r="I449" s="39"/>
      <c r="J449" s="39"/>
      <c r="K449" s="35"/>
      <c r="L449" s="103"/>
      <c r="M449" s="40"/>
      <c r="O449" s="107"/>
      <c r="P449" s="22"/>
      <c r="Q449" s="23"/>
      <c r="R449" s="107"/>
      <c r="S449" s="107"/>
      <c r="T449" s="107"/>
      <c r="U449" s="107"/>
      <c r="V449" s="107"/>
    </row>
    <row r="450" spans="4:22" s="12" customFormat="1" x14ac:dyDescent="0.2">
      <c r="D450" s="107"/>
      <c r="E450" s="35"/>
      <c r="F450" s="36"/>
      <c r="G450" s="37"/>
      <c r="H450" s="38"/>
      <c r="I450" s="39"/>
      <c r="J450" s="39"/>
      <c r="K450" s="35"/>
      <c r="L450" s="103"/>
      <c r="M450" s="40"/>
      <c r="O450" s="107"/>
      <c r="P450" s="22"/>
      <c r="Q450" s="23"/>
      <c r="R450" s="107"/>
      <c r="S450" s="107"/>
      <c r="T450" s="107"/>
      <c r="U450" s="107"/>
      <c r="V450" s="107"/>
    </row>
    <row r="451" spans="4:22" s="12" customFormat="1" x14ac:dyDescent="0.2">
      <c r="D451" s="107"/>
      <c r="E451" s="35"/>
      <c r="F451" s="36"/>
      <c r="G451" s="37"/>
      <c r="H451" s="38"/>
      <c r="I451" s="39"/>
      <c r="J451" s="39"/>
      <c r="K451" s="35"/>
      <c r="L451" s="103"/>
      <c r="M451" s="40"/>
      <c r="O451" s="107"/>
      <c r="P451" s="22"/>
      <c r="Q451" s="23"/>
      <c r="R451" s="107"/>
      <c r="S451" s="107"/>
      <c r="T451" s="107"/>
      <c r="U451" s="107"/>
      <c r="V451" s="107"/>
    </row>
    <row r="452" spans="4:22" s="12" customFormat="1" x14ac:dyDescent="0.2">
      <c r="D452" s="107"/>
      <c r="E452" s="35"/>
      <c r="F452" s="36"/>
      <c r="G452" s="37"/>
      <c r="H452" s="38"/>
      <c r="I452" s="39"/>
      <c r="J452" s="39"/>
      <c r="K452" s="35"/>
      <c r="L452" s="103"/>
      <c r="M452" s="40"/>
      <c r="O452" s="107"/>
      <c r="P452" s="22"/>
      <c r="Q452" s="23"/>
      <c r="R452" s="107"/>
      <c r="S452" s="107"/>
      <c r="T452" s="107"/>
      <c r="U452" s="107"/>
      <c r="V452" s="107"/>
    </row>
    <row r="453" spans="4:22" s="12" customFormat="1" x14ac:dyDescent="0.2">
      <c r="D453" s="107"/>
      <c r="E453" s="35"/>
      <c r="F453" s="36"/>
      <c r="G453" s="37"/>
      <c r="H453" s="38"/>
      <c r="I453" s="39"/>
      <c r="J453" s="39"/>
      <c r="K453" s="35"/>
      <c r="L453" s="103"/>
      <c r="M453" s="40"/>
      <c r="O453" s="107"/>
      <c r="P453" s="22"/>
      <c r="Q453" s="23"/>
      <c r="R453" s="107"/>
      <c r="S453" s="107"/>
      <c r="T453" s="107"/>
      <c r="U453" s="107"/>
      <c r="V453" s="107"/>
    </row>
    <row r="454" spans="4:22" s="12" customFormat="1" x14ac:dyDescent="0.2">
      <c r="D454" s="107"/>
      <c r="E454" s="35"/>
      <c r="F454" s="36"/>
      <c r="G454" s="37"/>
      <c r="H454" s="38"/>
      <c r="I454" s="39"/>
      <c r="J454" s="39"/>
      <c r="K454" s="35"/>
      <c r="L454" s="103"/>
      <c r="M454" s="40"/>
      <c r="O454" s="107"/>
      <c r="P454" s="22"/>
      <c r="Q454" s="23"/>
      <c r="R454" s="107"/>
      <c r="S454" s="107"/>
      <c r="T454" s="107"/>
      <c r="U454" s="107"/>
      <c r="V454" s="107"/>
    </row>
    <row r="455" spans="4:22" s="12" customFormat="1" x14ac:dyDescent="0.2">
      <c r="D455" s="107"/>
      <c r="E455" s="35"/>
      <c r="F455" s="36"/>
      <c r="G455" s="37"/>
      <c r="H455" s="38"/>
      <c r="I455" s="39"/>
      <c r="J455" s="39"/>
      <c r="K455" s="35"/>
      <c r="L455" s="103"/>
      <c r="M455" s="40"/>
      <c r="O455" s="107"/>
      <c r="P455" s="22"/>
      <c r="Q455" s="23"/>
      <c r="R455" s="107"/>
      <c r="S455" s="107"/>
      <c r="T455" s="107"/>
      <c r="U455" s="107"/>
      <c r="V455" s="107"/>
    </row>
    <row r="456" spans="4:22" s="12" customFormat="1" x14ac:dyDescent="0.2">
      <c r="D456" s="107"/>
      <c r="E456" s="35"/>
      <c r="F456" s="36"/>
      <c r="G456" s="37"/>
      <c r="H456" s="38"/>
      <c r="I456" s="39"/>
      <c r="J456" s="39"/>
      <c r="K456" s="35"/>
      <c r="L456" s="103"/>
      <c r="M456" s="40"/>
      <c r="O456" s="107"/>
      <c r="P456" s="22"/>
      <c r="Q456" s="23"/>
      <c r="R456" s="107"/>
      <c r="S456" s="107"/>
      <c r="T456" s="107"/>
      <c r="U456" s="107"/>
      <c r="V456" s="107"/>
    </row>
    <row r="457" spans="4:22" s="12" customFormat="1" x14ac:dyDescent="0.2">
      <c r="D457" s="107"/>
      <c r="E457" s="35"/>
      <c r="F457" s="36"/>
      <c r="G457" s="37"/>
      <c r="H457" s="38"/>
      <c r="I457" s="39"/>
      <c r="J457" s="39"/>
      <c r="K457" s="35"/>
      <c r="L457" s="103"/>
      <c r="M457" s="40"/>
      <c r="O457" s="107"/>
      <c r="P457" s="22"/>
      <c r="Q457" s="23"/>
      <c r="R457" s="107"/>
      <c r="S457" s="107"/>
      <c r="T457" s="107"/>
      <c r="U457" s="107"/>
      <c r="V457" s="107"/>
    </row>
    <row r="458" spans="4:22" s="12" customFormat="1" x14ac:dyDescent="0.2">
      <c r="D458" s="107"/>
      <c r="E458" s="35"/>
      <c r="F458" s="36"/>
      <c r="G458" s="37"/>
      <c r="H458" s="38"/>
      <c r="I458" s="39"/>
      <c r="J458" s="39"/>
      <c r="K458" s="35"/>
      <c r="L458" s="103"/>
      <c r="M458" s="40"/>
      <c r="O458" s="107"/>
      <c r="P458" s="22"/>
      <c r="Q458" s="23"/>
      <c r="R458" s="107"/>
      <c r="S458" s="107"/>
      <c r="T458" s="107"/>
      <c r="U458" s="107"/>
      <c r="V458" s="107"/>
    </row>
    <row r="459" spans="4:22" s="12" customFormat="1" x14ac:dyDescent="0.2">
      <c r="D459" s="107"/>
      <c r="E459" s="35"/>
      <c r="F459" s="36"/>
      <c r="G459" s="37"/>
      <c r="H459" s="38"/>
      <c r="I459" s="39"/>
      <c r="J459" s="39"/>
      <c r="K459" s="35"/>
      <c r="L459" s="103"/>
      <c r="M459" s="40"/>
      <c r="O459" s="107"/>
      <c r="P459" s="22"/>
      <c r="Q459" s="23"/>
      <c r="R459" s="107"/>
      <c r="S459" s="107"/>
      <c r="T459" s="107"/>
      <c r="U459" s="107"/>
      <c r="V459" s="107"/>
    </row>
    <row r="460" spans="4:22" s="12" customFormat="1" x14ac:dyDescent="0.2">
      <c r="D460" s="107"/>
      <c r="E460" s="35"/>
      <c r="F460" s="36"/>
      <c r="G460" s="37"/>
      <c r="H460" s="38"/>
      <c r="I460" s="39"/>
      <c r="J460" s="39"/>
      <c r="K460" s="35"/>
      <c r="L460" s="103"/>
      <c r="M460" s="40"/>
      <c r="O460" s="107"/>
      <c r="P460" s="22"/>
      <c r="Q460" s="23"/>
      <c r="R460" s="107"/>
      <c r="S460" s="107"/>
      <c r="T460" s="107"/>
      <c r="U460" s="107"/>
      <c r="V460" s="107"/>
    </row>
    <row r="461" spans="4:22" s="12" customFormat="1" x14ac:dyDescent="0.2">
      <c r="D461" s="107"/>
      <c r="E461" s="35"/>
      <c r="F461" s="36"/>
      <c r="G461" s="37"/>
      <c r="H461" s="38"/>
      <c r="I461" s="39"/>
      <c r="J461" s="39"/>
      <c r="K461" s="35"/>
      <c r="L461" s="103"/>
      <c r="M461" s="40"/>
      <c r="O461" s="107"/>
      <c r="P461" s="22"/>
      <c r="Q461" s="23"/>
      <c r="R461" s="107"/>
      <c r="S461" s="107"/>
      <c r="T461" s="107"/>
      <c r="U461" s="107"/>
      <c r="V461" s="107"/>
    </row>
    <row r="462" spans="4:22" s="12" customFormat="1" x14ac:dyDescent="0.2">
      <c r="D462" s="107"/>
      <c r="E462" s="35"/>
      <c r="F462" s="36"/>
      <c r="G462" s="37"/>
      <c r="H462" s="38"/>
      <c r="I462" s="39"/>
      <c r="J462" s="39"/>
      <c r="K462" s="35"/>
      <c r="L462" s="103"/>
      <c r="M462" s="40"/>
      <c r="O462" s="107"/>
      <c r="P462" s="22"/>
      <c r="Q462" s="23"/>
      <c r="R462" s="107"/>
      <c r="S462" s="107"/>
      <c r="T462" s="107"/>
      <c r="U462" s="107"/>
      <c r="V462" s="107"/>
    </row>
    <row r="463" spans="4:22" s="12" customFormat="1" x14ac:dyDescent="0.2">
      <c r="D463" s="107"/>
      <c r="E463" s="35"/>
      <c r="F463" s="36"/>
      <c r="G463" s="37"/>
      <c r="H463" s="38"/>
      <c r="I463" s="39"/>
      <c r="J463" s="39"/>
      <c r="K463" s="35"/>
      <c r="L463" s="103"/>
      <c r="M463" s="40"/>
      <c r="O463" s="107"/>
      <c r="P463" s="22"/>
      <c r="Q463" s="23"/>
      <c r="R463" s="107"/>
      <c r="S463" s="107"/>
      <c r="T463" s="107"/>
      <c r="U463" s="107"/>
      <c r="V463" s="107"/>
    </row>
    <row r="464" spans="4:22" s="12" customFormat="1" x14ac:dyDescent="0.2">
      <c r="D464" s="107"/>
      <c r="E464" s="35"/>
      <c r="F464" s="36"/>
      <c r="G464" s="37"/>
      <c r="H464" s="38"/>
      <c r="I464" s="39"/>
      <c r="J464" s="39"/>
      <c r="K464" s="35"/>
      <c r="L464" s="103"/>
      <c r="M464" s="40"/>
      <c r="O464" s="107"/>
      <c r="P464" s="22"/>
      <c r="Q464" s="23"/>
      <c r="R464" s="107"/>
      <c r="S464" s="107"/>
      <c r="T464" s="107"/>
      <c r="U464" s="107"/>
      <c r="V464" s="107"/>
    </row>
    <row r="465" spans="4:22" s="12" customFormat="1" x14ac:dyDescent="0.2">
      <c r="D465" s="107"/>
      <c r="E465" s="35"/>
      <c r="F465" s="36"/>
      <c r="G465" s="37"/>
      <c r="H465" s="38"/>
      <c r="I465" s="39"/>
      <c r="J465" s="39"/>
      <c r="K465" s="35"/>
      <c r="L465" s="103"/>
      <c r="M465" s="40"/>
      <c r="O465" s="107"/>
      <c r="P465" s="22"/>
      <c r="Q465" s="23"/>
      <c r="R465" s="107"/>
      <c r="S465" s="107"/>
      <c r="T465" s="107"/>
      <c r="U465" s="107"/>
      <c r="V465" s="107"/>
    </row>
    <row r="466" spans="4:22" s="12" customFormat="1" x14ac:dyDescent="0.2">
      <c r="D466" s="107"/>
      <c r="E466" s="35"/>
      <c r="F466" s="36"/>
      <c r="G466" s="37"/>
      <c r="H466" s="38"/>
      <c r="I466" s="39"/>
      <c r="J466" s="39"/>
      <c r="K466" s="35"/>
      <c r="L466" s="103"/>
      <c r="M466" s="40"/>
      <c r="O466" s="107"/>
      <c r="P466" s="22"/>
      <c r="Q466" s="23"/>
      <c r="R466" s="107"/>
      <c r="S466" s="107"/>
      <c r="T466" s="107"/>
      <c r="U466" s="107"/>
      <c r="V466" s="107"/>
    </row>
    <row r="467" spans="4:22" s="12" customFormat="1" x14ac:dyDescent="0.2">
      <c r="D467" s="107"/>
      <c r="E467" s="35"/>
      <c r="F467" s="36"/>
      <c r="G467" s="37"/>
      <c r="H467" s="38"/>
      <c r="I467" s="39"/>
      <c r="J467" s="39"/>
      <c r="K467" s="35"/>
      <c r="L467" s="103"/>
      <c r="M467" s="40"/>
      <c r="O467" s="107"/>
      <c r="P467" s="22"/>
      <c r="Q467" s="23"/>
      <c r="R467" s="107"/>
      <c r="S467" s="107"/>
      <c r="T467" s="107"/>
      <c r="U467" s="107"/>
      <c r="V467" s="107"/>
    </row>
    <row r="468" spans="4:22" s="12" customFormat="1" x14ac:dyDescent="0.2">
      <c r="D468" s="107"/>
      <c r="E468" s="35"/>
      <c r="F468" s="36"/>
      <c r="G468" s="37"/>
      <c r="H468" s="38"/>
      <c r="I468" s="39"/>
      <c r="J468" s="39"/>
      <c r="K468" s="35"/>
      <c r="L468" s="103"/>
      <c r="M468" s="40"/>
      <c r="O468" s="107"/>
      <c r="P468" s="22"/>
      <c r="Q468" s="23"/>
      <c r="R468" s="107"/>
      <c r="S468" s="107"/>
      <c r="T468" s="107"/>
      <c r="U468" s="107"/>
      <c r="V468" s="107"/>
    </row>
    <row r="469" spans="4:22" s="12" customFormat="1" x14ac:dyDescent="0.2">
      <c r="D469" s="107"/>
      <c r="E469" s="35"/>
      <c r="F469" s="36"/>
      <c r="G469" s="37"/>
      <c r="H469" s="38"/>
      <c r="I469" s="39"/>
      <c r="J469" s="39"/>
      <c r="K469" s="35"/>
      <c r="L469" s="103"/>
      <c r="M469" s="40"/>
      <c r="O469" s="107"/>
      <c r="P469" s="22"/>
      <c r="Q469" s="23"/>
      <c r="R469" s="107"/>
      <c r="S469" s="107"/>
      <c r="T469" s="107"/>
      <c r="U469" s="107"/>
      <c r="V469" s="107"/>
    </row>
    <row r="470" spans="4:22" s="12" customFormat="1" x14ac:dyDescent="0.2">
      <c r="D470" s="107"/>
      <c r="E470" s="35"/>
      <c r="F470" s="36"/>
      <c r="G470" s="37"/>
      <c r="H470" s="38"/>
      <c r="I470" s="39"/>
      <c r="J470" s="39"/>
      <c r="K470" s="35"/>
      <c r="L470" s="103"/>
      <c r="M470" s="40"/>
      <c r="O470" s="107"/>
      <c r="P470" s="22"/>
      <c r="Q470" s="23"/>
      <c r="R470" s="107"/>
      <c r="S470" s="107"/>
      <c r="T470" s="107"/>
      <c r="U470" s="107"/>
      <c r="V470" s="107"/>
    </row>
    <row r="471" spans="4:22" s="12" customFormat="1" x14ac:dyDescent="0.2">
      <c r="D471" s="107"/>
      <c r="E471" s="35"/>
      <c r="F471" s="36"/>
      <c r="G471" s="37"/>
      <c r="H471" s="38"/>
      <c r="I471" s="39"/>
      <c r="J471" s="39"/>
      <c r="K471" s="35"/>
      <c r="L471" s="103"/>
      <c r="M471" s="40"/>
      <c r="O471" s="107"/>
      <c r="P471" s="22"/>
      <c r="Q471" s="23"/>
      <c r="R471" s="107"/>
      <c r="S471" s="107"/>
      <c r="T471" s="107"/>
      <c r="U471" s="107"/>
      <c r="V471" s="107"/>
    </row>
    <row r="472" spans="4:22" s="12" customFormat="1" x14ac:dyDescent="0.2">
      <c r="D472" s="107"/>
      <c r="E472" s="35"/>
      <c r="F472" s="36"/>
      <c r="G472" s="37"/>
      <c r="H472" s="38"/>
      <c r="I472" s="39"/>
      <c r="J472" s="39"/>
      <c r="K472" s="35"/>
      <c r="L472" s="103"/>
      <c r="M472" s="40"/>
      <c r="O472" s="107"/>
      <c r="P472" s="22"/>
      <c r="Q472" s="23"/>
      <c r="R472" s="107"/>
      <c r="S472" s="107"/>
      <c r="T472" s="107"/>
      <c r="U472" s="107"/>
      <c r="V472" s="107"/>
    </row>
    <row r="473" spans="4:22" s="12" customFormat="1" x14ac:dyDescent="0.2">
      <c r="D473" s="107"/>
      <c r="E473" s="35"/>
      <c r="F473" s="36"/>
      <c r="G473" s="37"/>
      <c r="H473" s="38"/>
      <c r="I473" s="39"/>
      <c r="J473" s="39"/>
      <c r="K473" s="35"/>
      <c r="L473" s="103"/>
      <c r="M473" s="40"/>
      <c r="O473" s="107"/>
      <c r="P473" s="22"/>
      <c r="Q473" s="23"/>
      <c r="R473" s="107"/>
      <c r="S473" s="107"/>
      <c r="T473" s="107"/>
      <c r="U473" s="107"/>
      <c r="V473" s="107"/>
    </row>
    <row r="474" spans="4:22" s="12" customFormat="1" x14ac:dyDescent="0.2">
      <c r="D474" s="107"/>
      <c r="E474" s="35"/>
      <c r="F474" s="36"/>
      <c r="G474" s="37"/>
      <c r="H474" s="38"/>
      <c r="I474" s="39"/>
      <c r="J474" s="39"/>
      <c r="K474" s="35"/>
      <c r="L474" s="103"/>
      <c r="M474" s="40"/>
      <c r="O474" s="107"/>
      <c r="P474" s="22"/>
      <c r="Q474" s="23"/>
      <c r="R474" s="107"/>
      <c r="S474" s="107"/>
      <c r="T474" s="107"/>
      <c r="U474" s="107"/>
      <c r="V474" s="107"/>
    </row>
    <row r="475" spans="4:22" s="12" customFormat="1" x14ac:dyDescent="0.2">
      <c r="D475" s="107"/>
      <c r="E475" s="35"/>
      <c r="F475" s="36"/>
      <c r="G475" s="37"/>
      <c r="H475" s="38"/>
      <c r="I475" s="39"/>
      <c r="J475" s="39"/>
      <c r="K475" s="35"/>
      <c r="L475" s="103"/>
      <c r="M475" s="40"/>
      <c r="O475" s="107"/>
      <c r="P475" s="22"/>
      <c r="Q475" s="23"/>
      <c r="R475" s="107"/>
      <c r="S475" s="107"/>
      <c r="T475" s="107"/>
      <c r="U475" s="107"/>
      <c r="V475" s="107"/>
    </row>
    <row r="476" spans="4:22" s="12" customFormat="1" x14ac:dyDescent="0.2">
      <c r="D476" s="107"/>
      <c r="E476" s="35"/>
      <c r="F476" s="36"/>
      <c r="G476" s="37"/>
      <c r="H476" s="38"/>
      <c r="I476" s="39"/>
      <c r="J476" s="39"/>
      <c r="K476" s="35"/>
      <c r="L476" s="103"/>
      <c r="M476" s="40"/>
      <c r="O476" s="107"/>
      <c r="P476" s="22"/>
      <c r="Q476" s="23"/>
      <c r="R476" s="107"/>
      <c r="S476" s="107"/>
      <c r="T476" s="107"/>
      <c r="U476" s="107"/>
      <c r="V476" s="107"/>
    </row>
    <row r="477" spans="4:22" s="12" customFormat="1" x14ac:dyDescent="0.2">
      <c r="D477" s="107"/>
      <c r="E477" s="35"/>
      <c r="F477" s="36"/>
      <c r="G477" s="37"/>
      <c r="H477" s="38"/>
      <c r="I477" s="39"/>
      <c r="J477" s="39"/>
      <c r="K477" s="35"/>
      <c r="L477" s="103"/>
      <c r="M477" s="40"/>
      <c r="O477" s="107"/>
      <c r="P477" s="22"/>
      <c r="Q477" s="23"/>
      <c r="R477" s="107"/>
      <c r="S477" s="107"/>
      <c r="T477" s="107"/>
      <c r="U477" s="107"/>
      <c r="V477" s="107"/>
    </row>
    <row r="478" spans="4:22" s="12" customFormat="1" x14ac:dyDescent="0.2">
      <c r="D478" s="107"/>
      <c r="E478" s="35"/>
      <c r="F478" s="36"/>
      <c r="G478" s="37"/>
      <c r="H478" s="38"/>
      <c r="I478" s="39"/>
      <c r="J478" s="39"/>
      <c r="K478" s="35"/>
      <c r="L478" s="103"/>
      <c r="M478" s="40"/>
      <c r="O478" s="107"/>
      <c r="P478" s="22"/>
      <c r="Q478" s="23"/>
      <c r="R478" s="107"/>
      <c r="S478" s="107"/>
      <c r="T478" s="107"/>
      <c r="U478" s="107"/>
      <c r="V478" s="107"/>
    </row>
    <row r="479" spans="4:22" s="12" customFormat="1" x14ac:dyDescent="0.2">
      <c r="D479" s="107"/>
      <c r="E479" s="35"/>
      <c r="F479" s="36"/>
      <c r="G479" s="37"/>
      <c r="H479" s="38"/>
      <c r="I479" s="39"/>
      <c r="J479" s="39"/>
      <c r="K479" s="35"/>
      <c r="L479" s="103"/>
      <c r="M479" s="40"/>
      <c r="O479" s="107"/>
      <c r="P479" s="22"/>
      <c r="Q479" s="23"/>
      <c r="R479" s="107"/>
      <c r="S479" s="107"/>
      <c r="T479" s="107"/>
      <c r="U479" s="107"/>
      <c r="V479" s="107"/>
    </row>
    <row r="480" spans="4:22" s="12" customFormat="1" x14ac:dyDescent="0.2">
      <c r="D480" s="107"/>
      <c r="E480" s="35"/>
      <c r="F480" s="36"/>
      <c r="G480" s="37"/>
      <c r="H480" s="38"/>
      <c r="I480" s="39"/>
      <c r="J480" s="39"/>
      <c r="K480" s="35"/>
      <c r="L480" s="103"/>
      <c r="M480" s="40"/>
      <c r="O480" s="107"/>
      <c r="P480" s="22"/>
      <c r="Q480" s="23"/>
      <c r="R480" s="107"/>
      <c r="S480" s="107"/>
      <c r="T480" s="107"/>
      <c r="U480" s="107"/>
      <c r="V480" s="107"/>
    </row>
    <row r="481" spans="4:22" s="12" customFormat="1" x14ac:dyDescent="0.2">
      <c r="D481" s="107"/>
      <c r="E481" s="35"/>
      <c r="F481" s="36"/>
      <c r="G481" s="37"/>
      <c r="H481" s="38"/>
      <c r="I481" s="39"/>
      <c r="J481" s="39"/>
      <c r="K481" s="35"/>
      <c r="L481" s="103"/>
      <c r="M481" s="40"/>
      <c r="O481" s="107"/>
      <c r="P481" s="22"/>
      <c r="Q481" s="23"/>
      <c r="R481" s="107"/>
      <c r="S481" s="107"/>
      <c r="T481" s="107"/>
      <c r="U481" s="107"/>
      <c r="V481" s="107"/>
    </row>
    <row r="482" spans="4:22" s="12" customFormat="1" x14ac:dyDescent="0.2">
      <c r="D482" s="107"/>
      <c r="E482" s="35"/>
      <c r="F482" s="36"/>
      <c r="G482" s="37"/>
      <c r="H482" s="38"/>
      <c r="I482" s="39"/>
      <c r="J482" s="39"/>
      <c r="K482" s="35"/>
      <c r="L482" s="103"/>
      <c r="M482" s="40"/>
      <c r="O482" s="107"/>
      <c r="P482" s="22"/>
      <c r="Q482" s="23"/>
      <c r="R482" s="107"/>
      <c r="S482" s="107"/>
      <c r="T482" s="107"/>
      <c r="U482" s="107"/>
      <c r="V482" s="107"/>
    </row>
    <row r="483" spans="4:22" s="12" customFormat="1" x14ac:dyDescent="0.2">
      <c r="D483" s="107"/>
      <c r="E483" s="35"/>
      <c r="F483" s="36"/>
      <c r="G483" s="37"/>
      <c r="H483" s="38"/>
      <c r="I483" s="39"/>
      <c r="J483" s="39"/>
      <c r="K483" s="35"/>
      <c r="L483" s="103"/>
      <c r="M483" s="40"/>
      <c r="O483" s="107"/>
      <c r="P483" s="22"/>
      <c r="Q483" s="23"/>
      <c r="R483" s="107"/>
      <c r="S483" s="107"/>
      <c r="T483" s="107"/>
      <c r="U483" s="107"/>
      <c r="V483" s="107"/>
    </row>
    <row r="484" spans="4:22" s="12" customFormat="1" x14ac:dyDescent="0.2">
      <c r="D484" s="107"/>
      <c r="E484" s="35"/>
      <c r="F484" s="36"/>
      <c r="G484" s="37"/>
      <c r="H484" s="38"/>
      <c r="I484" s="39"/>
      <c r="J484" s="39"/>
      <c r="K484" s="35"/>
      <c r="L484" s="103"/>
      <c r="M484" s="40"/>
      <c r="O484" s="107"/>
      <c r="P484" s="22"/>
      <c r="Q484" s="23"/>
      <c r="R484" s="107"/>
      <c r="S484" s="107"/>
      <c r="T484" s="107"/>
      <c r="U484" s="107"/>
      <c r="V484" s="107"/>
    </row>
    <row r="485" spans="4:22" s="12" customFormat="1" x14ac:dyDescent="0.2">
      <c r="D485" s="107"/>
      <c r="E485" s="35"/>
      <c r="F485" s="36"/>
      <c r="G485" s="37"/>
      <c r="H485" s="38"/>
      <c r="I485" s="39"/>
      <c r="J485" s="39"/>
      <c r="K485" s="35"/>
      <c r="L485" s="103"/>
      <c r="M485" s="40"/>
      <c r="O485" s="107"/>
      <c r="P485" s="22"/>
      <c r="Q485" s="23"/>
      <c r="R485" s="107"/>
      <c r="S485" s="107"/>
      <c r="T485" s="107"/>
      <c r="U485" s="107"/>
      <c r="V485" s="107"/>
    </row>
    <row r="486" spans="4:22" s="12" customFormat="1" x14ac:dyDescent="0.2">
      <c r="D486" s="107"/>
      <c r="E486" s="35"/>
      <c r="F486" s="36"/>
      <c r="G486" s="37"/>
      <c r="H486" s="38"/>
      <c r="I486" s="39"/>
      <c r="J486" s="39"/>
      <c r="K486" s="35"/>
      <c r="L486" s="103"/>
      <c r="M486" s="40"/>
      <c r="O486" s="107"/>
      <c r="P486" s="22"/>
      <c r="Q486" s="23"/>
      <c r="R486" s="107"/>
      <c r="S486" s="107"/>
      <c r="T486" s="107"/>
      <c r="U486" s="107"/>
      <c r="V486" s="107"/>
    </row>
    <row r="487" spans="4:22" s="12" customFormat="1" x14ac:dyDescent="0.2">
      <c r="D487" s="107"/>
      <c r="E487" s="35"/>
      <c r="F487" s="36"/>
      <c r="G487" s="37"/>
      <c r="H487" s="38"/>
      <c r="I487" s="39"/>
      <c r="J487" s="39"/>
      <c r="K487" s="35"/>
      <c r="L487" s="103"/>
      <c r="M487" s="40"/>
      <c r="O487" s="107"/>
      <c r="P487" s="22"/>
      <c r="Q487" s="23"/>
      <c r="R487" s="107"/>
      <c r="S487" s="107"/>
      <c r="T487" s="107"/>
      <c r="U487" s="107"/>
      <c r="V487" s="107"/>
    </row>
    <row r="488" spans="4:22" s="12" customFormat="1" x14ac:dyDescent="0.2">
      <c r="D488" s="107"/>
      <c r="E488" s="35"/>
      <c r="F488" s="36"/>
      <c r="G488" s="37"/>
      <c r="H488" s="38"/>
      <c r="I488" s="39"/>
      <c r="J488" s="39"/>
      <c r="K488" s="35"/>
      <c r="L488" s="103"/>
      <c r="M488" s="40"/>
      <c r="O488" s="107"/>
      <c r="P488" s="22"/>
      <c r="Q488" s="23"/>
      <c r="R488" s="107"/>
      <c r="S488" s="107"/>
      <c r="T488" s="107"/>
      <c r="U488" s="107"/>
      <c r="V488" s="107"/>
    </row>
    <row r="489" spans="4:22" s="12" customFormat="1" x14ac:dyDescent="0.2">
      <c r="D489" s="107"/>
      <c r="E489" s="35"/>
      <c r="F489" s="36"/>
      <c r="G489" s="37"/>
      <c r="H489" s="38"/>
      <c r="I489" s="39"/>
      <c r="J489" s="39"/>
      <c r="K489" s="35"/>
      <c r="L489" s="103"/>
      <c r="M489" s="40"/>
      <c r="O489" s="107"/>
      <c r="P489" s="22"/>
      <c r="Q489" s="23"/>
      <c r="R489" s="107"/>
      <c r="S489" s="107"/>
      <c r="T489" s="107"/>
      <c r="U489" s="107"/>
      <c r="V489" s="107"/>
    </row>
    <row r="490" spans="4:22" s="12" customFormat="1" x14ac:dyDescent="0.2">
      <c r="D490" s="107"/>
      <c r="E490" s="35"/>
      <c r="F490" s="36"/>
      <c r="G490" s="37"/>
      <c r="H490" s="38"/>
      <c r="I490" s="39"/>
      <c r="J490" s="39"/>
      <c r="K490" s="35"/>
      <c r="L490" s="103"/>
      <c r="M490" s="40"/>
      <c r="O490" s="107"/>
      <c r="P490" s="22"/>
      <c r="Q490" s="23"/>
      <c r="R490" s="107"/>
      <c r="S490" s="107"/>
      <c r="T490" s="107"/>
      <c r="U490" s="107"/>
      <c r="V490" s="107"/>
    </row>
    <row r="491" spans="4:22" s="12" customFormat="1" x14ac:dyDescent="0.2">
      <c r="D491" s="107"/>
      <c r="E491" s="35"/>
      <c r="F491" s="36"/>
      <c r="G491" s="37"/>
      <c r="H491" s="38"/>
      <c r="I491" s="39"/>
      <c r="J491" s="39"/>
      <c r="K491" s="35"/>
      <c r="L491" s="103"/>
      <c r="M491" s="40"/>
      <c r="O491" s="107"/>
      <c r="P491" s="22"/>
      <c r="Q491" s="23"/>
      <c r="R491" s="107"/>
      <c r="S491" s="107"/>
      <c r="T491" s="107"/>
      <c r="U491" s="107"/>
      <c r="V491" s="107"/>
    </row>
    <row r="492" spans="4:22" s="12" customFormat="1" x14ac:dyDescent="0.2">
      <c r="D492" s="107"/>
      <c r="E492" s="35"/>
      <c r="F492" s="36"/>
      <c r="G492" s="37"/>
      <c r="H492" s="38"/>
      <c r="I492" s="39"/>
      <c r="J492" s="39"/>
      <c r="K492" s="35"/>
      <c r="L492" s="103"/>
      <c r="M492" s="40"/>
      <c r="O492" s="107"/>
      <c r="P492" s="22"/>
      <c r="Q492" s="23"/>
      <c r="R492" s="107"/>
      <c r="S492" s="107"/>
      <c r="T492" s="107"/>
      <c r="U492" s="107"/>
      <c r="V492" s="107"/>
    </row>
    <row r="493" spans="4:22" s="12" customFormat="1" x14ac:dyDescent="0.2">
      <c r="D493" s="107"/>
      <c r="E493" s="35"/>
      <c r="F493" s="36"/>
      <c r="G493" s="37"/>
      <c r="H493" s="38"/>
      <c r="I493" s="39"/>
      <c r="J493" s="39"/>
      <c r="K493" s="35"/>
      <c r="L493" s="103"/>
      <c r="M493" s="40"/>
      <c r="O493" s="107"/>
      <c r="P493" s="22"/>
      <c r="Q493" s="23"/>
      <c r="R493" s="107"/>
      <c r="S493" s="107"/>
      <c r="T493" s="107"/>
      <c r="U493" s="107"/>
      <c r="V493" s="107"/>
    </row>
    <row r="494" spans="4:22" s="12" customFormat="1" x14ac:dyDescent="0.2">
      <c r="D494" s="107"/>
      <c r="E494" s="35"/>
      <c r="F494" s="36"/>
      <c r="G494" s="37"/>
      <c r="H494" s="38"/>
      <c r="I494" s="39"/>
      <c r="J494" s="39"/>
      <c r="K494" s="35"/>
      <c r="L494" s="103"/>
      <c r="M494" s="40"/>
      <c r="O494" s="107"/>
      <c r="P494" s="22"/>
      <c r="Q494" s="23"/>
      <c r="R494" s="107"/>
      <c r="S494" s="107"/>
      <c r="T494" s="107"/>
      <c r="U494" s="107"/>
      <c r="V494" s="107"/>
    </row>
    <row r="495" spans="4:22" s="12" customFormat="1" x14ac:dyDescent="0.2">
      <c r="D495" s="107"/>
      <c r="E495" s="35"/>
      <c r="F495" s="36"/>
      <c r="G495" s="37"/>
      <c r="H495" s="38"/>
      <c r="I495" s="39"/>
      <c r="J495" s="39"/>
      <c r="K495" s="35"/>
      <c r="L495" s="103"/>
      <c r="M495" s="40"/>
      <c r="O495" s="107"/>
      <c r="P495" s="22"/>
      <c r="Q495" s="23"/>
      <c r="R495" s="107"/>
      <c r="S495" s="107"/>
      <c r="T495" s="107"/>
      <c r="U495" s="107"/>
      <c r="V495" s="107"/>
    </row>
    <row r="496" spans="4:22" s="12" customFormat="1" x14ac:dyDescent="0.2">
      <c r="D496" s="107"/>
      <c r="E496" s="35"/>
      <c r="F496" s="36"/>
      <c r="G496" s="37"/>
      <c r="H496" s="38"/>
      <c r="I496" s="39"/>
      <c r="J496" s="39"/>
      <c r="K496" s="35"/>
      <c r="L496" s="103"/>
      <c r="M496" s="40"/>
      <c r="O496" s="107"/>
      <c r="P496" s="22"/>
      <c r="Q496" s="23"/>
      <c r="R496" s="107"/>
      <c r="S496" s="107"/>
      <c r="T496" s="107"/>
      <c r="U496" s="107"/>
      <c r="V496" s="107"/>
    </row>
    <row r="497" spans="4:22" s="12" customFormat="1" x14ac:dyDescent="0.2">
      <c r="D497" s="107"/>
      <c r="E497" s="35"/>
      <c r="F497" s="36"/>
      <c r="G497" s="37"/>
      <c r="H497" s="38"/>
      <c r="I497" s="39"/>
      <c r="J497" s="39"/>
      <c r="K497" s="35"/>
      <c r="L497" s="103"/>
      <c r="M497" s="40"/>
      <c r="O497" s="107"/>
      <c r="P497" s="22"/>
      <c r="Q497" s="23"/>
      <c r="R497" s="107"/>
      <c r="S497" s="107"/>
      <c r="T497" s="107"/>
      <c r="U497" s="107"/>
      <c r="V497" s="107"/>
    </row>
    <row r="498" spans="4:22" s="12" customFormat="1" x14ac:dyDescent="0.2">
      <c r="D498" s="107"/>
      <c r="E498" s="35"/>
      <c r="F498" s="36"/>
      <c r="G498" s="37"/>
      <c r="H498" s="38"/>
      <c r="I498" s="39"/>
      <c r="J498" s="39"/>
      <c r="K498" s="35"/>
      <c r="L498" s="103"/>
      <c r="M498" s="40"/>
      <c r="O498" s="107"/>
      <c r="P498" s="22"/>
      <c r="Q498" s="23"/>
      <c r="R498" s="107"/>
      <c r="S498" s="107"/>
      <c r="T498" s="107"/>
      <c r="U498" s="107"/>
      <c r="V498" s="107"/>
    </row>
    <row r="499" spans="4:22" s="12" customFormat="1" x14ac:dyDescent="0.2">
      <c r="D499" s="107"/>
      <c r="E499" s="35"/>
      <c r="F499" s="36"/>
      <c r="G499" s="37"/>
      <c r="H499" s="38"/>
      <c r="I499" s="39"/>
      <c r="J499" s="39"/>
      <c r="K499" s="35"/>
      <c r="L499" s="103"/>
      <c r="M499" s="40"/>
      <c r="O499" s="107"/>
      <c r="P499" s="22"/>
      <c r="Q499" s="23"/>
      <c r="R499" s="107"/>
      <c r="S499" s="107"/>
      <c r="T499" s="107"/>
      <c r="U499" s="107"/>
      <c r="V499" s="107"/>
    </row>
    <row r="500" spans="4:22" s="12" customFormat="1" x14ac:dyDescent="0.2">
      <c r="D500" s="107"/>
      <c r="E500" s="35"/>
      <c r="F500" s="36"/>
      <c r="G500" s="37"/>
      <c r="H500" s="38"/>
      <c r="I500" s="39"/>
      <c r="J500" s="39"/>
      <c r="K500" s="35"/>
      <c r="L500" s="103"/>
      <c r="M500" s="40"/>
      <c r="O500" s="107"/>
      <c r="P500" s="22"/>
      <c r="Q500" s="23"/>
      <c r="R500" s="107"/>
      <c r="S500" s="107"/>
      <c r="T500" s="107"/>
      <c r="U500" s="107"/>
      <c r="V500" s="107"/>
    </row>
  </sheetData>
  <mergeCells count="55">
    <mergeCell ref="A52:C52"/>
    <mergeCell ref="A46:C46"/>
    <mergeCell ref="A47:C47"/>
    <mergeCell ref="A48:C48"/>
    <mergeCell ref="A49:C49"/>
    <mergeCell ref="A50:C50"/>
    <mergeCell ref="A51:C51"/>
    <mergeCell ref="A45:C45"/>
    <mergeCell ref="A1:B1"/>
    <mergeCell ref="A2:B2"/>
    <mergeCell ref="A3:C3"/>
    <mergeCell ref="A21:C21"/>
    <mergeCell ref="A38:C38"/>
    <mergeCell ref="A4:C4"/>
    <mergeCell ref="A32:C32"/>
    <mergeCell ref="A33:C33"/>
    <mergeCell ref="A34:C34"/>
    <mergeCell ref="A35:C35"/>
    <mergeCell ref="A36:C36"/>
    <mergeCell ref="A37:C37"/>
    <mergeCell ref="A39:C39"/>
    <mergeCell ref="A40:C40"/>
    <mergeCell ref="A41:C41"/>
    <mergeCell ref="R1:T1"/>
    <mergeCell ref="R2:T2"/>
    <mergeCell ref="R3:T3"/>
    <mergeCell ref="R4:T4"/>
    <mergeCell ref="R5:T5"/>
    <mergeCell ref="R6:T6"/>
    <mergeCell ref="R7:T7"/>
    <mergeCell ref="R8:T8"/>
    <mergeCell ref="R9:T9"/>
    <mergeCell ref="R10:T10"/>
    <mergeCell ref="A42:C42"/>
    <mergeCell ref="R16:T16"/>
    <mergeCell ref="R17:T17"/>
    <mergeCell ref="R11:T11"/>
    <mergeCell ref="R12:T12"/>
    <mergeCell ref="R13:T13"/>
    <mergeCell ref="R14:T14"/>
    <mergeCell ref="R15:T15"/>
    <mergeCell ref="A11:C11"/>
    <mergeCell ref="A12:C12"/>
    <mergeCell ref="A13:C13"/>
    <mergeCell ref="A14:C14"/>
    <mergeCell ref="A15:C15"/>
    <mergeCell ref="A16:C16"/>
    <mergeCell ref="A17:C17"/>
    <mergeCell ref="A18:C18"/>
    <mergeCell ref="A10:C10"/>
    <mergeCell ref="A5:C5"/>
    <mergeCell ref="A6:C6"/>
    <mergeCell ref="A7:C7"/>
    <mergeCell ref="A8:C8"/>
    <mergeCell ref="A9:C9"/>
  </mergeCells>
  <conditionalFormatting sqref="L2:L123">
    <cfRule type="expression" dxfId="44" priority="4">
      <formula>K2="Paid"</formula>
    </cfRule>
    <cfRule type="expression" dxfId="43" priority="5">
      <formula>K2="Check!"</formula>
    </cfRule>
    <cfRule type="expression" dxfId="42" priority="6">
      <formula>K2="Waiting"</formula>
    </cfRule>
  </conditionalFormatting>
  <conditionalFormatting sqref="L2:L300">
    <cfRule type="cellIs" dxfId="41" priority="1" operator="equal">
      <formula>"EARLY"</formula>
    </cfRule>
    <cfRule type="cellIs" dxfId="40" priority="2" operator="equal">
      <formula>"DEF"</formula>
    </cfRule>
    <cfRule type="cellIs" dxfId="39" priority="3" operator="equal">
      <formula>"LATE"</formula>
    </cfRule>
  </conditionalFormatting>
  <conditionalFormatting sqref="L134:L578">
    <cfRule type="expression" dxfId="38" priority="7">
      <formula>K134="Paid"</formula>
    </cfRule>
    <cfRule type="expression" dxfId="37" priority="8">
      <formula>K134="Check!"</formula>
    </cfRule>
    <cfRule type="expression" dxfId="36" priority="9">
      <formula>K134="Waiting"</formula>
    </cfRule>
  </conditionalFormatting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2AE2-AC28-46AC-AF19-852FF99ECB5D}">
  <sheetPr>
    <tabColor theme="1" tint="4.9989318521683403E-2"/>
  </sheetPr>
  <dimension ref="A1:V500"/>
  <sheetViews>
    <sheetView zoomScaleNormal="100" workbookViewId="0">
      <selection activeCell="F4" sqref="F4"/>
    </sheetView>
  </sheetViews>
  <sheetFormatPr defaultColWidth="8.7421875" defaultRowHeight="15" x14ac:dyDescent="0.2"/>
  <cols>
    <col min="1" max="3" width="15.6015625" style="41" customWidth="1"/>
    <col min="4" max="4" width="2.6875" style="42" customWidth="1"/>
    <col min="5" max="5" width="5.6484375" style="7" customWidth="1"/>
    <col min="6" max="6" width="12.64453125" style="43" customWidth="1"/>
    <col min="7" max="7" width="12.64453125" style="44" customWidth="1"/>
    <col min="8" max="8" width="15.6015625" style="45" customWidth="1"/>
    <col min="9" max="10" width="15.6015625" style="46" customWidth="1"/>
    <col min="11" max="11" width="7.6640625" style="7" customWidth="1"/>
    <col min="12" max="12" width="5.6484375" style="42" customWidth="1"/>
    <col min="13" max="13" width="15.6015625" style="47" customWidth="1"/>
    <col min="14" max="14" width="10.35546875" style="41" customWidth="1"/>
    <col min="15" max="15" width="2.6875" style="42" customWidth="1"/>
    <col min="16" max="16" width="10.35546875" style="48" customWidth="1"/>
    <col min="17" max="17" width="10.35546875" style="12" customWidth="1"/>
    <col min="18" max="20" width="11.8359375" style="42" customWidth="1"/>
    <col min="21" max="22" width="8.47265625" style="42" customWidth="1"/>
    <col min="23" max="24" width="8.47265625" style="41" customWidth="1"/>
    <col min="25" max="16384" width="8.7421875" style="41"/>
  </cols>
  <sheetData>
    <row r="1" spans="1:22" s="12" customFormat="1" ht="23.1" customHeight="1" x14ac:dyDescent="0.2">
      <c r="A1" s="236" t="s">
        <v>17</v>
      </c>
      <c r="B1" s="237"/>
      <c r="C1" s="179" t="s">
        <v>18</v>
      </c>
      <c r="D1" s="99"/>
      <c r="E1" s="91" t="s">
        <v>19</v>
      </c>
      <c r="F1" s="92" t="s">
        <v>20</v>
      </c>
      <c r="G1" s="93" t="s">
        <v>21</v>
      </c>
      <c r="H1" s="94" t="s">
        <v>22</v>
      </c>
      <c r="I1" s="95" t="s">
        <v>23</v>
      </c>
      <c r="J1" s="95" t="s">
        <v>24</v>
      </c>
      <c r="K1" s="95" t="s">
        <v>25</v>
      </c>
      <c r="L1" s="95" t="s">
        <v>26</v>
      </c>
      <c r="M1" s="96" t="s">
        <v>110</v>
      </c>
      <c r="N1" s="95" t="s">
        <v>111</v>
      </c>
      <c r="O1" s="89"/>
      <c r="P1" s="98" t="s">
        <v>28</v>
      </c>
      <c r="Q1" s="90" t="s">
        <v>29</v>
      </c>
      <c r="R1" s="226" t="s">
        <v>112</v>
      </c>
      <c r="S1" s="226"/>
      <c r="T1" s="226"/>
      <c r="U1" s="107"/>
      <c r="V1" s="107"/>
    </row>
    <row r="2" spans="1:22" s="12" customFormat="1" ht="19.149999999999999" customHeight="1" x14ac:dyDescent="0.2">
      <c r="A2" s="238">
        <f>SUMIFS(J2:J300,F2:F300,"&lt;&gt;")+B19+A19+C2</f>
        <v>62379.69</v>
      </c>
      <c r="B2" s="239"/>
      <c r="C2" s="13">
        <v>0</v>
      </c>
      <c r="D2" s="107"/>
      <c r="E2" s="14">
        <v>17</v>
      </c>
      <c r="F2" s="108">
        <v>46312</v>
      </c>
      <c r="G2" s="25"/>
      <c r="H2" s="17">
        <v>20000</v>
      </c>
      <c r="I2" s="18">
        <v>4086</v>
      </c>
      <c r="J2" s="19">
        <f t="shared" ref="J2" si="0">SUM(H2:I2)</f>
        <v>24086</v>
      </c>
      <c r="K2" s="14" t="str">
        <f t="shared" ref="K2" ca="1" si="1">IF(F2&lt;=TODAY(),"Check!","Waiting")</f>
        <v>Waiting</v>
      </c>
      <c r="L2" s="100"/>
      <c r="M2" s="20" t="s">
        <v>248</v>
      </c>
      <c r="N2" s="21">
        <v>14.42</v>
      </c>
      <c r="O2" s="107"/>
      <c r="P2" s="22">
        <v>45778</v>
      </c>
      <c r="Q2" s="105">
        <f t="shared" ref="Q2:Q65" si="2">SUMIFS(J$2:J$1000, F$2:F$1000, "&gt;=" &amp; DATE(YEAR(P2), MONTH(P2), 1), F$2:F$1000, "&lt;=" &amp; EOMONTH(P2, 0))</f>
        <v>0</v>
      </c>
      <c r="R2" s="222"/>
      <c r="S2" s="222"/>
      <c r="T2" s="222"/>
      <c r="U2" s="107"/>
      <c r="V2" s="107"/>
    </row>
    <row r="3" spans="1:22" s="12" customFormat="1" ht="19.149999999999999" customHeight="1" thickBot="1" x14ac:dyDescent="0.25">
      <c r="A3" s="234"/>
      <c r="B3" s="234"/>
      <c r="C3" s="234"/>
      <c r="D3" s="107"/>
      <c r="E3" s="14">
        <v>19</v>
      </c>
      <c r="F3" s="24">
        <v>46474</v>
      </c>
      <c r="G3" s="25"/>
      <c r="H3" s="17">
        <v>10000</v>
      </c>
      <c r="I3" s="18">
        <v>2076.13</v>
      </c>
      <c r="J3" s="19">
        <f>SUM(H3:I3)</f>
        <v>12076.130000000001</v>
      </c>
      <c r="K3" s="14" t="str">
        <f ca="1">IF(F3&lt;=TODAY(),"Check!","Waiting")</f>
        <v>Waiting</v>
      </c>
      <c r="L3" s="100"/>
      <c r="M3" s="20" t="s">
        <v>249</v>
      </c>
      <c r="N3" s="21">
        <v>14.26</v>
      </c>
      <c r="O3" s="107"/>
      <c r="P3" s="22">
        <v>45809</v>
      </c>
      <c r="Q3" s="105">
        <f t="shared" si="2"/>
        <v>0</v>
      </c>
      <c r="R3" s="225" t="s">
        <v>115</v>
      </c>
      <c r="S3" s="225"/>
      <c r="T3" s="225"/>
      <c r="U3" s="107"/>
      <c r="V3" s="107"/>
    </row>
    <row r="4" spans="1:22" s="12" customFormat="1" ht="19.149999999999999" customHeight="1" x14ac:dyDescent="0.2">
      <c r="A4" s="205" t="s">
        <v>116</v>
      </c>
      <c r="B4" s="206"/>
      <c r="C4" s="207"/>
      <c r="D4" s="107"/>
      <c r="E4" s="14">
        <v>26</v>
      </c>
      <c r="F4" s="24">
        <v>46735</v>
      </c>
      <c r="G4" s="25"/>
      <c r="H4" s="17">
        <v>20000</v>
      </c>
      <c r="I4" s="18">
        <v>6217.56</v>
      </c>
      <c r="J4" s="19">
        <f>SUM(H4:I4)</f>
        <v>26217.56</v>
      </c>
      <c r="K4" s="14" t="str">
        <f ca="1">IF(F4&lt;=TODAY(),"Check!","Waiting")</f>
        <v>Waiting</v>
      </c>
      <c r="L4" s="100"/>
      <c r="M4" s="20" t="s">
        <v>250</v>
      </c>
      <c r="N4" s="21">
        <v>15.5</v>
      </c>
      <c r="O4" s="107"/>
      <c r="P4" s="22">
        <v>45839</v>
      </c>
      <c r="Q4" s="105">
        <f t="shared" si="2"/>
        <v>0</v>
      </c>
      <c r="R4" s="222" t="s">
        <v>118</v>
      </c>
      <c r="S4" s="222"/>
      <c r="T4" s="222"/>
      <c r="U4" s="107"/>
      <c r="V4" s="107"/>
    </row>
    <row r="5" spans="1:22" s="12" customFormat="1" ht="19.149999999999999" customHeight="1" x14ac:dyDescent="0.2">
      <c r="A5" s="216"/>
      <c r="B5" s="217"/>
      <c r="C5" s="217"/>
      <c r="D5" s="107"/>
      <c r="E5" s="14"/>
      <c r="F5" s="24"/>
      <c r="G5" s="25"/>
      <c r="H5" s="17"/>
      <c r="I5" s="18"/>
      <c r="J5" s="19"/>
      <c r="K5" s="14"/>
      <c r="L5" s="100"/>
      <c r="M5" s="20"/>
      <c r="N5" s="21"/>
      <c r="O5" s="107"/>
      <c r="P5" s="22">
        <v>45870</v>
      </c>
      <c r="Q5" s="105">
        <f t="shared" si="2"/>
        <v>0</v>
      </c>
      <c r="R5" s="222" t="s">
        <v>120</v>
      </c>
      <c r="S5" s="222"/>
      <c r="T5" s="222"/>
      <c r="U5" s="107"/>
      <c r="V5" s="107"/>
    </row>
    <row r="6" spans="1:22" s="12" customFormat="1" ht="19.149999999999999" customHeight="1" x14ac:dyDescent="0.2">
      <c r="A6" s="214"/>
      <c r="B6" s="215"/>
      <c r="C6" s="215"/>
      <c r="D6" s="107"/>
      <c r="E6" s="14"/>
      <c r="F6" s="24"/>
      <c r="G6" s="25"/>
      <c r="H6" s="17"/>
      <c r="I6" s="18"/>
      <c r="J6" s="19"/>
      <c r="K6" s="14"/>
      <c r="L6" s="100"/>
      <c r="M6" s="20"/>
      <c r="N6" s="21"/>
      <c r="O6" s="107"/>
      <c r="P6" s="22">
        <v>45901</v>
      </c>
      <c r="Q6" s="105">
        <f t="shared" si="2"/>
        <v>0</v>
      </c>
      <c r="R6" s="222" t="s">
        <v>123</v>
      </c>
      <c r="S6" s="222"/>
      <c r="T6" s="222"/>
      <c r="U6" s="107"/>
      <c r="V6" s="107"/>
    </row>
    <row r="7" spans="1:22" s="12" customFormat="1" ht="19.149999999999999" customHeight="1" x14ac:dyDescent="0.2">
      <c r="A7" s="214" t="s">
        <v>251</v>
      </c>
      <c r="B7" s="215"/>
      <c r="C7" s="215"/>
      <c r="D7" s="107"/>
      <c r="E7" s="14"/>
      <c r="F7" s="24"/>
      <c r="G7" s="25"/>
      <c r="H7" s="17"/>
      <c r="I7" s="18"/>
      <c r="J7" s="19"/>
      <c r="K7" s="14"/>
      <c r="L7" s="100"/>
      <c r="M7" s="20"/>
      <c r="N7" s="21"/>
      <c r="O7" s="107"/>
      <c r="P7" s="22">
        <v>45931</v>
      </c>
      <c r="Q7" s="105">
        <f t="shared" si="2"/>
        <v>0</v>
      </c>
      <c r="R7" s="222" t="s">
        <v>125</v>
      </c>
      <c r="S7" s="222"/>
      <c r="T7" s="222"/>
      <c r="U7" s="107"/>
      <c r="V7" s="107"/>
    </row>
    <row r="8" spans="1:22" s="12" customFormat="1" ht="19.149999999999999" customHeight="1" x14ac:dyDescent="0.2">
      <c r="A8" s="216"/>
      <c r="B8" s="217"/>
      <c r="C8" s="217"/>
      <c r="D8" s="107"/>
      <c r="E8" s="14"/>
      <c r="F8" s="24"/>
      <c r="G8" s="25"/>
      <c r="H8" s="17"/>
      <c r="I8" s="18"/>
      <c r="J8" s="19"/>
      <c r="K8" s="14"/>
      <c r="L8" s="100"/>
      <c r="M8" s="20"/>
      <c r="N8" s="21"/>
      <c r="O8" s="107"/>
      <c r="P8" s="22">
        <v>45962</v>
      </c>
      <c r="Q8" s="105">
        <f t="shared" si="2"/>
        <v>0</v>
      </c>
      <c r="R8" s="223"/>
      <c r="S8" s="223"/>
      <c r="T8" s="223"/>
      <c r="U8" s="107"/>
      <c r="V8" s="107"/>
    </row>
    <row r="9" spans="1:22" s="12" customFormat="1" ht="19.149999999999999" customHeight="1" x14ac:dyDescent="0.2">
      <c r="A9" s="216"/>
      <c r="B9" s="217"/>
      <c r="C9" s="217"/>
      <c r="D9" s="107"/>
      <c r="E9" s="14"/>
      <c r="F9" s="24"/>
      <c r="G9" s="25"/>
      <c r="H9" s="17"/>
      <c r="I9" s="18"/>
      <c r="J9" s="19"/>
      <c r="K9" s="14"/>
      <c r="L9" s="100"/>
      <c r="M9" s="20"/>
      <c r="N9" s="21"/>
      <c r="O9" s="107"/>
      <c r="P9" s="22">
        <v>45992</v>
      </c>
      <c r="Q9" s="105">
        <f t="shared" si="2"/>
        <v>0</v>
      </c>
      <c r="R9" s="224"/>
      <c r="S9" s="224"/>
      <c r="T9" s="224"/>
      <c r="U9" s="107"/>
      <c r="V9" s="107"/>
    </row>
    <row r="10" spans="1:22" s="12" customFormat="1" ht="19.149999999999999" customHeight="1" x14ac:dyDescent="0.2">
      <c r="A10" s="216"/>
      <c r="B10" s="217"/>
      <c r="C10" s="217"/>
      <c r="D10" s="107"/>
      <c r="E10" s="14"/>
      <c r="F10" s="24"/>
      <c r="G10" s="25"/>
      <c r="H10" s="17"/>
      <c r="I10" s="18"/>
      <c r="J10" s="19"/>
      <c r="K10" s="14"/>
      <c r="L10" s="100"/>
      <c r="M10" s="20"/>
      <c r="N10" s="21"/>
      <c r="O10" s="107"/>
      <c r="P10" s="22">
        <v>46023</v>
      </c>
      <c r="Q10" s="105">
        <f t="shared" si="2"/>
        <v>0</v>
      </c>
      <c r="R10" s="225" t="s">
        <v>130</v>
      </c>
      <c r="S10" s="225"/>
      <c r="T10" s="225"/>
      <c r="U10" s="107"/>
      <c r="V10" s="107"/>
    </row>
    <row r="11" spans="1:22" s="12" customFormat="1" ht="19.149999999999999" customHeight="1" x14ac:dyDescent="0.2">
      <c r="A11" s="218"/>
      <c r="B11" s="219"/>
      <c r="C11" s="219"/>
      <c r="D11" s="107"/>
      <c r="E11" s="14"/>
      <c r="F11" s="24"/>
      <c r="G11" s="25"/>
      <c r="H11" s="17"/>
      <c r="I11" s="18"/>
      <c r="J11" s="19"/>
      <c r="K11" s="14"/>
      <c r="L11" s="100"/>
      <c r="M11" s="20"/>
      <c r="N11" s="21"/>
      <c r="O11" s="107"/>
      <c r="P11" s="22">
        <v>46054</v>
      </c>
      <c r="Q11" s="105">
        <f t="shared" si="2"/>
        <v>0</v>
      </c>
      <c r="R11" s="222" t="s">
        <v>133</v>
      </c>
      <c r="S11" s="222"/>
      <c r="T11" s="222"/>
      <c r="U11" s="107"/>
      <c r="V11" s="107"/>
    </row>
    <row r="12" spans="1:22" s="12" customFormat="1" ht="19.149999999999999" customHeight="1" x14ac:dyDescent="0.2">
      <c r="A12" s="216"/>
      <c r="B12" s="217"/>
      <c r="C12" s="217"/>
      <c r="D12" s="107"/>
      <c r="E12" s="14"/>
      <c r="F12" s="24"/>
      <c r="G12" s="25"/>
      <c r="H12" s="17"/>
      <c r="I12" s="18"/>
      <c r="J12" s="19"/>
      <c r="K12" s="14"/>
      <c r="L12" s="100"/>
      <c r="M12" s="20"/>
      <c r="N12" s="21"/>
      <c r="O12" s="107"/>
      <c r="P12" s="22">
        <v>46082</v>
      </c>
      <c r="Q12" s="105">
        <f t="shared" si="2"/>
        <v>0</v>
      </c>
      <c r="R12" s="222" t="s">
        <v>136</v>
      </c>
      <c r="S12" s="222"/>
      <c r="T12" s="222"/>
      <c r="U12" s="107"/>
      <c r="V12" s="107"/>
    </row>
    <row r="13" spans="1:22" s="12" customFormat="1" ht="19.149999999999999" customHeight="1" x14ac:dyDescent="0.2">
      <c r="A13" s="218"/>
      <c r="B13" s="219"/>
      <c r="C13" s="219"/>
      <c r="D13" s="107"/>
      <c r="E13" s="14"/>
      <c r="F13" s="24"/>
      <c r="G13" s="25"/>
      <c r="H13" s="17"/>
      <c r="I13" s="18"/>
      <c r="J13" s="19"/>
      <c r="K13" s="14"/>
      <c r="L13" s="100"/>
      <c r="M13" s="20"/>
      <c r="N13" s="21"/>
      <c r="O13" s="107"/>
      <c r="P13" s="22">
        <v>46113</v>
      </c>
      <c r="Q13" s="105">
        <f t="shared" si="2"/>
        <v>0</v>
      </c>
      <c r="R13" s="222" t="s">
        <v>138</v>
      </c>
      <c r="S13" s="222"/>
      <c r="T13" s="222"/>
      <c r="U13" s="107"/>
      <c r="V13" s="107"/>
    </row>
    <row r="14" spans="1:22" s="12" customFormat="1" ht="19.149999999999999" customHeight="1" x14ac:dyDescent="0.2">
      <c r="A14" s="216"/>
      <c r="B14" s="217"/>
      <c r="C14" s="217"/>
      <c r="D14" s="107"/>
      <c r="E14" s="14"/>
      <c r="F14" s="24"/>
      <c r="G14" s="25"/>
      <c r="H14" s="17"/>
      <c r="I14" s="18"/>
      <c r="J14" s="19"/>
      <c r="K14" s="14"/>
      <c r="L14" s="100"/>
      <c r="M14" s="20"/>
      <c r="N14" s="21"/>
      <c r="O14" s="107"/>
      <c r="P14" s="22">
        <v>46143</v>
      </c>
      <c r="Q14" s="105">
        <f t="shared" si="2"/>
        <v>0</v>
      </c>
      <c r="R14" s="222" t="s">
        <v>140</v>
      </c>
      <c r="S14" s="222"/>
      <c r="T14" s="222"/>
      <c r="U14" s="107"/>
      <c r="V14" s="107"/>
    </row>
    <row r="15" spans="1:22" s="12" customFormat="1" ht="19.149999999999999" customHeight="1" x14ac:dyDescent="0.2">
      <c r="A15" s="216"/>
      <c r="B15" s="217"/>
      <c r="C15" s="217"/>
      <c r="D15" s="107"/>
      <c r="E15" s="14"/>
      <c r="F15" s="24"/>
      <c r="G15" s="25"/>
      <c r="H15" s="17"/>
      <c r="I15" s="18"/>
      <c r="J15" s="19"/>
      <c r="K15" s="14"/>
      <c r="L15" s="100"/>
      <c r="M15" s="20"/>
      <c r="N15" s="21"/>
      <c r="O15" s="107"/>
      <c r="P15" s="22">
        <v>46174</v>
      </c>
      <c r="Q15" s="105">
        <f t="shared" si="2"/>
        <v>0</v>
      </c>
      <c r="R15" s="222" t="s">
        <v>142</v>
      </c>
      <c r="S15" s="222"/>
      <c r="T15" s="222"/>
      <c r="U15" s="107"/>
      <c r="V15" s="107"/>
    </row>
    <row r="16" spans="1:22" s="12" customFormat="1" ht="19.149999999999999" customHeight="1" x14ac:dyDescent="0.2">
      <c r="A16" s="216"/>
      <c r="B16" s="217"/>
      <c r="C16" s="217"/>
      <c r="D16" s="107"/>
      <c r="E16" s="14"/>
      <c r="F16" s="24"/>
      <c r="G16" s="25"/>
      <c r="H16" s="17"/>
      <c r="I16" s="18"/>
      <c r="J16" s="19"/>
      <c r="K16" s="14"/>
      <c r="L16" s="100"/>
      <c r="M16" s="20"/>
      <c r="N16" s="21"/>
      <c r="O16" s="107"/>
      <c r="P16" s="22">
        <v>46204</v>
      </c>
      <c r="Q16" s="105">
        <f t="shared" si="2"/>
        <v>0</v>
      </c>
      <c r="R16" s="222" t="s">
        <v>144</v>
      </c>
      <c r="S16" s="222"/>
      <c r="T16" s="222"/>
      <c r="U16" s="107"/>
      <c r="V16" s="107"/>
    </row>
    <row r="17" spans="1:22" s="12" customFormat="1" ht="19.149999999999999" customHeight="1" x14ac:dyDescent="0.2">
      <c r="A17" s="214" t="s">
        <v>252</v>
      </c>
      <c r="B17" s="215"/>
      <c r="C17" s="215"/>
      <c r="D17" s="107"/>
      <c r="E17" s="14"/>
      <c r="F17" s="24"/>
      <c r="G17" s="25"/>
      <c r="H17" s="17"/>
      <c r="I17" s="18"/>
      <c r="J17" s="19"/>
      <c r="K17" s="14"/>
      <c r="L17" s="100"/>
      <c r="M17" s="20"/>
      <c r="N17" s="21"/>
      <c r="O17" s="107"/>
      <c r="P17" s="22">
        <v>46235</v>
      </c>
      <c r="Q17" s="105">
        <f t="shared" si="2"/>
        <v>0</v>
      </c>
      <c r="R17" s="223"/>
      <c r="S17" s="223"/>
      <c r="T17" s="223"/>
      <c r="U17" s="107"/>
      <c r="V17" s="107"/>
    </row>
    <row r="18" spans="1:22" s="12" customFormat="1" ht="19.149999999999999" customHeight="1" thickBot="1" x14ac:dyDescent="0.25">
      <c r="A18" s="214"/>
      <c r="B18" s="215"/>
      <c r="C18" s="215"/>
      <c r="D18" s="107"/>
      <c r="E18" s="14"/>
      <c r="F18" s="24"/>
      <c r="G18" s="25"/>
      <c r="H18" s="17"/>
      <c r="I18" s="18"/>
      <c r="J18" s="19"/>
      <c r="K18" s="14"/>
      <c r="L18" s="100"/>
      <c r="M18" s="20"/>
      <c r="N18" s="21"/>
      <c r="O18" s="107"/>
      <c r="P18" s="22">
        <v>46266</v>
      </c>
      <c r="Q18" s="105">
        <f t="shared" si="2"/>
        <v>0</v>
      </c>
      <c r="R18" s="107"/>
      <c r="S18" s="107"/>
      <c r="T18" s="107"/>
      <c r="U18" s="107"/>
      <c r="V18" s="107"/>
    </row>
    <row r="19" spans="1:22" s="12" customFormat="1" ht="19.149999999999999" customHeight="1" x14ac:dyDescent="0.2">
      <c r="A19" s="115">
        <v>0</v>
      </c>
      <c r="B19" s="115">
        <v>0</v>
      </c>
      <c r="C19" s="64" t="s">
        <v>148</v>
      </c>
      <c r="D19" s="107"/>
      <c r="E19" s="14"/>
      <c r="F19" s="24"/>
      <c r="G19" s="25"/>
      <c r="H19" s="17"/>
      <c r="I19" s="18"/>
      <c r="J19" s="19"/>
      <c r="K19" s="14"/>
      <c r="L19" s="100"/>
      <c r="M19" s="20"/>
      <c r="N19" s="21"/>
      <c r="O19" s="107"/>
      <c r="P19" s="22">
        <v>46296</v>
      </c>
      <c r="Q19" s="105">
        <f t="shared" si="2"/>
        <v>24086</v>
      </c>
      <c r="R19" s="107"/>
      <c r="S19" s="107"/>
      <c r="T19" s="107"/>
      <c r="U19" s="107"/>
      <c r="V19" s="107"/>
    </row>
    <row r="20" spans="1:22" s="12" customFormat="1" ht="19.149999999999999" customHeight="1" thickBot="1" x14ac:dyDescent="0.25">
      <c r="A20" s="177"/>
      <c r="B20" s="177"/>
      <c r="C20" s="177"/>
      <c r="D20" s="107"/>
      <c r="E20" s="14"/>
      <c r="F20" s="24"/>
      <c r="G20" s="25"/>
      <c r="H20" s="17"/>
      <c r="I20" s="18"/>
      <c r="J20" s="19"/>
      <c r="K20" s="14"/>
      <c r="L20" s="100"/>
      <c r="M20" s="20"/>
      <c r="N20" s="21"/>
      <c r="O20" s="107"/>
      <c r="P20" s="22">
        <v>46327</v>
      </c>
      <c r="Q20" s="105">
        <f t="shared" si="2"/>
        <v>0</v>
      </c>
      <c r="R20" s="107"/>
      <c r="S20" s="107"/>
      <c r="T20" s="107"/>
      <c r="U20" s="107"/>
      <c r="V20" s="107"/>
    </row>
    <row r="21" spans="1:22" s="12" customFormat="1" ht="19.149999999999999" customHeight="1" thickBot="1" x14ac:dyDescent="0.25">
      <c r="A21" s="205" t="s">
        <v>47</v>
      </c>
      <c r="B21" s="206"/>
      <c r="C21" s="207"/>
      <c r="D21" s="107"/>
      <c r="E21" s="14"/>
      <c r="F21" s="24"/>
      <c r="G21" s="25"/>
      <c r="H21" s="17"/>
      <c r="I21" s="18"/>
      <c r="J21" s="19"/>
      <c r="K21" s="14"/>
      <c r="L21" s="100"/>
      <c r="M21" s="20"/>
      <c r="N21" s="21"/>
      <c r="O21" s="107"/>
      <c r="P21" s="22">
        <v>46357</v>
      </c>
      <c r="Q21" s="105">
        <f t="shared" si="2"/>
        <v>0</v>
      </c>
      <c r="R21" s="107"/>
      <c r="S21" s="107"/>
      <c r="T21" s="107"/>
      <c r="U21" s="107"/>
      <c r="V21" s="107"/>
    </row>
    <row r="22" spans="1:22" s="12" customFormat="1" ht="19.149999999999999" customHeight="1" x14ac:dyDescent="0.2">
      <c r="A22" s="66" t="s">
        <v>22</v>
      </c>
      <c r="B22" s="65" t="s">
        <v>48</v>
      </c>
      <c r="C22" s="67" t="s">
        <v>49</v>
      </c>
      <c r="D22" s="107"/>
      <c r="E22" s="14"/>
      <c r="F22" s="24"/>
      <c r="G22" s="25"/>
      <c r="H22" s="17"/>
      <c r="I22" s="18"/>
      <c r="J22" s="19"/>
      <c r="K22" s="14"/>
      <c r="L22" s="100"/>
      <c r="M22" s="20"/>
      <c r="N22" s="21"/>
      <c r="O22" s="107"/>
      <c r="P22" s="22">
        <v>46388</v>
      </c>
      <c r="Q22" s="105">
        <f t="shared" si="2"/>
        <v>0</v>
      </c>
      <c r="R22" s="107"/>
      <c r="S22" s="107"/>
      <c r="T22" s="107"/>
      <c r="U22" s="107"/>
      <c r="V22" s="107"/>
    </row>
    <row r="23" spans="1:22" s="12" customFormat="1" ht="19.149999999999999" customHeight="1" thickBot="1" x14ac:dyDescent="0.25">
      <c r="A23" s="68">
        <f>SUMIFS(H2:H167,F2:F167,"&lt;&gt;")</f>
        <v>50000</v>
      </c>
      <c r="B23" s="69">
        <f>SUMIFS(I2:I167,F2:F167,"&lt;&gt;")</f>
        <v>12379.69</v>
      </c>
      <c r="C23" s="70">
        <f>COUNT(N2:N300, "?*")</f>
        <v>3</v>
      </c>
      <c r="D23" s="107"/>
      <c r="E23" s="14"/>
      <c r="F23" s="24"/>
      <c r="G23" s="25"/>
      <c r="H23" s="17"/>
      <c r="I23" s="18"/>
      <c r="J23" s="19"/>
      <c r="K23" s="14"/>
      <c r="L23" s="100"/>
      <c r="M23" s="20"/>
      <c r="N23" s="21"/>
      <c r="O23" s="107"/>
      <c r="P23" s="22">
        <v>46419</v>
      </c>
      <c r="Q23" s="105">
        <f t="shared" si="2"/>
        <v>0</v>
      </c>
      <c r="R23" s="107"/>
      <c r="S23" s="107"/>
      <c r="T23" s="107"/>
      <c r="U23" s="107"/>
      <c r="V23" s="107"/>
    </row>
    <row r="24" spans="1:22" s="12" customFormat="1" ht="19.149999999999999" customHeight="1" x14ac:dyDescent="0.2">
      <c r="A24" s="66" t="s">
        <v>154</v>
      </c>
      <c r="B24" s="65" t="s">
        <v>51</v>
      </c>
      <c r="C24" s="67" t="s">
        <v>52</v>
      </c>
      <c r="D24" s="107"/>
      <c r="E24" s="14"/>
      <c r="F24" s="24"/>
      <c r="G24" s="25"/>
      <c r="H24" s="17"/>
      <c r="I24" s="18"/>
      <c r="J24" s="19"/>
      <c r="K24" s="14"/>
      <c r="L24" s="100"/>
      <c r="M24" s="20"/>
      <c r="N24" s="21"/>
      <c r="O24" s="107"/>
      <c r="P24" s="22">
        <v>46447</v>
      </c>
      <c r="Q24" s="105">
        <f t="shared" si="2"/>
        <v>12076.130000000001</v>
      </c>
      <c r="R24" s="107"/>
      <c r="S24" s="107"/>
      <c r="T24" s="107"/>
      <c r="U24" s="107"/>
      <c r="V24" s="107"/>
    </row>
    <row r="25" spans="1:22" s="12" customFormat="1" ht="19.149999999999999" customHeight="1" thickBot="1" x14ac:dyDescent="0.25">
      <c r="A25" s="141">
        <f>AVERAGE(N2:N500)</f>
        <v>14.726666666666667</v>
      </c>
      <c r="B25" s="139" t="str">
        <f>TEXT(B23/A23, "0.00%")</f>
        <v>24.76%</v>
      </c>
      <c r="C25" s="142">
        <f>SUMPRODUCT(H2:H500, E2:E500) / SUM(H2:H500)</f>
        <v>21</v>
      </c>
      <c r="D25" s="107"/>
      <c r="E25" s="14"/>
      <c r="F25" s="24"/>
      <c r="G25" s="25"/>
      <c r="H25" s="17"/>
      <c r="I25" s="18"/>
      <c r="J25" s="19"/>
      <c r="K25" s="14"/>
      <c r="L25" s="100"/>
      <c r="M25" s="20"/>
      <c r="N25" s="21"/>
      <c r="O25" s="107"/>
      <c r="P25" s="22">
        <v>46478</v>
      </c>
      <c r="Q25" s="105">
        <f t="shared" si="2"/>
        <v>0</v>
      </c>
      <c r="R25" s="107"/>
      <c r="S25" s="107"/>
      <c r="T25" s="107"/>
      <c r="U25" s="107"/>
      <c r="V25" s="107"/>
    </row>
    <row r="26" spans="1:22" s="12" customFormat="1" ht="19.149999999999999" customHeight="1" x14ac:dyDescent="0.2">
      <c r="A26" s="111" t="s">
        <v>53</v>
      </c>
      <c r="B26" s="110" t="s">
        <v>54</v>
      </c>
      <c r="C26" s="66" t="s">
        <v>55</v>
      </c>
      <c r="D26" s="107"/>
      <c r="E26" s="14"/>
      <c r="F26" s="24"/>
      <c r="G26" s="25"/>
      <c r="H26" s="17"/>
      <c r="I26" s="18"/>
      <c r="J26" s="19"/>
      <c r="K26" s="14"/>
      <c r="L26" s="100"/>
      <c r="M26" s="20"/>
      <c r="N26" s="21"/>
      <c r="O26" s="107"/>
      <c r="P26" s="22">
        <v>46508</v>
      </c>
      <c r="Q26" s="105">
        <f t="shared" si="2"/>
        <v>0</v>
      </c>
      <c r="R26" s="107"/>
      <c r="S26" s="107"/>
      <c r="T26" s="107"/>
      <c r="U26" s="107"/>
      <c r="V26" s="107"/>
    </row>
    <row r="27" spans="1:22" s="12" customFormat="1" ht="19.149999999999999" customHeight="1" x14ac:dyDescent="0.2">
      <c r="A27" s="73">
        <f ca="1">COUNTIF(K2:K300, "CHECK!")</f>
        <v>0</v>
      </c>
      <c r="B27" s="73">
        <f ca="1">COUNTIF(K2:K300, "WAITING")</f>
        <v>3</v>
      </c>
      <c r="C27" s="73">
        <f ca="1">COUNTIF(K2:K300, "Paid")</f>
        <v>0</v>
      </c>
      <c r="D27" s="107"/>
      <c r="E27" s="14"/>
      <c r="F27" s="24"/>
      <c r="G27" s="25"/>
      <c r="H27" s="17"/>
      <c r="I27" s="18"/>
      <c r="J27" s="19"/>
      <c r="K27" s="14"/>
      <c r="L27" s="100"/>
      <c r="M27" s="20"/>
      <c r="N27" s="21"/>
      <c r="O27" s="107"/>
      <c r="P27" s="22">
        <v>46539</v>
      </c>
      <c r="Q27" s="105">
        <f t="shared" si="2"/>
        <v>0</v>
      </c>
      <c r="R27" s="107"/>
      <c r="S27" s="107"/>
      <c r="T27" s="107"/>
      <c r="U27" s="107"/>
      <c r="V27" s="107"/>
    </row>
    <row r="28" spans="1:22" s="12" customFormat="1" ht="19.149999999999999" customHeight="1" x14ac:dyDescent="0.2">
      <c r="A28" s="177"/>
      <c r="B28" s="177"/>
      <c r="C28" s="177"/>
      <c r="D28" s="107"/>
      <c r="E28" s="14"/>
      <c r="F28" s="24"/>
      <c r="G28" s="25"/>
      <c r="H28" s="17"/>
      <c r="I28" s="18"/>
      <c r="J28" s="19"/>
      <c r="K28" s="14"/>
      <c r="L28" s="100"/>
      <c r="M28" s="20"/>
      <c r="N28" s="21"/>
      <c r="O28" s="107"/>
      <c r="P28" s="22">
        <v>46569</v>
      </c>
      <c r="Q28" s="105">
        <f t="shared" si="2"/>
        <v>0</v>
      </c>
      <c r="R28" s="107"/>
      <c r="S28" s="107"/>
      <c r="T28" s="107"/>
      <c r="U28" s="107"/>
      <c r="V28" s="107"/>
    </row>
    <row r="29" spans="1:22" s="12" customFormat="1" ht="19.149999999999999" customHeight="1" thickBot="1" x14ac:dyDescent="0.25">
      <c r="A29" s="177"/>
      <c r="B29" s="177"/>
      <c r="C29" s="177"/>
      <c r="D29" s="107"/>
      <c r="E29" s="14"/>
      <c r="F29" s="24"/>
      <c r="G29" s="25"/>
      <c r="H29" s="17"/>
      <c r="I29" s="18"/>
      <c r="J29" s="19"/>
      <c r="K29" s="14"/>
      <c r="L29" s="100"/>
      <c r="M29" s="20"/>
      <c r="N29" s="21"/>
      <c r="O29" s="107"/>
      <c r="P29" s="22">
        <v>46600</v>
      </c>
      <c r="Q29" s="105">
        <f t="shared" si="2"/>
        <v>0</v>
      </c>
      <c r="R29" s="107"/>
      <c r="S29" s="107"/>
      <c r="T29" s="107"/>
      <c r="U29" s="107"/>
      <c r="V29" s="107"/>
    </row>
    <row r="30" spans="1:22" s="12" customFormat="1" ht="19.149999999999999" customHeight="1" x14ac:dyDescent="0.2">
      <c r="A30" s="71" t="s">
        <v>161</v>
      </c>
      <c r="B30" s="109" t="s">
        <v>162</v>
      </c>
      <c r="C30" s="109" t="s">
        <v>163</v>
      </c>
      <c r="D30" s="107"/>
      <c r="E30" s="14"/>
      <c r="F30" s="24"/>
      <c r="G30" s="25"/>
      <c r="H30" s="17"/>
      <c r="I30" s="18"/>
      <c r="J30" s="19"/>
      <c r="K30" s="14"/>
      <c r="L30" s="100"/>
      <c r="M30" s="20"/>
      <c r="N30" s="21"/>
      <c r="O30" s="107"/>
      <c r="P30" s="22">
        <v>46631</v>
      </c>
      <c r="Q30" s="105">
        <f t="shared" si="2"/>
        <v>0</v>
      </c>
      <c r="R30" s="107"/>
      <c r="S30" s="107"/>
      <c r="T30" s="107"/>
      <c r="U30" s="107"/>
      <c r="V30" s="107"/>
    </row>
    <row r="31" spans="1:22" s="12" customFormat="1" ht="19.149999999999999" customHeight="1" x14ac:dyDescent="0.2">
      <c r="A31" s="72">
        <f>SUMIFS(H2:H167,G2:G167,"&lt;&gt;")</f>
        <v>0</v>
      </c>
      <c r="B31" s="55">
        <f>SUMIFS(I2:I167,G2:G167,"&lt;&gt;")</f>
        <v>0</v>
      </c>
      <c r="C31" s="55">
        <f>A31+B31</f>
        <v>0</v>
      </c>
      <c r="D31" s="107"/>
      <c r="E31" s="14"/>
      <c r="F31" s="24"/>
      <c r="G31" s="25"/>
      <c r="H31" s="17"/>
      <c r="I31" s="18"/>
      <c r="J31" s="19"/>
      <c r="K31" s="14"/>
      <c r="L31" s="100"/>
      <c r="M31" s="20"/>
      <c r="N31" s="21"/>
      <c r="O31" s="107"/>
      <c r="P31" s="22">
        <v>46661</v>
      </c>
      <c r="Q31" s="105">
        <f t="shared" si="2"/>
        <v>0</v>
      </c>
      <c r="R31" s="107"/>
      <c r="S31" s="107"/>
      <c r="T31" s="107"/>
      <c r="U31" s="107"/>
      <c r="V31" s="107"/>
    </row>
    <row r="32" spans="1:22" s="12" customFormat="1" ht="19.149999999999999" customHeight="1" x14ac:dyDescent="0.2">
      <c r="A32" s="221" t="s">
        <v>163</v>
      </c>
      <c r="B32" s="221"/>
      <c r="C32" s="221"/>
      <c r="D32" s="107"/>
      <c r="E32" s="14"/>
      <c r="F32" s="24"/>
      <c r="G32" s="25"/>
      <c r="H32" s="17"/>
      <c r="I32" s="18"/>
      <c r="J32" s="19"/>
      <c r="K32" s="14"/>
      <c r="L32" s="100"/>
      <c r="M32" s="20"/>
      <c r="N32" s="21"/>
      <c r="O32" s="107"/>
      <c r="P32" s="22">
        <v>46692</v>
      </c>
      <c r="Q32" s="105">
        <f t="shared" si="2"/>
        <v>0</v>
      </c>
      <c r="R32" s="107"/>
      <c r="S32" s="107"/>
      <c r="T32" s="107"/>
      <c r="U32" s="107"/>
      <c r="V32" s="107"/>
    </row>
    <row r="33" spans="1:22" s="12" customFormat="1" ht="19.149999999999999" customHeight="1" x14ac:dyDescent="0.2">
      <c r="A33" s="220" t="s">
        <v>167</v>
      </c>
      <c r="B33" s="220"/>
      <c r="C33" s="220"/>
      <c r="D33" s="107"/>
      <c r="E33" s="14"/>
      <c r="F33" s="24"/>
      <c r="G33" s="25"/>
      <c r="H33" s="17"/>
      <c r="I33" s="18"/>
      <c r="J33" s="19"/>
      <c r="K33" s="14"/>
      <c r="L33" s="100"/>
      <c r="M33" s="20"/>
      <c r="N33" s="21"/>
      <c r="O33" s="107"/>
      <c r="P33" s="22">
        <v>46722</v>
      </c>
      <c r="Q33" s="105">
        <f t="shared" si="2"/>
        <v>26217.56</v>
      </c>
      <c r="R33" s="107"/>
      <c r="S33" s="107"/>
      <c r="T33" s="107"/>
      <c r="U33" s="107"/>
      <c r="V33" s="107"/>
    </row>
    <row r="34" spans="1:22" s="12" customFormat="1" ht="19.149999999999999" customHeight="1" x14ac:dyDescent="0.2">
      <c r="A34" s="220" t="s">
        <v>169</v>
      </c>
      <c r="B34" s="220"/>
      <c r="C34" s="220"/>
      <c r="D34" s="107"/>
      <c r="E34" s="14"/>
      <c r="F34" s="24"/>
      <c r="G34" s="25"/>
      <c r="H34" s="17"/>
      <c r="I34" s="18"/>
      <c r="J34" s="19"/>
      <c r="K34" s="14"/>
      <c r="L34" s="100"/>
      <c r="M34" s="20"/>
      <c r="N34" s="21"/>
      <c r="O34" s="107"/>
      <c r="P34" s="22">
        <v>46753</v>
      </c>
      <c r="Q34" s="105">
        <f t="shared" si="2"/>
        <v>0</v>
      </c>
      <c r="R34" s="107"/>
      <c r="S34" s="107"/>
      <c r="T34" s="107"/>
      <c r="U34" s="107"/>
      <c r="V34" s="107"/>
    </row>
    <row r="35" spans="1:22" s="12" customFormat="1" ht="19.149999999999999" customHeight="1" x14ac:dyDescent="0.2">
      <c r="A35" s="220" t="s">
        <v>239</v>
      </c>
      <c r="B35" s="220"/>
      <c r="C35" s="220"/>
      <c r="D35" s="107"/>
      <c r="E35" s="14"/>
      <c r="F35" s="24"/>
      <c r="G35" s="25"/>
      <c r="H35" s="17"/>
      <c r="I35" s="18"/>
      <c r="J35" s="19"/>
      <c r="K35" s="14"/>
      <c r="L35" s="100"/>
      <c r="M35" s="20"/>
      <c r="N35" s="21"/>
      <c r="O35" s="107"/>
      <c r="P35" s="22">
        <v>46784</v>
      </c>
      <c r="Q35" s="105">
        <f t="shared" si="2"/>
        <v>0</v>
      </c>
      <c r="R35" s="107"/>
      <c r="S35" s="107"/>
      <c r="T35" s="107"/>
      <c r="U35" s="107"/>
      <c r="V35" s="107"/>
    </row>
    <row r="36" spans="1:22" s="12" customFormat="1" ht="19.149999999999999" customHeight="1" x14ac:dyDescent="0.2">
      <c r="A36" s="220" t="s">
        <v>174</v>
      </c>
      <c r="B36" s="220"/>
      <c r="C36" s="220"/>
      <c r="D36" s="107"/>
      <c r="E36" s="14"/>
      <c r="F36" s="24"/>
      <c r="G36" s="25"/>
      <c r="H36" s="17"/>
      <c r="I36" s="18"/>
      <c r="J36" s="19"/>
      <c r="K36" s="14"/>
      <c r="L36" s="100"/>
      <c r="M36" s="20"/>
      <c r="N36" s="21"/>
      <c r="O36" s="107"/>
      <c r="P36" s="22">
        <v>46813</v>
      </c>
      <c r="Q36" s="105">
        <f t="shared" si="2"/>
        <v>0</v>
      </c>
      <c r="R36" s="107"/>
      <c r="S36" s="107"/>
      <c r="T36" s="107"/>
      <c r="U36" s="107"/>
      <c r="V36" s="107"/>
    </row>
    <row r="37" spans="1:22" s="12" customFormat="1" ht="19.149999999999999" customHeight="1" x14ac:dyDescent="0.2">
      <c r="A37" s="220" t="s">
        <v>240</v>
      </c>
      <c r="B37" s="220"/>
      <c r="C37" s="220"/>
      <c r="D37" s="107"/>
      <c r="E37" s="14"/>
      <c r="F37" s="24"/>
      <c r="G37" s="25"/>
      <c r="H37" s="17"/>
      <c r="I37" s="18"/>
      <c r="J37" s="19"/>
      <c r="K37" s="14"/>
      <c r="L37" s="100"/>
      <c r="M37" s="20"/>
      <c r="N37" s="21"/>
      <c r="O37" s="107"/>
      <c r="P37" s="22">
        <v>46844</v>
      </c>
      <c r="Q37" s="105">
        <f t="shared" si="2"/>
        <v>0</v>
      </c>
      <c r="R37" s="107"/>
      <c r="S37" s="107"/>
      <c r="T37" s="107"/>
      <c r="U37" s="107"/>
      <c r="V37" s="107"/>
    </row>
    <row r="38" spans="1:22" s="12" customFormat="1" ht="19.149999999999999" customHeight="1" x14ac:dyDescent="0.2">
      <c r="A38" s="231"/>
      <c r="B38" s="231"/>
      <c r="C38" s="231"/>
      <c r="D38" s="107"/>
      <c r="E38" s="14"/>
      <c r="F38" s="24"/>
      <c r="G38" s="25"/>
      <c r="H38" s="17"/>
      <c r="I38" s="18"/>
      <c r="J38" s="19"/>
      <c r="K38" s="14"/>
      <c r="L38" s="100"/>
      <c r="M38" s="20"/>
      <c r="N38" s="21"/>
      <c r="O38" s="107"/>
      <c r="P38" s="22">
        <v>46874</v>
      </c>
      <c r="Q38" s="105">
        <f t="shared" si="2"/>
        <v>0</v>
      </c>
      <c r="R38" s="107"/>
      <c r="S38" s="107"/>
      <c r="T38" s="107"/>
      <c r="U38" s="107"/>
      <c r="V38" s="107"/>
    </row>
    <row r="39" spans="1:22" s="12" customFormat="1" ht="19.149999999999999" customHeight="1" x14ac:dyDescent="0.2">
      <c r="A39" s="220" t="s">
        <v>37</v>
      </c>
      <c r="B39" s="220"/>
      <c r="C39" s="220"/>
      <c r="D39" s="107"/>
      <c r="E39" s="14"/>
      <c r="F39" s="24"/>
      <c r="G39" s="25"/>
      <c r="H39" s="17"/>
      <c r="I39" s="18"/>
      <c r="J39" s="19"/>
      <c r="K39" s="14"/>
      <c r="L39" s="100"/>
      <c r="M39" s="20"/>
      <c r="N39" s="21"/>
      <c r="O39" s="107"/>
      <c r="P39" s="22">
        <v>46905</v>
      </c>
      <c r="Q39" s="105">
        <f t="shared" si="2"/>
        <v>0</v>
      </c>
      <c r="R39" s="107"/>
      <c r="S39" s="107"/>
      <c r="T39" s="107"/>
      <c r="U39" s="107"/>
      <c r="V39" s="107"/>
    </row>
    <row r="40" spans="1:22" s="12" customFormat="1" ht="19.149999999999999" customHeight="1" x14ac:dyDescent="0.2">
      <c r="A40" s="220" t="s">
        <v>38</v>
      </c>
      <c r="B40" s="220"/>
      <c r="C40" s="220"/>
      <c r="D40" s="107"/>
      <c r="E40" s="14"/>
      <c r="F40" s="24"/>
      <c r="G40" s="25"/>
      <c r="H40" s="17"/>
      <c r="I40" s="18"/>
      <c r="J40" s="19"/>
      <c r="K40" s="14"/>
      <c r="L40" s="100"/>
      <c r="M40" s="20"/>
      <c r="N40" s="21"/>
      <c r="O40" s="107"/>
      <c r="P40" s="22">
        <v>46935</v>
      </c>
      <c r="Q40" s="105">
        <f t="shared" si="2"/>
        <v>0</v>
      </c>
      <c r="R40" s="107"/>
      <c r="S40" s="107"/>
      <c r="T40" s="107"/>
      <c r="U40" s="107"/>
      <c r="V40" s="107"/>
    </row>
    <row r="41" spans="1:22" s="12" customFormat="1" ht="19.149999999999999" customHeight="1" x14ac:dyDescent="0.2">
      <c r="A41" s="221" t="s">
        <v>163</v>
      </c>
      <c r="B41" s="221"/>
      <c r="C41" s="221"/>
      <c r="D41" s="107"/>
      <c r="E41" s="14"/>
      <c r="F41" s="24"/>
      <c r="G41" s="25"/>
      <c r="H41" s="17"/>
      <c r="I41" s="18"/>
      <c r="J41" s="19"/>
      <c r="K41" s="14"/>
      <c r="L41" s="100"/>
      <c r="M41" s="20"/>
      <c r="N41" s="21"/>
      <c r="O41" s="107"/>
      <c r="P41" s="22">
        <v>46966</v>
      </c>
      <c r="Q41" s="105">
        <f t="shared" si="2"/>
        <v>0</v>
      </c>
      <c r="R41" s="107"/>
      <c r="S41" s="107"/>
      <c r="T41" s="107"/>
      <c r="U41" s="107"/>
      <c r="V41" s="107"/>
    </row>
    <row r="42" spans="1:22" s="12" customFormat="1" ht="19.149999999999999" customHeight="1" x14ac:dyDescent="0.2">
      <c r="A42" s="221" t="s">
        <v>163</v>
      </c>
      <c r="B42" s="221"/>
      <c r="C42" s="221"/>
      <c r="D42" s="107"/>
      <c r="E42" s="14"/>
      <c r="F42" s="24"/>
      <c r="G42" s="25"/>
      <c r="H42" s="17"/>
      <c r="I42" s="18"/>
      <c r="J42" s="19"/>
      <c r="K42" s="14"/>
      <c r="L42" s="100"/>
      <c r="M42" s="20"/>
      <c r="N42" s="21"/>
      <c r="O42" s="107"/>
      <c r="P42" s="22">
        <v>46997</v>
      </c>
      <c r="Q42" s="105">
        <f t="shared" si="2"/>
        <v>0</v>
      </c>
      <c r="R42" s="107"/>
      <c r="S42" s="107"/>
      <c r="T42" s="107"/>
      <c r="U42" s="107"/>
      <c r="V42" s="107"/>
    </row>
    <row r="43" spans="1:22" s="12" customFormat="1" ht="19.149999999999999" customHeight="1" x14ac:dyDescent="0.2">
      <c r="A43" s="107"/>
      <c r="B43" s="107"/>
      <c r="C43" s="177"/>
      <c r="D43" s="107"/>
      <c r="E43" s="14"/>
      <c r="F43" s="24"/>
      <c r="G43" s="25"/>
      <c r="H43" s="17"/>
      <c r="I43" s="18"/>
      <c r="J43" s="19"/>
      <c r="K43" s="14"/>
      <c r="L43" s="100"/>
      <c r="M43" s="20"/>
      <c r="N43" s="21"/>
      <c r="O43" s="107"/>
      <c r="P43" s="22">
        <v>47027</v>
      </c>
      <c r="Q43" s="105">
        <f t="shared" si="2"/>
        <v>0</v>
      </c>
      <c r="R43" s="107"/>
      <c r="S43" s="107"/>
      <c r="T43" s="107"/>
      <c r="U43" s="107"/>
      <c r="V43" s="107"/>
    </row>
    <row r="44" spans="1:22" s="12" customFormat="1" ht="19.149999999999999" customHeight="1" x14ac:dyDescent="0.2">
      <c r="A44" s="74"/>
      <c r="B44" s="74"/>
      <c r="C44" s="74"/>
      <c r="D44" s="107"/>
      <c r="E44" s="14"/>
      <c r="F44" s="24"/>
      <c r="G44" s="25"/>
      <c r="H44" s="17"/>
      <c r="I44" s="18"/>
      <c r="J44" s="19"/>
      <c r="K44" s="14"/>
      <c r="L44" s="100"/>
      <c r="M44" s="20"/>
      <c r="N44" s="21"/>
      <c r="O44" s="107"/>
      <c r="P44" s="22">
        <v>47058</v>
      </c>
      <c r="Q44" s="105">
        <f t="shared" si="2"/>
        <v>0</v>
      </c>
      <c r="R44" s="107"/>
      <c r="S44" s="107"/>
      <c r="T44" s="107"/>
      <c r="U44" s="107"/>
      <c r="V44" s="107"/>
    </row>
    <row r="45" spans="1:22" s="12" customFormat="1" ht="19.149999999999999" customHeight="1" x14ac:dyDescent="0.2">
      <c r="A45" s="220"/>
      <c r="B45" s="220"/>
      <c r="C45" s="220"/>
      <c r="D45" s="107"/>
      <c r="E45" s="14"/>
      <c r="F45" s="24"/>
      <c r="G45" s="25"/>
      <c r="H45" s="17"/>
      <c r="I45" s="18"/>
      <c r="J45" s="19"/>
      <c r="K45" s="14"/>
      <c r="L45" s="100"/>
      <c r="M45" s="20"/>
      <c r="N45" s="21"/>
      <c r="O45" s="107"/>
      <c r="P45" s="22">
        <v>47088</v>
      </c>
      <c r="Q45" s="105">
        <f t="shared" si="2"/>
        <v>0</v>
      </c>
      <c r="R45" s="107"/>
      <c r="S45" s="107"/>
      <c r="T45" s="107"/>
      <c r="U45" s="107"/>
      <c r="V45" s="107"/>
    </row>
    <row r="46" spans="1:22" s="12" customFormat="1" ht="19.149999999999999" customHeight="1" x14ac:dyDescent="0.2">
      <c r="A46" s="220"/>
      <c r="B46" s="220"/>
      <c r="C46" s="220"/>
      <c r="D46" s="107"/>
      <c r="E46" s="14"/>
      <c r="F46" s="24"/>
      <c r="G46" s="25"/>
      <c r="H46" s="17"/>
      <c r="I46" s="18"/>
      <c r="J46" s="19"/>
      <c r="K46" s="14"/>
      <c r="L46" s="100"/>
      <c r="M46" s="20"/>
      <c r="N46" s="21"/>
      <c r="O46" s="107"/>
      <c r="P46" s="22">
        <v>47119</v>
      </c>
      <c r="Q46" s="105">
        <f t="shared" si="2"/>
        <v>0</v>
      </c>
      <c r="R46" s="107"/>
      <c r="S46" s="107"/>
      <c r="T46" s="107"/>
      <c r="U46" s="107"/>
      <c r="V46" s="107"/>
    </row>
    <row r="47" spans="1:22" s="12" customFormat="1" ht="19.149999999999999" customHeight="1" x14ac:dyDescent="0.2">
      <c r="A47" s="220"/>
      <c r="B47" s="220"/>
      <c r="C47" s="220"/>
      <c r="D47" s="107"/>
      <c r="E47" s="14"/>
      <c r="F47" s="24"/>
      <c r="G47" s="25"/>
      <c r="H47" s="17"/>
      <c r="I47" s="18"/>
      <c r="J47" s="19"/>
      <c r="K47" s="14"/>
      <c r="L47" s="100"/>
      <c r="M47" s="20"/>
      <c r="N47" s="21"/>
      <c r="O47" s="107"/>
      <c r="P47" s="22">
        <v>47150</v>
      </c>
      <c r="Q47" s="105">
        <f t="shared" si="2"/>
        <v>0</v>
      </c>
      <c r="R47" s="107"/>
      <c r="S47" s="107"/>
      <c r="T47" s="107"/>
      <c r="U47" s="107"/>
      <c r="V47" s="107"/>
    </row>
    <row r="48" spans="1:22" s="12" customFormat="1" ht="19.149999999999999" customHeight="1" x14ac:dyDescent="0.2">
      <c r="A48" s="220"/>
      <c r="B48" s="220"/>
      <c r="C48" s="220"/>
      <c r="D48" s="107"/>
      <c r="E48" s="14"/>
      <c r="F48" s="24"/>
      <c r="G48" s="25"/>
      <c r="H48" s="17"/>
      <c r="I48" s="18"/>
      <c r="J48" s="19"/>
      <c r="K48" s="14"/>
      <c r="L48" s="100"/>
      <c r="M48" s="20"/>
      <c r="N48" s="21"/>
      <c r="O48" s="107"/>
      <c r="P48" s="22">
        <v>47178</v>
      </c>
      <c r="Q48" s="105">
        <f t="shared" si="2"/>
        <v>0</v>
      </c>
      <c r="R48" s="107"/>
      <c r="S48" s="107"/>
      <c r="T48" s="107"/>
      <c r="U48" s="107"/>
      <c r="V48" s="107"/>
    </row>
    <row r="49" spans="1:22" s="12" customFormat="1" ht="19.149999999999999" customHeight="1" x14ac:dyDescent="0.2">
      <c r="A49" s="220"/>
      <c r="B49" s="220"/>
      <c r="C49" s="220"/>
      <c r="D49" s="107"/>
      <c r="E49" s="14"/>
      <c r="F49" s="24"/>
      <c r="G49" s="25"/>
      <c r="H49" s="17"/>
      <c r="I49" s="18"/>
      <c r="J49" s="19"/>
      <c r="K49" s="14"/>
      <c r="L49" s="100"/>
      <c r="M49" s="20"/>
      <c r="N49" s="21"/>
      <c r="O49" s="107"/>
      <c r="P49" s="22">
        <v>47209</v>
      </c>
      <c r="Q49" s="105">
        <f t="shared" si="2"/>
        <v>0</v>
      </c>
      <c r="R49" s="107"/>
      <c r="S49" s="107"/>
      <c r="T49" s="107"/>
      <c r="U49" s="107"/>
      <c r="V49" s="107"/>
    </row>
    <row r="50" spans="1:22" s="12" customFormat="1" ht="19.149999999999999" customHeight="1" x14ac:dyDescent="0.2">
      <c r="A50" s="231"/>
      <c r="B50" s="231"/>
      <c r="C50" s="231"/>
      <c r="D50" s="107"/>
      <c r="E50" s="14"/>
      <c r="F50" s="24"/>
      <c r="G50" s="25"/>
      <c r="H50" s="17"/>
      <c r="I50" s="18"/>
      <c r="J50" s="19"/>
      <c r="K50" s="14"/>
      <c r="L50" s="100"/>
      <c r="M50" s="20"/>
      <c r="N50" s="21"/>
      <c r="O50" s="107"/>
      <c r="P50" s="22">
        <v>47239</v>
      </c>
      <c r="Q50" s="105">
        <f t="shared" si="2"/>
        <v>0</v>
      </c>
      <c r="R50" s="107"/>
      <c r="S50" s="107"/>
      <c r="T50" s="107"/>
      <c r="U50" s="107"/>
      <c r="V50" s="107"/>
    </row>
    <row r="51" spans="1:22" s="12" customFormat="1" ht="19.149999999999999" customHeight="1" x14ac:dyDescent="0.2">
      <c r="A51" s="220"/>
      <c r="B51" s="220"/>
      <c r="C51" s="220"/>
      <c r="D51" s="107"/>
      <c r="E51" s="14"/>
      <c r="F51" s="24"/>
      <c r="G51" s="25"/>
      <c r="H51" s="17"/>
      <c r="I51" s="18"/>
      <c r="J51" s="19"/>
      <c r="K51" s="14"/>
      <c r="L51" s="100"/>
      <c r="M51" s="20"/>
      <c r="N51" s="21"/>
      <c r="O51" s="107"/>
      <c r="P51" s="22">
        <v>47270</v>
      </c>
      <c r="Q51" s="105">
        <f t="shared" si="2"/>
        <v>0</v>
      </c>
      <c r="R51" s="107"/>
      <c r="S51" s="107"/>
      <c r="T51" s="107"/>
      <c r="U51" s="107"/>
      <c r="V51" s="107"/>
    </row>
    <row r="52" spans="1:22" s="12" customFormat="1" ht="19.149999999999999" customHeight="1" x14ac:dyDescent="0.2">
      <c r="A52" s="220"/>
      <c r="B52" s="220"/>
      <c r="C52" s="220"/>
      <c r="D52" s="107"/>
      <c r="E52" s="14"/>
      <c r="F52" s="24"/>
      <c r="G52" s="25"/>
      <c r="H52" s="17"/>
      <c r="I52" s="18"/>
      <c r="J52" s="19"/>
      <c r="K52" s="14"/>
      <c r="L52" s="100"/>
      <c r="M52" s="20"/>
      <c r="N52" s="21"/>
      <c r="O52" s="107"/>
      <c r="P52" s="22">
        <v>47300</v>
      </c>
      <c r="Q52" s="105">
        <f t="shared" si="2"/>
        <v>0</v>
      </c>
      <c r="R52" s="107"/>
      <c r="S52" s="107"/>
      <c r="T52" s="107"/>
      <c r="U52" s="107"/>
      <c r="V52" s="107"/>
    </row>
    <row r="53" spans="1:22" s="12" customFormat="1" ht="19.149999999999999" customHeight="1" x14ac:dyDescent="0.2">
      <c r="A53" s="177"/>
      <c r="B53" s="177"/>
      <c r="C53" s="177"/>
      <c r="D53" s="107"/>
      <c r="E53" s="14"/>
      <c r="F53" s="24"/>
      <c r="G53" s="25"/>
      <c r="H53" s="17"/>
      <c r="I53" s="18"/>
      <c r="J53" s="19"/>
      <c r="K53" s="14"/>
      <c r="L53" s="100"/>
      <c r="M53" s="20"/>
      <c r="N53" s="21"/>
      <c r="O53" s="107"/>
      <c r="P53" s="22">
        <v>47331</v>
      </c>
      <c r="Q53" s="105">
        <f t="shared" si="2"/>
        <v>0</v>
      </c>
      <c r="R53" s="107"/>
      <c r="S53" s="107"/>
      <c r="T53" s="107"/>
      <c r="U53" s="107"/>
      <c r="V53" s="107"/>
    </row>
    <row r="54" spans="1:22" s="12" customFormat="1" ht="19.149999999999999" customHeight="1" x14ac:dyDescent="0.2">
      <c r="A54" s="177"/>
      <c r="B54" s="177"/>
      <c r="C54" s="177"/>
      <c r="D54" s="107"/>
      <c r="E54" s="14"/>
      <c r="F54" s="24"/>
      <c r="G54" s="25"/>
      <c r="H54" s="17"/>
      <c r="I54" s="18"/>
      <c r="J54" s="19"/>
      <c r="K54" s="14"/>
      <c r="L54" s="100"/>
      <c r="M54" s="20"/>
      <c r="N54" s="21"/>
      <c r="O54" s="107"/>
      <c r="P54" s="22">
        <v>47362</v>
      </c>
      <c r="Q54" s="105">
        <f t="shared" si="2"/>
        <v>0</v>
      </c>
      <c r="R54" s="107"/>
      <c r="S54" s="107"/>
      <c r="T54" s="107"/>
      <c r="U54" s="107"/>
      <c r="V54" s="107"/>
    </row>
    <row r="55" spans="1:22" s="12" customFormat="1" ht="19.149999999999999" customHeight="1" x14ac:dyDescent="0.2">
      <c r="A55" s="177"/>
      <c r="B55" s="177"/>
      <c r="C55" s="177"/>
      <c r="D55" s="107"/>
      <c r="E55" s="14"/>
      <c r="F55" s="24"/>
      <c r="G55" s="25"/>
      <c r="H55" s="17"/>
      <c r="I55" s="18"/>
      <c r="J55" s="19"/>
      <c r="K55" s="14"/>
      <c r="L55" s="100"/>
      <c r="M55" s="20"/>
      <c r="N55" s="21"/>
      <c r="O55" s="107"/>
      <c r="P55" s="22">
        <v>47392</v>
      </c>
      <c r="Q55" s="105">
        <f t="shared" si="2"/>
        <v>0</v>
      </c>
      <c r="R55" s="107"/>
      <c r="S55" s="107"/>
      <c r="T55" s="107"/>
      <c r="U55" s="107"/>
      <c r="V55" s="107"/>
    </row>
    <row r="56" spans="1:22" s="12" customFormat="1" ht="19.149999999999999" customHeight="1" x14ac:dyDescent="0.2">
      <c r="A56" s="107"/>
      <c r="B56" s="107"/>
      <c r="C56" s="107"/>
      <c r="D56" s="107"/>
      <c r="E56" s="14"/>
      <c r="F56" s="24"/>
      <c r="G56" s="25"/>
      <c r="H56" s="17"/>
      <c r="I56" s="18"/>
      <c r="J56" s="19"/>
      <c r="K56" s="14"/>
      <c r="L56" s="100"/>
      <c r="M56" s="20"/>
      <c r="N56" s="21"/>
      <c r="O56" s="107"/>
      <c r="P56" s="22">
        <v>47423</v>
      </c>
      <c r="Q56" s="105">
        <f t="shared" si="2"/>
        <v>0</v>
      </c>
      <c r="R56" s="107"/>
      <c r="S56" s="107"/>
      <c r="T56" s="107"/>
      <c r="U56" s="107"/>
      <c r="V56" s="107"/>
    </row>
    <row r="57" spans="1:22" s="12" customFormat="1" ht="19.149999999999999" customHeight="1" x14ac:dyDescent="0.2">
      <c r="A57" s="107"/>
      <c r="B57" s="107"/>
      <c r="C57" s="107"/>
      <c r="D57" s="107"/>
      <c r="E57" s="14"/>
      <c r="F57" s="24"/>
      <c r="G57" s="25"/>
      <c r="H57" s="17"/>
      <c r="I57" s="18"/>
      <c r="J57" s="19"/>
      <c r="K57" s="14"/>
      <c r="L57" s="100"/>
      <c r="M57" s="20"/>
      <c r="N57" s="21"/>
      <c r="O57" s="107"/>
      <c r="P57" s="22">
        <v>47453</v>
      </c>
      <c r="Q57" s="105">
        <f t="shared" si="2"/>
        <v>0</v>
      </c>
      <c r="R57" s="107"/>
      <c r="S57" s="107"/>
      <c r="T57" s="107"/>
      <c r="U57" s="107"/>
      <c r="V57" s="107"/>
    </row>
    <row r="58" spans="1:22" s="12" customFormat="1" ht="19.149999999999999" customHeight="1" x14ac:dyDescent="0.2">
      <c r="A58" s="107"/>
      <c r="B58" s="107"/>
      <c r="C58" s="107"/>
      <c r="D58" s="107"/>
      <c r="E58" s="14"/>
      <c r="F58" s="24"/>
      <c r="G58" s="25"/>
      <c r="H58" s="17"/>
      <c r="I58" s="18"/>
      <c r="J58" s="19"/>
      <c r="K58" s="14"/>
      <c r="L58" s="100"/>
      <c r="M58" s="20"/>
      <c r="N58" s="21"/>
      <c r="O58" s="107"/>
      <c r="P58" s="22">
        <v>47484</v>
      </c>
      <c r="Q58" s="105">
        <f t="shared" si="2"/>
        <v>0</v>
      </c>
      <c r="R58" s="107"/>
      <c r="S58" s="107"/>
      <c r="T58" s="107"/>
      <c r="U58" s="107"/>
      <c r="V58" s="107"/>
    </row>
    <row r="59" spans="1:22" s="12" customFormat="1" ht="19.149999999999999" customHeight="1" x14ac:dyDescent="0.2">
      <c r="A59" s="107"/>
      <c r="B59" s="107"/>
      <c r="C59" s="107"/>
      <c r="D59" s="107"/>
      <c r="E59" s="14"/>
      <c r="F59" s="24"/>
      <c r="G59" s="25"/>
      <c r="H59" s="17"/>
      <c r="I59" s="18"/>
      <c r="J59" s="19"/>
      <c r="K59" s="14"/>
      <c r="L59" s="100"/>
      <c r="M59" s="20"/>
      <c r="N59" s="21"/>
      <c r="O59" s="107"/>
      <c r="P59" s="22">
        <v>47515</v>
      </c>
      <c r="Q59" s="105">
        <f t="shared" si="2"/>
        <v>0</v>
      </c>
      <c r="R59" s="107"/>
      <c r="S59" s="107"/>
      <c r="T59" s="107"/>
      <c r="U59" s="107"/>
      <c r="V59" s="107"/>
    </row>
    <row r="60" spans="1:22" s="12" customFormat="1" ht="19.149999999999999" customHeight="1" x14ac:dyDescent="0.2">
      <c r="A60" s="107"/>
      <c r="B60" s="107"/>
      <c r="C60" s="107"/>
      <c r="D60" s="107"/>
      <c r="E60" s="14"/>
      <c r="F60" s="24"/>
      <c r="G60" s="25"/>
      <c r="H60" s="17"/>
      <c r="I60" s="18"/>
      <c r="J60" s="19"/>
      <c r="K60" s="14"/>
      <c r="L60" s="100"/>
      <c r="M60" s="20"/>
      <c r="N60" s="21"/>
      <c r="O60" s="107"/>
      <c r="P60" s="22">
        <v>47543</v>
      </c>
      <c r="Q60" s="105">
        <f t="shared" si="2"/>
        <v>0</v>
      </c>
      <c r="R60" s="107"/>
      <c r="S60" s="107"/>
      <c r="T60" s="107"/>
      <c r="U60" s="107"/>
      <c r="V60" s="107"/>
    </row>
    <row r="61" spans="1:22" s="12" customFormat="1" ht="19.149999999999999" customHeight="1" x14ac:dyDescent="0.2">
      <c r="A61" s="107"/>
      <c r="B61" s="107"/>
      <c r="C61" s="107"/>
      <c r="D61" s="107"/>
      <c r="E61" s="14"/>
      <c r="F61" s="24"/>
      <c r="G61" s="25"/>
      <c r="H61" s="17"/>
      <c r="I61" s="18"/>
      <c r="J61" s="19"/>
      <c r="K61" s="14"/>
      <c r="L61" s="100"/>
      <c r="M61" s="20"/>
      <c r="N61" s="21"/>
      <c r="O61" s="107"/>
      <c r="P61" s="22">
        <v>47574</v>
      </c>
      <c r="Q61" s="105">
        <f t="shared" si="2"/>
        <v>0</v>
      </c>
      <c r="R61" s="107"/>
      <c r="S61" s="107"/>
      <c r="T61" s="107"/>
      <c r="U61" s="107"/>
      <c r="V61" s="107"/>
    </row>
    <row r="62" spans="1:22" s="12" customFormat="1" ht="19.149999999999999" customHeight="1" x14ac:dyDescent="0.2">
      <c r="A62" s="107"/>
      <c r="B62" s="107"/>
      <c r="C62" s="107"/>
      <c r="D62" s="107"/>
      <c r="E62" s="14"/>
      <c r="F62" s="24"/>
      <c r="G62" s="25"/>
      <c r="H62" s="17"/>
      <c r="I62" s="18"/>
      <c r="J62" s="19"/>
      <c r="K62" s="14"/>
      <c r="L62" s="100"/>
      <c r="M62" s="20"/>
      <c r="N62" s="21"/>
      <c r="O62" s="107"/>
      <c r="P62" s="22">
        <v>47604</v>
      </c>
      <c r="Q62" s="105">
        <f t="shared" si="2"/>
        <v>0</v>
      </c>
      <c r="R62" s="107"/>
      <c r="S62" s="107"/>
      <c r="T62" s="107"/>
      <c r="U62" s="107"/>
      <c r="V62" s="107"/>
    </row>
    <row r="63" spans="1:22" s="12" customFormat="1" ht="19.149999999999999" customHeight="1" x14ac:dyDescent="0.2">
      <c r="A63" s="107"/>
      <c r="B63" s="107"/>
      <c r="C63" s="107"/>
      <c r="D63" s="107"/>
      <c r="E63" s="14"/>
      <c r="F63" s="24"/>
      <c r="G63" s="25"/>
      <c r="H63" s="17"/>
      <c r="I63" s="18"/>
      <c r="J63" s="19"/>
      <c r="K63" s="14"/>
      <c r="L63" s="100"/>
      <c r="M63" s="20"/>
      <c r="N63" s="21"/>
      <c r="O63" s="107"/>
      <c r="P63" s="22">
        <v>47635</v>
      </c>
      <c r="Q63" s="105">
        <f t="shared" si="2"/>
        <v>0</v>
      </c>
      <c r="R63" s="107"/>
      <c r="S63" s="107"/>
      <c r="T63" s="107"/>
      <c r="U63" s="107"/>
      <c r="V63" s="107"/>
    </row>
    <row r="64" spans="1:22" s="12" customFormat="1" ht="19.149999999999999" customHeight="1" x14ac:dyDescent="0.2">
      <c r="A64" s="107"/>
      <c r="B64" s="107"/>
      <c r="C64" s="107"/>
      <c r="D64" s="107"/>
      <c r="E64" s="14"/>
      <c r="F64" s="24"/>
      <c r="G64" s="25"/>
      <c r="H64" s="17"/>
      <c r="I64" s="18"/>
      <c r="J64" s="19"/>
      <c r="K64" s="14"/>
      <c r="L64" s="100"/>
      <c r="M64" s="20"/>
      <c r="N64" s="21"/>
      <c r="O64" s="107"/>
      <c r="P64" s="22">
        <v>47665</v>
      </c>
      <c r="Q64" s="105">
        <f t="shared" si="2"/>
        <v>0</v>
      </c>
      <c r="R64" s="107"/>
      <c r="S64" s="107"/>
      <c r="T64" s="107"/>
      <c r="U64" s="107"/>
      <c r="V64" s="107"/>
    </row>
    <row r="65" spans="1:22" s="12" customFormat="1" ht="19.149999999999999" customHeight="1" x14ac:dyDescent="0.2">
      <c r="A65" s="107"/>
      <c r="B65" s="107"/>
      <c r="C65" s="107"/>
      <c r="D65" s="107"/>
      <c r="E65" s="14"/>
      <c r="F65" s="24"/>
      <c r="G65" s="25"/>
      <c r="H65" s="17"/>
      <c r="I65" s="18"/>
      <c r="J65" s="19"/>
      <c r="K65" s="14"/>
      <c r="L65" s="100"/>
      <c r="M65" s="20"/>
      <c r="N65" s="21"/>
      <c r="O65" s="107"/>
      <c r="P65" s="22">
        <v>47696</v>
      </c>
      <c r="Q65" s="105">
        <f t="shared" si="2"/>
        <v>0</v>
      </c>
      <c r="R65" s="107"/>
      <c r="S65" s="107"/>
      <c r="T65" s="107"/>
      <c r="U65" s="107"/>
      <c r="V65" s="107"/>
    </row>
    <row r="66" spans="1:22" s="12" customFormat="1" ht="19.149999999999999" customHeight="1" x14ac:dyDescent="0.2">
      <c r="A66" s="107"/>
      <c r="B66" s="107"/>
      <c r="C66" s="107"/>
      <c r="D66" s="107"/>
      <c r="E66" s="14"/>
      <c r="F66" s="24"/>
      <c r="G66" s="25"/>
      <c r="H66" s="17"/>
      <c r="I66" s="18"/>
      <c r="J66" s="19"/>
      <c r="K66" s="14"/>
      <c r="L66" s="100"/>
      <c r="M66" s="20"/>
      <c r="N66" s="21"/>
      <c r="O66" s="107"/>
      <c r="P66" s="22">
        <v>47727</v>
      </c>
      <c r="Q66" s="105">
        <f t="shared" ref="Q66:Q68" si="3">SUMIFS(J$2:J$1000, F$2:F$1000, "&gt;=" &amp; DATE(YEAR(P66), MONTH(P66), 1), F$2:F$1000, "&lt;=" &amp; EOMONTH(P66, 0))</f>
        <v>0</v>
      </c>
      <c r="R66" s="107"/>
      <c r="S66" s="107"/>
      <c r="T66" s="107"/>
      <c r="U66" s="107"/>
      <c r="V66" s="107"/>
    </row>
    <row r="67" spans="1:22" s="12" customFormat="1" ht="19.149999999999999" customHeight="1" x14ac:dyDescent="0.2">
      <c r="A67" s="107"/>
      <c r="B67" s="107"/>
      <c r="C67" s="107"/>
      <c r="D67" s="107"/>
      <c r="E67" s="14"/>
      <c r="F67" s="24"/>
      <c r="G67" s="25"/>
      <c r="H67" s="17"/>
      <c r="I67" s="18"/>
      <c r="J67" s="19"/>
      <c r="K67" s="14"/>
      <c r="L67" s="100"/>
      <c r="M67" s="20"/>
      <c r="N67" s="21"/>
      <c r="O67" s="107"/>
      <c r="P67" s="22">
        <v>47757</v>
      </c>
      <c r="Q67" s="105">
        <f t="shared" si="3"/>
        <v>0</v>
      </c>
      <c r="R67" s="107"/>
      <c r="S67" s="107"/>
      <c r="T67" s="107"/>
      <c r="U67" s="107"/>
      <c r="V67" s="107"/>
    </row>
    <row r="68" spans="1:22" s="12" customFormat="1" ht="19.149999999999999" customHeight="1" x14ac:dyDescent="0.2">
      <c r="A68" s="107"/>
      <c r="B68" s="28"/>
      <c r="C68" s="107"/>
      <c r="D68" s="107"/>
      <c r="E68" s="14"/>
      <c r="F68" s="24"/>
      <c r="G68" s="25"/>
      <c r="H68" s="17"/>
      <c r="I68" s="18"/>
      <c r="J68" s="19"/>
      <c r="K68" s="14"/>
      <c r="L68" s="100"/>
      <c r="M68" s="20"/>
      <c r="N68" s="21"/>
      <c r="O68" s="107"/>
      <c r="P68" s="22">
        <v>47788</v>
      </c>
      <c r="Q68" s="105">
        <f t="shared" si="3"/>
        <v>0</v>
      </c>
      <c r="R68" s="107"/>
      <c r="S68" s="107"/>
      <c r="T68" s="107"/>
      <c r="U68" s="107"/>
      <c r="V68" s="107"/>
    </row>
    <row r="69" spans="1:22" s="12" customFormat="1" ht="19.149999999999999" customHeight="1" x14ac:dyDescent="0.2">
      <c r="A69" s="107"/>
      <c r="B69" s="107"/>
      <c r="C69" s="107"/>
      <c r="D69" s="107"/>
      <c r="E69" s="14"/>
      <c r="F69" s="24"/>
      <c r="G69" s="25"/>
      <c r="H69" s="17"/>
      <c r="I69" s="18"/>
      <c r="J69" s="19"/>
      <c r="K69" s="14"/>
      <c r="L69" s="100"/>
      <c r="M69" s="20"/>
      <c r="N69" s="21"/>
      <c r="O69" s="107"/>
      <c r="P69" s="22"/>
      <c r="Q69" s="23"/>
      <c r="R69" s="107"/>
      <c r="S69" s="107"/>
      <c r="T69" s="107"/>
      <c r="U69" s="107"/>
      <c r="V69" s="107"/>
    </row>
    <row r="70" spans="1:22" s="12" customFormat="1" ht="19.149999999999999" customHeight="1" x14ac:dyDescent="0.2">
      <c r="A70" s="107"/>
      <c r="B70" s="107"/>
      <c r="C70" s="107"/>
      <c r="D70" s="107"/>
      <c r="E70" s="14"/>
      <c r="F70" s="24"/>
      <c r="G70" s="25"/>
      <c r="H70" s="17"/>
      <c r="I70" s="18"/>
      <c r="J70" s="19"/>
      <c r="K70" s="14"/>
      <c r="L70" s="19"/>
      <c r="M70" s="20"/>
      <c r="N70" s="21"/>
      <c r="O70" s="107"/>
      <c r="P70" s="22"/>
      <c r="Q70" s="23"/>
      <c r="R70" s="107"/>
      <c r="S70" s="107"/>
      <c r="T70" s="107"/>
      <c r="U70" s="107"/>
      <c r="V70" s="107"/>
    </row>
    <row r="71" spans="1:22" s="12" customFormat="1" ht="19.149999999999999" customHeight="1" x14ac:dyDescent="0.2">
      <c r="A71" s="107"/>
      <c r="B71" s="107"/>
      <c r="C71" s="107"/>
      <c r="D71" s="107"/>
      <c r="E71" s="14"/>
      <c r="F71" s="24"/>
      <c r="G71" s="25"/>
      <c r="H71" s="17"/>
      <c r="I71" s="18"/>
      <c r="J71" s="19"/>
      <c r="K71" s="14"/>
      <c r="L71" s="19"/>
      <c r="M71" s="20"/>
      <c r="N71" s="21"/>
      <c r="O71" s="107"/>
      <c r="P71" s="22"/>
      <c r="Q71" s="23"/>
      <c r="R71" s="107"/>
      <c r="S71" s="107"/>
      <c r="T71" s="107"/>
      <c r="U71" s="107"/>
      <c r="V71" s="107"/>
    </row>
    <row r="72" spans="1:22" s="12" customFormat="1" ht="19.149999999999999" customHeight="1" x14ac:dyDescent="0.2">
      <c r="A72" s="107"/>
      <c r="B72" s="107"/>
      <c r="C72" s="107"/>
      <c r="D72" s="107"/>
      <c r="E72" s="14"/>
      <c r="F72" s="24"/>
      <c r="G72" s="25"/>
      <c r="H72" s="17"/>
      <c r="I72" s="18"/>
      <c r="J72" s="19"/>
      <c r="K72" s="14"/>
      <c r="L72" s="19"/>
      <c r="M72" s="20"/>
      <c r="N72" s="21"/>
      <c r="O72" s="107"/>
      <c r="P72" s="22"/>
      <c r="Q72" s="23"/>
      <c r="R72" s="107"/>
      <c r="S72" s="107"/>
      <c r="T72" s="107"/>
      <c r="U72" s="107"/>
      <c r="V72" s="107"/>
    </row>
    <row r="73" spans="1:22" s="12" customFormat="1" ht="19.149999999999999" customHeight="1" x14ac:dyDescent="0.2">
      <c r="A73" s="107"/>
      <c r="B73" s="107"/>
      <c r="C73" s="107"/>
      <c r="D73" s="107"/>
      <c r="E73" s="14"/>
      <c r="F73" s="24"/>
      <c r="G73" s="25"/>
      <c r="H73" s="17"/>
      <c r="I73" s="18"/>
      <c r="J73" s="19"/>
      <c r="K73" s="14"/>
      <c r="L73" s="19"/>
      <c r="M73" s="20"/>
      <c r="N73" s="21"/>
      <c r="O73" s="107"/>
      <c r="P73" s="22"/>
      <c r="Q73" s="23"/>
      <c r="R73" s="107"/>
      <c r="S73" s="107"/>
      <c r="T73" s="107"/>
      <c r="U73" s="107"/>
      <c r="V73" s="107"/>
    </row>
    <row r="74" spans="1:22" s="12" customFormat="1" ht="19.149999999999999" customHeight="1" x14ac:dyDescent="0.2">
      <c r="A74" s="107"/>
      <c r="B74" s="107"/>
      <c r="C74" s="107"/>
      <c r="D74" s="107"/>
      <c r="E74" s="14"/>
      <c r="F74" s="24"/>
      <c r="G74" s="25"/>
      <c r="H74" s="17"/>
      <c r="I74" s="18"/>
      <c r="J74" s="19"/>
      <c r="K74" s="14"/>
      <c r="L74" s="19"/>
      <c r="M74" s="20"/>
      <c r="N74" s="21"/>
      <c r="O74" s="107"/>
      <c r="P74" s="22"/>
      <c r="Q74" s="23"/>
      <c r="R74" s="107"/>
      <c r="S74" s="107"/>
      <c r="T74" s="107"/>
      <c r="U74" s="107"/>
      <c r="V74" s="107"/>
    </row>
    <row r="75" spans="1:22" s="12" customFormat="1" ht="19.149999999999999" customHeight="1" x14ac:dyDescent="0.2">
      <c r="A75" s="107"/>
      <c r="B75" s="107"/>
      <c r="C75" s="107"/>
      <c r="D75" s="107"/>
      <c r="E75" s="14"/>
      <c r="F75" s="24"/>
      <c r="G75" s="25"/>
      <c r="H75" s="17"/>
      <c r="I75" s="18"/>
      <c r="J75" s="19"/>
      <c r="K75" s="14"/>
      <c r="L75" s="19"/>
      <c r="M75" s="20"/>
      <c r="N75" s="21"/>
      <c r="O75" s="107"/>
      <c r="P75" s="22"/>
      <c r="Q75" s="23"/>
      <c r="R75" s="107"/>
      <c r="S75" s="107"/>
      <c r="T75" s="107"/>
      <c r="U75" s="107"/>
      <c r="V75" s="107"/>
    </row>
    <row r="76" spans="1:22" s="12" customFormat="1" ht="19.149999999999999" customHeight="1" x14ac:dyDescent="0.2">
      <c r="A76" s="107"/>
      <c r="B76" s="107"/>
      <c r="C76" s="107"/>
      <c r="D76" s="107"/>
      <c r="E76" s="14"/>
      <c r="F76" s="24"/>
      <c r="G76" s="25"/>
      <c r="H76" s="17"/>
      <c r="I76" s="18"/>
      <c r="J76" s="19"/>
      <c r="K76" s="14"/>
      <c r="L76" s="100"/>
      <c r="M76" s="20"/>
      <c r="N76" s="21"/>
      <c r="O76" s="107"/>
      <c r="P76" s="22"/>
      <c r="Q76" s="23"/>
      <c r="R76" s="107"/>
      <c r="S76" s="107"/>
      <c r="T76" s="107"/>
      <c r="U76" s="107"/>
      <c r="V76" s="107"/>
    </row>
    <row r="77" spans="1:22" s="12" customFormat="1" ht="19.149999999999999" customHeight="1" x14ac:dyDescent="0.2">
      <c r="A77" s="107"/>
      <c r="B77" s="107"/>
      <c r="C77" s="107"/>
      <c r="D77" s="107"/>
      <c r="E77" s="14"/>
      <c r="F77" s="24"/>
      <c r="G77" s="25"/>
      <c r="H77" s="17"/>
      <c r="I77" s="18"/>
      <c r="J77" s="19"/>
      <c r="K77" s="14"/>
      <c r="L77" s="19"/>
      <c r="M77" s="20"/>
      <c r="N77" s="21"/>
      <c r="O77" s="107"/>
      <c r="P77" s="22"/>
      <c r="Q77" s="23"/>
      <c r="R77" s="107"/>
      <c r="S77" s="107"/>
      <c r="T77" s="107"/>
      <c r="U77" s="107"/>
      <c r="V77" s="107"/>
    </row>
    <row r="78" spans="1:22" s="12" customFormat="1" ht="19.149999999999999" customHeight="1" x14ac:dyDescent="0.2">
      <c r="A78" s="107"/>
      <c r="B78" s="107"/>
      <c r="C78" s="107"/>
      <c r="D78" s="107"/>
      <c r="E78" s="14"/>
      <c r="F78" s="24"/>
      <c r="G78" s="25"/>
      <c r="H78" s="17"/>
      <c r="I78" s="18"/>
      <c r="J78" s="19"/>
      <c r="K78" s="14"/>
      <c r="L78" s="19"/>
      <c r="M78" s="20"/>
      <c r="N78" s="21"/>
      <c r="O78" s="107"/>
      <c r="P78" s="22"/>
      <c r="Q78" s="23"/>
      <c r="R78" s="107"/>
      <c r="S78" s="107"/>
      <c r="T78" s="107"/>
      <c r="U78" s="107"/>
      <c r="V78" s="107"/>
    </row>
    <row r="79" spans="1:22" s="12" customFormat="1" ht="19.149999999999999" customHeight="1" x14ac:dyDescent="0.2">
      <c r="A79" s="107"/>
      <c r="B79" s="107"/>
      <c r="C79" s="107"/>
      <c r="D79" s="107"/>
      <c r="E79" s="14"/>
      <c r="F79" s="24"/>
      <c r="G79" s="25"/>
      <c r="H79" s="17"/>
      <c r="I79" s="18"/>
      <c r="J79" s="19"/>
      <c r="K79" s="14"/>
      <c r="L79" s="19"/>
      <c r="M79" s="20"/>
      <c r="N79" s="21"/>
      <c r="O79" s="107"/>
      <c r="P79" s="22"/>
      <c r="Q79" s="23"/>
      <c r="R79" s="107"/>
      <c r="S79" s="107"/>
      <c r="T79" s="107"/>
      <c r="U79" s="107"/>
      <c r="V79" s="107"/>
    </row>
    <row r="80" spans="1:22" s="12" customFormat="1" ht="19.149999999999999" customHeight="1" x14ac:dyDescent="0.2">
      <c r="A80" s="107"/>
      <c r="B80" s="107"/>
      <c r="C80" s="107"/>
      <c r="D80" s="107"/>
      <c r="E80" s="14"/>
      <c r="F80" s="24"/>
      <c r="G80" s="25"/>
      <c r="H80" s="17"/>
      <c r="I80" s="18"/>
      <c r="J80" s="19"/>
      <c r="K80" s="14"/>
      <c r="L80" s="19"/>
      <c r="M80" s="20"/>
      <c r="N80" s="21"/>
      <c r="O80" s="107"/>
      <c r="P80" s="22"/>
      <c r="Q80" s="23"/>
      <c r="R80" s="107"/>
      <c r="S80" s="107"/>
      <c r="T80" s="107"/>
      <c r="U80" s="107"/>
      <c r="V80" s="107"/>
    </row>
    <row r="81" spans="1:22" s="12" customFormat="1" ht="19.149999999999999" customHeight="1" x14ac:dyDescent="0.2">
      <c r="A81" s="107"/>
      <c r="B81" s="107"/>
      <c r="C81" s="107"/>
      <c r="D81" s="107"/>
      <c r="E81" s="14"/>
      <c r="F81" s="24"/>
      <c r="G81" s="25"/>
      <c r="H81" s="17"/>
      <c r="I81" s="18"/>
      <c r="J81" s="19"/>
      <c r="K81" s="14"/>
      <c r="L81" s="19"/>
      <c r="M81" s="20"/>
      <c r="N81" s="21"/>
      <c r="O81" s="107"/>
      <c r="P81" s="22"/>
      <c r="Q81" s="23"/>
      <c r="R81" s="107"/>
      <c r="S81" s="107"/>
      <c r="T81" s="107"/>
      <c r="U81" s="107"/>
      <c r="V81" s="107"/>
    </row>
    <row r="82" spans="1:22" s="12" customFormat="1" ht="19.149999999999999" customHeight="1" x14ac:dyDescent="0.2">
      <c r="A82" s="107"/>
      <c r="B82" s="107"/>
      <c r="C82" s="107"/>
      <c r="D82" s="107"/>
      <c r="E82" s="14"/>
      <c r="F82" s="24"/>
      <c r="G82" s="25"/>
      <c r="H82" s="17"/>
      <c r="I82" s="18"/>
      <c r="J82" s="19"/>
      <c r="K82" s="14"/>
      <c r="L82" s="19"/>
      <c r="M82" s="20"/>
      <c r="N82" s="21"/>
      <c r="O82" s="107"/>
      <c r="P82" s="22"/>
      <c r="Q82" s="23"/>
      <c r="R82" s="107"/>
      <c r="S82" s="107"/>
      <c r="T82" s="107"/>
      <c r="U82" s="107"/>
      <c r="V82" s="107"/>
    </row>
    <row r="83" spans="1:22" s="12" customFormat="1" ht="19.149999999999999" customHeight="1" x14ac:dyDescent="0.2">
      <c r="A83" s="107"/>
      <c r="B83" s="107"/>
      <c r="C83" s="107"/>
      <c r="D83" s="107"/>
      <c r="E83" s="14"/>
      <c r="F83" s="24"/>
      <c r="G83" s="25"/>
      <c r="H83" s="17"/>
      <c r="I83" s="18"/>
      <c r="J83" s="19"/>
      <c r="K83" s="14"/>
      <c r="L83" s="19"/>
      <c r="M83" s="20"/>
      <c r="N83" s="21"/>
      <c r="O83" s="107"/>
      <c r="P83" s="22"/>
      <c r="Q83" s="23"/>
      <c r="R83" s="107"/>
      <c r="S83" s="107"/>
      <c r="T83" s="107"/>
      <c r="U83" s="107"/>
      <c r="V83" s="107"/>
    </row>
    <row r="84" spans="1:22" s="12" customFormat="1" ht="19.149999999999999" customHeight="1" x14ac:dyDescent="0.2">
      <c r="A84" s="107"/>
      <c r="B84" s="107"/>
      <c r="C84" s="107"/>
      <c r="D84" s="107"/>
      <c r="E84" s="14"/>
      <c r="F84" s="24"/>
      <c r="G84" s="29"/>
      <c r="H84" s="17"/>
      <c r="I84" s="18"/>
      <c r="J84" s="19"/>
      <c r="K84" s="14"/>
      <c r="L84" s="19"/>
      <c r="M84" s="20"/>
      <c r="N84" s="21"/>
      <c r="O84" s="107"/>
      <c r="P84" s="22"/>
      <c r="Q84" s="23"/>
      <c r="R84" s="107"/>
      <c r="S84" s="107"/>
      <c r="T84" s="107"/>
      <c r="U84" s="107"/>
      <c r="V84" s="107"/>
    </row>
    <row r="85" spans="1:22" s="12" customFormat="1" ht="19.149999999999999" customHeight="1" x14ac:dyDescent="0.2">
      <c r="A85" s="107"/>
      <c r="B85" s="107"/>
      <c r="C85" s="107"/>
      <c r="D85" s="107"/>
      <c r="E85" s="14"/>
      <c r="F85" s="24"/>
      <c r="G85" s="25"/>
      <c r="H85" s="17"/>
      <c r="I85" s="18"/>
      <c r="J85" s="19"/>
      <c r="K85" s="14"/>
      <c r="L85" s="19"/>
      <c r="M85" s="20"/>
      <c r="N85" s="21"/>
      <c r="O85" s="107"/>
      <c r="P85" s="22"/>
      <c r="Q85" s="23"/>
      <c r="R85" s="107"/>
      <c r="S85" s="107"/>
      <c r="T85" s="107"/>
      <c r="U85" s="107"/>
      <c r="V85" s="107"/>
    </row>
    <row r="86" spans="1:22" s="12" customFormat="1" ht="19.149999999999999" customHeight="1" x14ac:dyDescent="0.2">
      <c r="A86" s="107"/>
      <c r="B86" s="107"/>
      <c r="C86" s="107"/>
      <c r="D86" s="107"/>
      <c r="E86" s="14"/>
      <c r="F86" s="24"/>
      <c r="G86" s="25"/>
      <c r="H86" s="17"/>
      <c r="I86" s="18"/>
      <c r="J86" s="19"/>
      <c r="K86" s="14"/>
      <c r="L86" s="19"/>
      <c r="M86" s="20"/>
      <c r="N86" s="21"/>
      <c r="O86" s="107"/>
      <c r="P86" s="22"/>
      <c r="Q86" s="23"/>
      <c r="R86" s="107"/>
      <c r="S86" s="107"/>
      <c r="T86" s="107"/>
      <c r="U86" s="107"/>
      <c r="V86" s="107"/>
    </row>
    <row r="87" spans="1:22" s="12" customFormat="1" ht="19.149999999999999" customHeight="1" x14ac:dyDescent="0.2">
      <c r="A87" s="107"/>
      <c r="B87" s="107"/>
      <c r="C87" s="107"/>
      <c r="D87" s="107"/>
      <c r="E87" s="14"/>
      <c r="F87" s="24"/>
      <c r="G87" s="25"/>
      <c r="H87" s="17"/>
      <c r="I87" s="18"/>
      <c r="J87" s="19"/>
      <c r="K87" s="14"/>
      <c r="L87" s="19"/>
      <c r="M87" s="20"/>
      <c r="N87" s="21"/>
      <c r="O87" s="107"/>
      <c r="P87" s="22"/>
      <c r="Q87" s="23"/>
      <c r="R87" s="107"/>
      <c r="S87" s="107"/>
      <c r="T87" s="107"/>
      <c r="U87" s="107"/>
      <c r="V87" s="107"/>
    </row>
    <row r="88" spans="1:22" s="12" customFormat="1" ht="19.149999999999999" customHeight="1" x14ac:dyDescent="0.2">
      <c r="A88" s="107"/>
      <c r="B88" s="107"/>
      <c r="C88" s="107"/>
      <c r="D88" s="107"/>
      <c r="E88" s="14"/>
      <c r="F88" s="24"/>
      <c r="G88" s="25"/>
      <c r="H88" s="17"/>
      <c r="I88" s="18"/>
      <c r="J88" s="19"/>
      <c r="K88" s="14"/>
      <c r="L88" s="19"/>
      <c r="M88" s="20"/>
      <c r="N88" s="21"/>
      <c r="O88" s="107"/>
      <c r="P88" s="22"/>
      <c r="Q88" s="23"/>
      <c r="R88" s="107"/>
      <c r="S88" s="107"/>
      <c r="T88" s="107"/>
      <c r="U88" s="107"/>
      <c r="V88" s="107"/>
    </row>
    <row r="89" spans="1:22" s="12" customFormat="1" ht="19.149999999999999" customHeight="1" x14ac:dyDescent="0.2">
      <c r="A89" s="107"/>
      <c r="B89" s="107"/>
      <c r="C89" s="107"/>
      <c r="D89" s="107"/>
      <c r="E89" s="14"/>
      <c r="F89" s="24"/>
      <c r="G89" s="25"/>
      <c r="H89" s="17"/>
      <c r="I89" s="18"/>
      <c r="J89" s="19"/>
      <c r="K89" s="14"/>
      <c r="L89" s="19"/>
      <c r="M89" s="20"/>
      <c r="N89" s="21"/>
      <c r="O89" s="107"/>
      <c r="P89" s="22"/>
      <c r="Q89" s="23"/>
      <c r="R89" s="107"/>
      <c r="S89" s="107"/>
      <c r="T89" s="107"/>
      <c r="U89" s="107"/>
      <c r="V89" s="107"/>
    </row>
    <row r="90" spans="1:22" s="12" customFormat="1" ht="19.149999999999999" customHeight="1" x14ac:dyDescent="0.2">
      <c r="A90" s="107"/>
      <c r="B90" s="28"/>
      <c r="C90" s="107"/>
      <c r="D90" s="107"/>
      <c r="E90" s="14"/>
      <c r="F90" s="24"/>
      <c r="G90" s="25"/>
      <c r="H90" s="17"/>
      <c r="I90" s="18"/>
      <c r="J90" s="19"/>
      <c r="K90" s="14"/>
      <c r="L90" s="19"/>
      <c r="M90" s="20"/>
      <c r="N90" s="21"/>
      <c r="O90" s="107"/>
      <c r="P90" s="22"/>
      <c r="Q90" s="23"/>
      <c r="R90" s="107"/>
      <c r="S90" s="107"/>
      <c r="T90" s="107"/>
      <c r="U90" s="107"/>
      <c r="V90" s="107"/>
    </row>
    <row r="91" spans="1:22" s="12" customFormat="1" ht="19.149999999999999" customHeight="1" x14ac:dyDescent="0.2">
      <c r="A91" s="107"/>
      <c r="B91" s="107"/>
      <c r="C91" s="107"/>
      <c r="D91" s="107"/>
      <c r="E91" s="14"/>
      <c r="F91" s="24"/>
      <c r="G91" s="25"/>
      <c r="H91" s="17"/>
      <c r="I91" s="18"/>
      <c r="J91" s="19"/>
      <c r="K91" s="14"/>
      <c r="L91" s="19"/>
      <c r="M91" s="20"/>
      <c r="N91" s="21"/>
      <c r="O91" s="107"/>
      <c r="P91" s="22"/>
      <c r="Q91" s="23"/>
      <c r="R91" s="107"/>
      <c r="S91" s="107"/>
      <c r="T91" s="107"/>
      <c r="U91" s="107"/>
      <c r="V91" s="107"/>
    </row>
    <row r="92" spans="1:22" s="12" customFormat="1" ht="19.149999999999999" customHeight="1" x14ac:dyDescent="0.2">
      <c r="A92" s="107"/>
      <c r="B92" s="107"/>
      <c r="C92" s="107"/>
      <c r="D92" s="107"/>
      <c r="E92" s="14"/>
      <c r="F92" s="24"/>
      <c r="G92" s="25"/>
      <c r="H92" s="17"/>
      <c r="I92" s="18"/>
      <c r="J92" s="19"/>
      <c r="K92" s="14"/>
      <c r="L92" s="19"/>
      <c r="M92" s="20"/>
      <c r="N92" s="21"/>
      <c r="O92" s="107"/>
      <c r="P92" s="22"/>
      <c r="Q92" s="23"/>
      <c r="R92" s="107"/>
      <c r="S92" s="107"/>
      <c r="T92" s="107"/>
      <c r="U92" s="107"/>
      <c r="V92" s="107"/>
    </row>
    <row r="93" spans="1:22" s="12" customFormat="1" ht="19.149999999999999" customHeight="1" x14ac:dyDescent="0.2">
      <c r="A93" s="107"/>
      <c r="B93" s="107"/>
      <c r="C93" s="107"/>
      <c r="D93" s="107"/>
      <c r="E93" s="14"/>
      <c r="F93" s="24"/>
      <c r="G93" s="25"/>
      <c r="H93" s="17"/>
      <c r="I93" s="18"/>
      <c r="J93" s="19"/>
      <c r="K93" s="14"/>
      <c r="L93" s="19"/>
      <c r="M93" s="20"/>
      <c r="N93" s="21"/>
      <c r="O93" s="107"/>
      <c r="P93" s="22"/>
      <c r="Q93" s="23"/>
      <c r="R93" s="107"/>
      <c r="S93" s="107"/>
      <c r="T93" s="107"/>
      <c r="U93" s="107"/>
      <c r="V93" s="107"/>
    </row>
    <row r="94" spans="1:22" s="12" customFormat="1" ht="19.149999999999999" customHeight="1" x14ac:dyDescent="0.2">
      <c r="A94" s="107"/>
      <c r="B94" s="107"/>
      <c r="C94" s="107"/>
      <c r="D94" s="107"/>
      <c r="E94" s="14"/>
      <c r="F94" s="24"/>
      <c r="G94" s="25"/>
      <c r="H94" s="17"/>
      <c r="I94" s="18"/>
      <c r="J94" s="19"/>
      <c r="K94" s="14"/>
      <c r="L94" s="19"/>
      <c r="M94" s="20"/>
      <c r="N94" s="21"/>
      <c r="O94" s="107"/>
      <c r="P94" s="22"/>
      <c r="Q94" s="23"/>
      <c r="R94" s="107"/>
      <c r="S94" s="107"/>
      <c r="T94" s="107"/>
      <c r="U94" s="107"/>
      <c r="V94" s="107"/>
    </row>
    <row r="95" spans="1:22" s="12" customFormat="1" ht="19.149999999999999" customHeight="1" x14ac:dyDescent="0.2">
      <c r="A95" s="107"/>
      <c r="B95" s="107"/>
      <c r="C95" s="107"/>
      <c r="D95" s="107"/>
      <c r="E95" s="14"/>
      <c r="F95" s="24"/>
      <c r="G95" s="25"/>
      <c r="H95" s="17"/>
      <c r="I95" s="18"/>
      <c r="J95" s="19"/>
      <c r="K95" s="14"/>
      <c r="L95" s="19"/>
      <c r="M95" s="20"/>
      <c r="N95" s="21"/>
      <c r="O95" s="107"/>
      <c r="P95" s="22"/>
      <c r="Q95" s="23"/>
      <c r="R95" s="107"/>
      <c r="S95" s="107"/>
      <c r="T95" s="107"/>
      <c r="U95" s="107"/>
      <c r="V95" s="107"/>
    </row>
    <row r="96" spans="1:22" s="12" customFormat="1" ht="19.149999999999999" customHeight="1" x14ac:dyDescent="0.2">
      <c r="A96" s="107"/>
      <c r="B96" s="107"/>
      <c r="C96" s="107"/>
      <c r="D96" s="107"/>
      <c r="E96" s="14"/>
      <c r="F96" s="24"/>
      <c r="G96" s="25"/>
      <c r="H96" s="17"/>
      <c r="I96" s="18"/>
      <c r="J96" s="19"/>
      <c r="K96" s="14"/>
      <c r="L96" s="19"/>
      <c r="M96" s="20"/>
      <c r="N96" s="21"/>
      <c r="O96" s="107"/>
      <c r="P96" s="22"/>
      <c r="Q96" s="23"/>
      <c r="R96" s="107"/>
      <c r="S96" s="107"/>
      <c r="T96" s="107"/>
      <c r="U96" s="107"/>
      <c r="V96" s="107"/>
    </row>
    <row r="97" spans="1:22" s="12" customFormat="1" ht="19.149999999999999" customHeight="1" x14ac:dyDescent="0.2">
      <c r="A97" s="107"/>
      <c r="B97" s="107"/>
      <c r="C97" s="107"/>
      <c r="D97" s="107"/>
      <c r="E97" s="14"/>
      <c r="F97" s="24"/>
      <c r="G97" s="25"/>
      <c r="H97" s="17"/>
      <c r="I97" s="18"/>
      <c r="J97" s="19"/>
      <c r="K97" s="14"/>
      <c r="L97" s="19"/>
      <c r="M97" s="20"/>
      <c r="N97" s="21"/>
      <c r="O97" s="107"/>
      <c r="P97" s="22"/>
      <c r="Q97" s="23"/>
      <c r="R97" s="107"/>
      <c r="S97" s="107"/>
      <c r="T97" s="107"/>
      <c r="U97" s="107"/>
      <c r="V97" s="107"/>
    </row>
    <row r="98" spans="1:22" s="12" customFormat="1" ht="19.149999999999999" customHeight="1" x14ac:dyDescent="0.2">
      <c r="A98" s="107"/>
      <c r="B98" s="107"/>
      <c r="C98" s="107"/>
      <c r="D98" s="107"/>
      <c r="E98" s="14"/>
      <c r="F98" s="24"/>
      <c r="G98" s="25"/>
      <c r="H98" s="17"/>
      <c r="I98" s="18"/>
      <c r="J98" s="19"/>
      <c r="K98" s="14"/>
      <c r="L98" s="19"/>
      <c r="M98" s="20"/>
      <c r="N98" s="21"/>
      <c r="O98" s="107"/>
      <c r="P98" s="22"/>
      <c r="Q98" s="23"/>
      <c r="R98" s="107"/>
      <c r="S98" s="107"/>
      <c r="T98" s="107"/>
      <c r="U98" s="107"/>
      <c r="V98" s="107"/>
    </row>
    <row r="99" spans="1:22" s="12" customFormat="1" ht="19.149999999999999" customHeight="1" x14ac:dyDescent="0.2">
      <c r="A99" s="107"/>
      <c r="B99" s="107"/>
      <c r="C99" s="107"/>
      <c r="D99" s="107"/>
      <c r="E99" s="14"/>
      <c r="F99" s="24"/>
      <c r="G99" s="25"/>
      <c r="H99" s="17"/>
      <c r="I99" s="18"/>
      <c r="J99" s="19"/>
      <c r="K99" s="14"/>
      <c r="L99" s="19"/>
      <c r="M99" s="20"/>
      <c r="N99" s="21"/>
      <c r="O99" s="107"/>
      <c r="P99" s="22"/>
      <c r="Q99" s="23"/>
      <c r="R99" s="107"/>
      <c r="S99" s="107"/>
      <c r="T99" s="107"/>
      <c r="U99" s="107"/>
      <c r="V99" s="107"/>
    </row>
    <row r="100" spans="1:22" s="12" customFormat="1" ht="19.149999999999999" customHeight="1" x14ac:dyDescent="0.2">
      <c r="A100" s="107"/>
      <c r="B100" s="107"/>
      <c r="C100" s="107"/>
      <c r="D100" s="107"/>
      <c r="E100" s="14"/>
      <c r="F100" s="24"/>
      <c r="G100" s="25"/>
      <c r="H100" s="17"/>
      <c r="I100" s="18"/>
      <c r="J100" s="19"/>
      <c r="K100" s="14"/>
      <c r="L100" s="19"/>
      <c r="M100" s="20"/>
      <c r="N100" s="21"/>
      <c r="O100" s="107"/>
      <c r="P100" s="22"/>
      <c r="Q100" s="23"/>
      <c r="R100" s="107"/>
      <c r="S100" s="107"/>
      <c r="T100" s="107"/>
      <c r="U100" s="107"/>
      <c r="V100" s="107"/>
    </row>
    <row r="101" spans="1:22" s="12" customFormat="1" ht="19.149999999999999" customHeight="1" x14ac:dyDescent="0.2">
      <c r="A101" s="107"/>
      <c r="B101" s="107"/>
      <c r="C101" s="107"/>
      <c r="D101" s="107"/>
      <c r="E101" s="14"/>
      <c r="F101" s="24"/>
      <c r="G101" s="25"/>
      <c r="H101" s="17"/>
      <c r="I101" s="18"/>
      <c r="J101" s="19"/>
      <c r="K101" s="14"/>
      <c r="L101" s="19"/>
      <c r="M101" s="20"/>
      <c r="N101" s="21"/>
      <c r="O101" s="107"/>
      <c r="P101" s="22"/>
      <c r="Q101" s="23"/>
      <c r="R101" s="107"/>
      <c r="S101" s="107"/>
      <c r="T101" s="107"/>
      <c r="U101" s="107"/>
      <c r="V101" s="107"/>
    </row>
    <row r="102" spans="1:22" s="12" customFormat="1" ht="19.149999999999999" customHeight="1" x14ac:dyDescent="0.2">
      <c r="A102" s="107"/>
      <c r="B102" s="107"/>
      <c r="C102" s="107"/>
      <c r="D102" s="107"/>
      <c r="E102" s="14"/>
      <c r="F102" s="24"/>
      <c r="G102" s="25"/>
      <c r="H102" s="17"/>
      <c r="I102" s="18"/>
      <c r="J102" s="19"/>
      <c r="K102" s="14"/>
      <c r="L102" s="19"/>
      <c r="M102" s="20"/>
      <c r="N102" s="21"/>
      <c r="O102" s="107"/>
      <c r="P102" s="22"/>
      <c r="Q102" s="23"/>
      <c r="R102" s="107"/>
      <c r="S102" s="107"/>
      <c r="T102" s="107"/>
      <c r="U102" s="107"/>
      <c r="V102" s="107"/>
    </row>
    <row r="103" spans="1:22" s="12" customFormat="1" ht="19.149999999999999" customHeight="1" x14ac:dyDescent="0.2">
      <c r="A103" s="107"/>
      <c r="B103" s="107"/>
      <c r="C103" s="107"/>
      <c r="D103" s="107"/>
      <c r="E103" s="14"/>
      <c r="F103" s="24"/>
      <c r="G103" s="25"/>
      <c r="H103" s="17"/>
      <c r="I103" s="18"/>
      <c r="J103" s="19"/>
      <c r="K103" s="14"/>
      <c r="L103" s="19"/>
      <c r="M103" s="20"/>
      <c r="N103" s="21"/>
      <c r="O103" s="107"/>
      <c r="P103" s="22"/>
      <c r="Q103" s="23"/>
      <c r="R103" s="107"/>
      <c r="S103" s="107"/>
      <c r="T103" s="107"/>
      <c r="U103" s="107"/>
      <c r="V103" s="107"/>
    </row>
    <row r="104" spans="1:22" s="12" customFormat="1" ht="19.149999999999999" customHeight="1" x14ac:dyDescent="0.2">
      <c r="A104" s="107"/>
      <c r="B104" s="107"/>
      <c r="C104" s="107"/>
      <c r="D104" s="107"/>
      <c r="E104" s="14"/>
      <c r="F104" s="24"/>
      <c r="G104" s="25"/>
      <c r="H104" s="17"/>
      <c r="I104" s="18"/>
      <c r="J104" s="19"/>
      <c r="K104" s="14"/>
      <c r="L104" s="19"/>
      <c r="M104" s="20"/>
      <c r="N104" s="21"/>
      <c r="O104" s="107"/>
      <c r="P104" s="22"/>
      <c r="Q104" s="23"/>
      <c r="R104" s="107"/>
      <c r="S104" s="107"/>
      <c r="T104" s="107"/>
      <c r="U104" s="107"/>
      <c r="V104" s="107"/>
    </row>
    <row r="105" spans="1:22" s="12" customFormat="1" ht="19.149999999999999" customHeight="1" x14ac:dyDescent="0.2">
      <c r="A105" s="107"/>
      <c r="B105" s="107"/>
      <c r="C105" s="107"/>
      <c r="D105" s="107"/>
      <c r="E105" s="14"/>
      <c r="F105" s="24"/>
      <c r="G105" s="25"/>
      <c r="H105" s="17"/>
      <c r="I105" s="18"/>
      <c r="J105" s="19"/>
      <c r="K105" s="14"/>
      <c r="L105" s="19"/>
      <c r="M105" s="20"/>
      <c r="N105" s="21"/>
      <c r="O105" s="107"/>
      <c r="P105" s="22"/>
      <c r="Q105" s="23"/>
      <c r="R105" s="107"/>
      <c r="S105" s="107"/>
      <c r="T105" s="107"/>
      <c r="U105" s="107"/>
      <c r="V105" s="107"/>
    </row>
    <row r="106" spans="1:22" s="12" customFormat="1" ht="19.149999999999999" customHeight="1" x14ac:dyDescent="0.2">
      <c r="A106" s="107"/>
      <c r="B106" s="107"/>
      <c r="C106" s="107"/>
      <c r="D106" s="107"/>
      <c r="E106" s="14"/>
      <c r="F106" s="24"/>
      <c r="G106" s="25"/>
      <c r="H106" s="17"/>
      <c r="I106" s="18"/>
      <c r="J106" s="19"/>
      <c r="K106" s="14"/>
      <c r="L106" s="19"/>
      <c r="M106" s="20"/>
      <c r="N106" s="21"/>
      <c r="O106" s="107"/>
      <c r="P106" s="22"/>
      <c r="Q106" s="23"/>
      <c r="R106" s="107"/>
      <c r="S106" s="107"/>
      <c r="T106" s="107"/>
      <c r="U106" s="107"/>
      <c r="V106" s="107"/>
    </row>
    <row r="107" spans="1:22" s="12" customFormat="1" ht="19.149999999999999" customHeight="1" x14ac:dyDescent="0.2">
      <c r="A107" s="107"/>
      <c r="B107" s="107"/>
      <c r="C107" s="107"/>
      <c r="D107" s="107"/>
      <c r="E107" s="14"/>
      <c r="F107" s="24"/>
      <c r="G107" s="25"/>
      <c r="H107" s="17"/>
      <c r="I107" s="18"/>
      <c r="J107" s="19"/>
      <c r="K107" s="14"/>
      <c r="L107" s="19"/>
      <c r="M107" s="20"/>
      <c r="N107" s="21"/>
      <c r="O107" s="107"/>
      <c r="P107" s="22"/>
      <c r="Q107" s="23"/>
      <c r="R107" s="107"/>
      <c r="S107" s="107"/>
      <c r="T107" s="107"/>
      <c r="U107" s="107"/>
      <c r="V107" s="107"/>
    </row>
    <row r="108" spans="1:22" s="12" customFormat="1" ht="19.149999999999999" customHeight="1" x14ac:dyDescent="0.2">
      <c r="A108" s="107"/>
      <c r="B108" s="107"/>
      <c r="C108" s="107"/>
      <c r="D108" s="107"/>
      <c r="E108" s="14"/>
      <c r="F108" s="24"/>
      <c r="G108" s="25"/>
      <c r="H108" s="17"/>
      <c r="I108" s="18"/>
      <c r="J108" s="19"/>
      <c r="K108" s="14"/>
      <c r="L108" s="19"/>
      <c r="M108" s="20"/>
      <c r="N108" s="21"/>
      <c r="O108" s="107"/>
      <c r="P108" s="22"/>
      <c r="Q108" s="23"/>
      <c r="R108" s="107"/>
      <c r="S108" s="107"/>
      <c r="T108" s="107"/>
      <c r="U108" s="107"/>
      <c r="V108" s="107"/>
    </row>
    <row r="109" spans="1:22" s="12" customFormat="1" ht="19.149999999999999" customHeight="1" x14ac:dyDescent="0.2">
      <c r="A109" s="107"/>
      <c r="B109" s="107"/>
      <c r="C109" s="107"/>
      <c r="D109" s="107"/>
      <c r="E109" s="14"/>
      <c r="F109" s="24"/>
      <c r="G109" s="25"/>
      <c r="H109" s="17"/>
      <c r="I109" s="18"/>
      <c r="J109" s="19"/>
      <c r="K109" s="14"/>
      <c r="L109" s="19"/>
      <c r="M109" s="20"/>
      <c r="N109" s="21"/>
      <c r="O109" s="107"/>
      <c r="P109" s="22"/>
      <c r="Q109" s="23"/>
      <c r="R109" s="107"/>
      <c r="S109" s="107"/>
      <c r="T109" s="107"/>
      <c r="U109" s="107"/>
      <c r="V109" s="107"/>
    </row>
    <row r="110" spans="1:22" s="12" customFormat="1" ht="19.149999999999999" customHeight="1" x14ac:dyDescent="0.2">
      <c r="A110" s="107"/>
      <c r="B110" s="107"/>
      <c r="C110" s="107"/>
      <c r="D110" s="107"/>
      <c r="E110" s="14"/>
      <c r="F110" s="24"/>
      <c r="G110" s="25"/>
      <c r="H110" s="17"/>
      <c r="I110" s="18"/>
      <c r="J110" s="19"/>
      <c r="K110" s="14"/>
      <c r="L110" s="19"/>
      <c r="M110" s="20"/>
      <c r="N110" s="21"/>
      <c r="O110" s="107"/>
      <c r="P110" s="22"/>
      <c r="Q110" s="23"/>
      <c r="R110" s="107"/>
      <c r="S110" s="107"/>
      <c r="T110" s="107"/>
      <c r="U110" s="107"/>
      <c r="V110" s="107"/>
    </row>
    <row r="111" spans="1:22" s="12" customFormat="1" ht="19.149999999999999" customHeight="1" x14ac:dyDescent="0.2">
      <c r="A111" s="107"/>
      <c r="B111" s="107"/>
      <c r="C111" s="107"/>
      <c r="D111" s="107"/>
      <c r="E111" s="14"/>
      <c r="F111" s="24"/>
      <c r="G111" s="25"/>
      <c r="H111" s="17"/>
      <c r="I111" s="18"/>
      <c r="J111" s="19"/>
      <c r="K111" s="14"/>
      <c r="L111" s="19"/>
      <c r="M111" s="20"/>
      <c r="N111" s="21"/>
      <c r="O111" s="107"/>
      <c r="P111" s="22"/>
      <c r="Q111" s="23"/>
      <c r="R111" s="107"/>
      <c r="S111" s="107"/>
      <c r="T111" s="107"/>
      <c r="U111" s="107"/>
      <c r="V111" s="107"/>
    </row>
    <row r="112" spans="1:22" s="12" customFormat="1" ht="19.149999999999999" customHeight="1" x14ac:dyDescent="0.2">
      <c r="A112" s="107"/>
      <c r="B112" s="28"/>
      <c r="C112" s="107"/>
      <c r="D112" s="107"/>
      <c r="E112" s="14"/>
      <c r="F112" s="24"/>
      <c r="G112" s="25"/>
      <c r="H112" s="17"/>
      <c r="I112" s="18"/>
      <c r="J112" s="19"/>
      <c r="K112" s="14"/>
      <c r="L112" s="19"/>
      <c r="M112" s="20"/>
      <c r="N112" s="21"/>
      <c r="O112" s="107"/>
      <c r="P112" s="22"/>
      <c r="Q112" s="23"/>
      <c r="R112" s="107"/>
      <c r="S112" s="107"/>
      <c r="T112" s="107"/>
      <c r="U112" s="107"/>
      <c r="V112" s="107"/>
    </row>
    <row r="113" spans="1:22" s="12" customFormat="1" ht="19.149999999999999" customHeight="1" x14ac:dyDescent="0.2">
      <c r="A113" s="107"/>
      <c r="B113" s="107"/>
      <c r="C113" s="107"/>
      <c r="D113" s="107"/>
      <c r="E113" s="14"/>
      <c r="F113" s="24"/>
      <c r="G113" s="25"/>
      <c r="H113" s="17"/>
      <c r="I113" s="18"/>
      <c r="J113" s="19"/>
      <c r="K113" s="14"/>
      <c r="L113" s="19"/>
      <c r="M113" s="20"/>
      <c r="N113" s="21"/>
      <c r="O113" s="107"/>
      <c r="P113" s="22"/>
      <c r="Q113" s="23"/>
      <c r="R113" s="107"/>
      <c r="S113" s="107"/>
      <c r="T113" s="107"/>
      <c r="U113" s="107"/>
      <c r="V113" s="107"/>
    </row>
    <row r="114" spans="1:22" s="12" customFormat="1" ht="19.149999999999999" customHeight="1" x14ac:dyDescent="0.2">
      <c r="A114" s="107"/>
      <c r="B114" s="107"/>
      <c r="C114" s="107"/>
      <c r="D114" s="107"/>
      <c r="E114" s="14"/>
      <c r="F114" s="24"/>
      <c r="G114" s="25"/>
      <c r="H114" s="17"/>
      <c r="I114" s="18"/>
      <c r="J114" s="19"/>
      <c r="K114" s="14"/>
      <c r="L114" s="19"/>
      <c r="M114" s="20"/>
      <c r="N114" s="21"/>
      <c r="O114" s="107"/>
      <c r="P114" s="22"/>
      <c r="Q114" s="23"/>
      <c r="R114" s="107"/>
      <c r="S114" s="107"/>
      <c r="T114" s="107"/>
      <c r="U114" s="107"/>
      <c r="V114" s="107"/>
    </row>
    <row r="115" spans="1:22" s="12" customFormat="1" ht="19.149999999999999" customHeight="1" x14ac:dyDescent="0.2">
      <c r="A115" s="107"/>
      <c r="B115" s="107"/>
      <c r="C115" s="107"/>
      <c r="D115" s="107"/>
      <c r="E115" s="14"/>
      <c r="F115" s="24"/>
      <c r="G115" s="25"/>
      <c r="H115" s="17"/>
      <c r="I115" s="18"/>
      <c r="J115" s="19"/>
      <c r="K115" s="14"/>
      <c r="L115" s="19"/>
      <c r="M115" s="20"/>
      <c r="N115" s="21"/>
      <c r="O115" s="107"/>
      <c r="P115" s="22"/>
      <c r="Q115" s="23"/>
      <c r="R115" s="107"/>
      <c r="S115" s="107"/>
      <c r="T115" s="107"/>
      <c r="U115" s="107"/>
      <c r="V115" s="107"/>
    </row>
    <row r="116" spans="1:22" s="12" customFormat="1" ht="19.149999999999999" customHeight="1" x14ac:dyDescent="0.2">
      <c r="A116" s="107"/>
      <c r="B116" s="107"/>
      <c r="C116" s="107"/>
      <c r="D116" s="107"/>
      <c r="E116" s="14"/>
      <c r="F116" s="24"/>
      <c r="G116" s="25"/>
      <c r="H116" s="17"/>
      <c r="I116" s="18"/>
      <c r="J116" s="19"/>
      <c r="K116" s="14"/>
      <c r="L116" s="19"/>
      <c r="M116" s="20"/>
      <c r="N116" s="21"/>
      <c r="O116" s="107"/>
      <c r="P116" s="22"/>
      <c r="Q116" s="23"/>
      <c r="R116" s="107"/>
      <c r="S116" s="107"/>
      <c r="T116" s="107"/>
      <c r="U116" s="107"/>
      <c r="V116" s="107"/>
    </row>
    <row r="117" spans="1:22" s="12" customFormat="1" ht="19.149999999999999" customHeight="1" x14ac:dyDescent="0.2">
      <c r="A117" s="107"/>
      <c r="B117" s="107"/>
      <c r="C117" s="30"/>
      <c r="D117" s="107"/>
      <c r="E117" s="14"/>
      <c r="F117" s="24"/>
      <c r="G117" s="25"/>
      <c r="H117" s="17"/>
      <c r="I117" s="18"/>
      <c r="J117" s="19"/>
      <c r="K117" s="14"/>
      <c r="L117" s="19"/>
      <c r="M117" s="20"/>
      <c r="N117" s="21"/>
      <c r="O117" s="107"/>
      <c r="P117" s="22"/>
      <c r="Q117" s="23"/>
      <c r="R117" s="107"/>
      <c r="S117" s="107"/>
      <c r="T117" s="107"/>
      <c r="U117" s="107"/>
      <c r="V117" s="107"/>
    </row>
    <row r="118" spans="1:22" s="12" customFormat="1" ht="19.149999999999999" customHeight="1" x14ac:dyDescent="0.2">
      <c r="A118" s="107"/>
      <c r="B118" s="107"/>
      <c r="C118" s="107"/>
      <c r="D118" s="107"/>
      <c r="E118" s="14"/>
      <c r="F118" s="24"/>
      <c r="G118" s="25"/>
      <c r="H118" s="17"/>
      <c r="I118" s="18"/>
      <c r="J118" s="19"/>
      <c r="K118" s="14"/>
      <c r="L118" s="19"/>
      <c r="M118" s="20"/>
      <c r="N118" s="21"/>
      <c r="O118" s="107"/>
      <c r="P118" s="22"/>
      <c r="Q118" s="23"/>
      <c r="R118" s="107"/>
      <c r="S118" s="107"/>
      <c r="T118" s="107"/>
      <c r="U118" s="107"/>
      <c r="V118" s="107"/>
    </row>
    <row r="119" spans="1:22" s="12" customFormat="1" ht="19.149999999999999" customHeight="1" x14ac:dyDescent="0.2">
      <c r="A119" s="107"/>
      <c r="B119" s="107"/>
      <c r="C119" s="107"/>
      <c r="D119" s="107"/>
      <c r="E119" s="14"/>
      <c r="F119" s="24"/>
      <c r="G119" s="25"/>
      <c r="H119" s="17"/>
      <c r="I119" s="18"/>
      <c r="J119" s="19"/>
      <c r="K119" s="14"/>
      <c r="L119" s="19"/>
      <c r="M119" s="20"/>
      <c r="N119" s="21"/>
      <c r="O119" s="107"/>
      <c r="P119" s="22"/>
      <c r="Q119" s="23"/>
      <c r="R119" s="107"/>
      <c r="S119" s="107"/>
      <c r="T119" s="107"/>
      <c r="U119" s="107"/>
      <c r="V119" s="107"/>
    </row>
    <row r="120" spans="1:22" s="12" customFormat="1" ht="19.149999999999999" customHeight="1" x14ac:dyDescent="0.2">
      <c r="A120" s="107"/>
      <c r="B120" s="107"/>
      <c r="C120" s="107"/>
      <c r="D120" s="107"/>
      <c r="E120" s="14"/>
      <c r="F120" s="24"/>
      <c r="G120" s="25"/>
      <c r="H120" s="17"/>
      <c r="I120" s="18"/>
      <c r="J120" s="19"/>
      <c r="K120" s="14"/>
      <c r="L120" s="19"/>
      <c r="M120" s="20"/>
      <c r="N120" s="21"/>
      <c r="O120" s="107"/>
      <c r="P120" s="22"/>
      <c r="Q120" s="23"/>
      <c r="R120" s="107"/>
      <c r="S120" s="107"/>
      <c r="T120" s="107"/>
      <c r="U120" s="107"/>
      <c r="V120" s="107"/>
    </row>
    <row r="121" spans="1:22" s="12" customFormat="1" ht="19.149999999999999" customHeight="1" x14ac:dyDescent="0.2">
      <c r="A121" s="107"/>
      <c r="B121" s="107"/>
      <c r="C121" s="107"/>
      <c r="D121" s="107"/>
      <c r="E121" s="14"/>
      <c r="F121" s="24"/>
      <c r="G121" s="25"/>
      <c r="H121" s="17"/>
      <c r="I121" s="18"/>
      <c r="J121" s="19"/>
      <c r="K121" s="14"/>
      <c r="L121" s="19"/>
      <c r="M121" s="20"/>
      <c r="N121" s="21"/>
      <c r="O121" s="107"/>
      <c r="P121" s="22"/>
      <c r="Q121" s="23"/>
      <c r="R121" s="107"/>
      <c r="S121" s="107"/>
      <c r="T121" s="107"/>
      <c r="U121" s="107"/>
      <c r="V121" s="107"/>
    </row>
    <row r="122" spans="1:22" s="12" customFormat="1" ht="19.149999999999999" customHeight="1" x14ac:dyDescent="0.2">
      <c r="A122" s="107"/>
      <c r="B122" s="107"/>
      <c r="C122" s="107"/>
      <c r="D122" s="107"/>
      <c r="E122" s="14"/>
      <c r="F122" s="24"/>
      <c r="G122" s="25"/>
      <c r="H122" s="17"/>
      <c r="I122" s="18"/>
      <c r="J122" s="19"/>
      <c r="K122" s="14"/>
      <c r="L122" s="19"/>
      <c r="M122" s="20"/>
      <c r="N122" s="21"/>
      <c r="O122" s="107"/>
      <c r="P122" s="22"/>
      <c r="Q122" s="23"/>
      <c r="R122" s="107"/>
      <c r="S122" s="107"/>
      <c r="T122" s="107"/>
      <c r="U122" s="107"/>
      <c r="V122" s="107"/>
    </row>
    <row r="123" spans="1:22" s="12" customFormat="1" ht="19.149999999999999" customHeight="1" x14ac:dyDescent="0.2">
      <c r="A123" s="107"/>
      <c r="B123" s="107"/>
      <c r="C123" s="107"/>
      <c r="D123" s="107"/>
      <c r="E123" s="14"/>
      <c r="F123" s="24"/>
      <c r="G123" s="25"/>
      <c r="H123" s="17"/>
      <c r="I123" s="18"/>
      <c r="J123" s="19"/>
      <c r="K123" s="14"/>
      <c r="L123" s="19"/>
      <c r="M123" s="20"/>
      <c r="N123" s="21"/>
      <c r="O123" s="107"/>
      <c r="P123" s="22"/>
      <c r="Q123" s="23"/>
      <c r="R123" s="107"/>
      <c r="S123" s="107"/>
      <c r="T123" s="107"/>
      <c r="U123" s="107"/>
      <c r="V123" s="107"/>
    </row>
    <row r="124" spans="1:22" s="12" customFormat="1" ht="19.149999999999999" customHeight="1" x14ac:dyDescent="0.2">
      <c r="A124" s="107"/>
      <c r="B124" s="107"/>
      <c r="C124" s="107"/>
      <c r="D124" s="107"/>
      <c r="E124" s="14"/>
      <c r="F124" s="24"/>
      <c r="G124" s="25"/>
      <c r="H124" s="17"/>
      <c r="I124" s="18"/>
      <c r="J124" s="19"/>
      <c r="K124" s="14"/>
      <c r="L124" s="19"/>
      <c r="M124" s="20"/>
      <c r="N124" s="21"/>
      <c r="O124" s="107"/>
      <c r="P124" s="22"/>
      <c r="Q124" s="23"/>
      <c r="R124" s="107"/>
      <c r="S124" s="107"/>
      <c r="T124" s="107"/>
      <c r="U124" s="107"/>
      <c r="V124" s="107"/>
    </row>
    <row r="125" spans="1:22" s="12" customFormat="1" ht="19.149999999999999" customHeight="1" x14ac:dyDescent="0.2">
      <c r="A125" s="107"/>
      <c r="B125" s="107"/>
      <c r="C125" s="107"/>
      <c r="D125" s="107"/>
      <c r="E125" s="14"/>
      <c r="F125" s="24"/>
      <c r="G125" s="25"/>
      <c r="H125" s="17"/>
      <c r="I125" s="18"/>
      <c r="J125" s="19"/>
      <c r="K125" s="14"/>
      <c r="L125" s="19"/>
      <c r="M125" s="20"/>
      <c r="N125" s="21"/>
      <c r="O125" s="107"/>
      <c r="P125" s="22"/>
      <c r="Q125" s="23"/>
      <c r="R125" s="107"/>
      <c r="S125" s="107"/>
      <c r="T125" s="107"/>
      <c r="U125" s="107"/>
      <c r="V125" s="107"/>
    </row>
    <row r="126" spans="1:22" s="12" customFormat="1" ht="19.149999999999999" customHeight="1" x14ac:dyDescent="0.2">
      <c r="A126" s="107"/>
      <c r="B126" s="107"/>
      <c r="C126" s="107"/>
      <c r="D126" s="107"/>
      <c r="E126" s="14"/>
      <c r="F126" s="24"/>
      <c r="G126" s="25"/>
      <c r="H126" s="17"/>
      <c r="I126" s="18"/>
      <c r="J126" s="19"/>
      <c r="K126" s="14"/>
      <c r="L126" s="19"/>
      <c r="M126" s="20"/>
      <c r="N126" s="21"/>
      <c r="O126" s="107"/>
      <c r="P126" s="22"/>
      <c r="Q126" s="23"/>
      <c r="R126" s="107"/>
      <c r="S126" s="107"/>
      <c r="T126" s="107"/>
      <c r="U126" s="107"/>
      <c r="V126" s="107"/>
    </row>
    <row r="127" spans="1:22" s="12" customFormat="1" ht="19.149999999999999" customHeight="1" x14ac:dyDescent="0.2">
      <c r="A127" s="107"/>
      <c r="B127" s="107"/>
      <c r="C127" s="107"/>
      <c r="D127" s="107"/>
      <c r="E127" s="14"/>
      <c r="F127" s="24"/>
      <c r="G127" s="25"/>
      <c r="H127" s="17"/>
      <c r="I127" s="18"/>
      <c r="J127" s="19"/>
      <c r="K127" s="14"/>
      <c r="L127" s="19"/>
      <c r="M127" s="20"/>
      <c r="N127" s="21"/>
      <c r="O127" s="107"/>
      <c r="P127" s="20"/>
      <c r="Q127" s="23"/>
      <c r="R127" s="107"/>
      <c r="S127" s="107"/>
      <c r="T127" s="107"/>
      <c r="U127" s="107"/>
      <c r="V127" s="107"/>
    </row>
    <row r="128" spans="1:22" s="12" customFormat="1" ht="19.149999999999999" customHeight="1" x14ac:dyDescent="0.2">
      <c r="A128" s="107"/>
      <c r="B128" s="107"/>
      <c r="C128" s="107"/>
      <c r="D128" s="107"/>
      <c r="E128" s="14"/>
      <c r="F128" s="24"/>
      <c r="G128" s="25"/>
      <c r="H128" s="17"/>
      <c r="I128" s="18"/>
      <c r="J128" s="19"/>
      <c r="K128" s="14"/>
      <c r="L128" s="19"/>
      <c r="M128" s="20"/>
      <c r="N128" s="21"/>
      <c r="O128" s="107"/>
      <c r="P128" s="20"/>
      <c r="Q128" s="23"/>
      <c r="R128" s="107"/>
      <c r="S128" s="107"/>
      <c r="T128" s="107"/>
      <c r="U128" s="107"/>
      <c r="V128" s="107"/>
    </row>
    <row r="129" spans="1:22" s="12" customFormat="1" ht="19.149999999999999" customHeight="1" x14ac:dyDescent="0.2">
      <c r="A129" s="107"/>
      <c r="B129" s="107"/>
      <c r="C129" s="107"/>
      <c r="D129" s="107"/>
      <c r="E129" s="14"/>
      <c r="F129" s="24"/>
      <c r="G129" s="25"/>
      <c r="H129" s="17"/>
      <c r="I129" s="18"/>
      <c r="J129" s="19"/>
      <c r="K129" s="14"/>
      <c r="L129" s="19"/>
      <c r="M129" s="20"/>
      <c r="N129" s="21"/>
      <c r="O129" s="107"/>
      <c r="P129" s="20"/>
      <c r="Q129" s="23"/>
      <c r="R129" s="107"/>
      <c r="S129" s="107"/>
      <c r="T129" s="107"/>
      <c r="U129" s="107"/>
      <c r="V129" s="107"/>
    </row>
    <row r="130" spans="1:22" s="12" customFormat="1" ht="19.149999999999999" customHeight="1" x14ac:dyDescent="0.2">
      <c r="A130" s="107"/>
      <c r="B130" s="107"/>
      <c r="C130" s="107"/>
      <c r="D130" s="107"/>
      <c r="E130" s="14"/>
      <c r="F130" s="24"/>
      <c r="G130" s="25"/>
      <c r="H130" s="17"/>
      <c r="I130" s="18"/>
      <c r="J130" s="19"/>
      <c r="K130" s="14"/>
      <c r="L130" s="19"/>
      <c r="M130" s="20"/>
      <c r="N130" s="21"/>
      <c r="O130" s="107"/>
      <c r="P130" s="20"/>
      <c r="Q130" s="23"/>
      <c r="R130" s="107"/>
      <c r="S130" s="107"/>
      <c r="T130" s="107"/>
      <c r="U130" s="107"/>
      <c r="V130" s="107"/>
    </row>
    <row r="131" spans="1:22" s="12" customFormat="1" ht="19.149999999999999" customHeight="1" x14ac:dyDescent="0.2">
      <c r="A131" s="107"/>
      <c r="B131" s="107"/>
      <c r="C131" s="107"/>
      <c r="D131" s="107"/>
      <c r="E131" s="14"/>
      <c r="F131" s="24"/>
      <c r="G131" s="25"/>
      <c r="H131" s="17"/>
      <c r="I131" s="18"/>
      <c r="J131" s="19"/>
      <c r="K131" s="14"/>
      <c r="L131" s="19"/>
      <c r="M131" s="20"/>
      <c r="N131" s="21"/>
      <c r="O131" s="107"/>
      <c r="P131" s="22"/>
      <c r="Q131" s="23"/>
      <c r="R131" s="107"/>
      <c r="S131" s="107"/>
      <c r="T131" s="107"/>
      <c r="U131" s="107"/>
      <c r="V131" s="107"/>
    </row>
    <row r="132" spans="1:22" s="12" customFormat="1" ht="19.149999999999999" customHeight="1" x14ac:dyDescent="0.2">
      <c r="A132" s="107"/>
      <c r="B132" s="107"/>
      <c r="C132" s="107"/>
      <c r="D132" s="107"/>
      <c r="E132" s="14"/>
      <c r="F132" s="24"/>
      <c r="G132" s="25"/>
      <c r="H132" s="17"/>
      <c r="I132" s="18"/>
      <c r="J132" s="19"/>
      <c r="K132" s="14"/>
      <c r="L132" s="19"/>
      <c r="M132" s="20"/>
      <c r="N132" s="21"/>
      <c r="O132" s="107"/>
      <c r="P132" s="22"/>
      <c r="Q132" s="23"/>
      <c r="R132" s="107"/>
      <c r="S132" s="107"/>
      <c r="T132" s="107"/>
      <c r="U132" s="107"/>
      <c r="V132" s="107"/>
    </row>
    <row r="133" spans="1:22" s="12" customFormat="1" x14ac:dyDescent="0.2">
      <c r="A133" s="107"/>
      <c r="B133" s="107"/>
      <c r="C133" s="107"/>
      <c r="D133" s="107"/>
      <c r="E133" s="31"/>
      <c r="F133" s="24"/>
      <c r="G133" s="32"/>
      <c r="H133" s="17"/>
      <c r="I133" s="18"/>
      <c r="J133" s="19"/>
      <c r="K133" s="33"/>
      <c r="L133" s="19"/>
      <c r="M133" s="20"/>
      <c r="N133" s="34"/>
      <c r="O133" s="107"/>
      <c r="P133" s="22"/>
      <c r="Q133" s="23"/>
      <c r="R133" s="107"/>
      <c r="S133" s="107"/>
      <c r="T133" s="107"/>
      <c r="U133" s="107"/>
      <c r="V133" s="107"/>
    </row>
    <row r="134" spans="1:22" s="12" customFormat="1" x14ac:dyDescent="0.2">
      <c r="A134" s="107"/>
      <c r="B134" s="28"/>
      <c r="C134" s="107"/>
      <c r="D134" s="107"/>
      <c r="E134" s="35"/>
      <c r="F134" s="36"/>
      <c r="G134" s="37"/>
      <c r="H134" s="38"/>
      <c r="I134" s="39"/>
      <c r="J134" s="39"/>
      <c r="K134" s="35"/>
      <c r="L134" s="107"/>
      <c r="M134" s="40"/>
      <c r="O134" s="107"/>
      <c r="P134" s="22"/>
      <c r="Q134" s="23"/>
      <c r="R134" s="107"/>
      <c r="S134" s="107"/>
      <c r="T134" s="107"/>
      <c r="U134" s="107"/>
      <c r="V134" s="107"/>
    </row>
    <row r="135" spans="1:22" s="12" customFormat="1" x14ac:dyDescent="0.2">
      <c r="A135" s="107"/>
      <c r="B135" s="107"/>
      <c r="C135" s="107"/>
      <c r="D135" s="107"/>
      <c r="E135" s="35"/>
      <c r="F135" s="36"/>
      <c r="G135" s="37"/>
      <c r="H135" s="38"/>
      <c r="I135" s="39"/>
      <c r="J135" s="39"/>
      <c r="K135" s="35"/>
      <c r="L135" s="107"/>
      <c r="M135" s="40"/>
      <c r="O135" s="107"/>
      <c r="P135" s="22"/>
      <c r="Q135" s="23"/>
      <c r="R135" s="107"/>
      <c r="S135" s="107"/>
      <c r="T135" s="107"/>
      <c r="U135" s="107"/>
      <c r="V135" s="107"/>
    </row>
    <row r="136" spans="1:22" s="12" customFormat="1" x14ac:dyDescent="0.2">
      <c r="A136" s="107"/>
      <c r="B136" s="107"/>
      <c r="C136" s="107"/>
      <c r="D136" s="107"/>
      <c r="E136" s="35"/>
      <c r="F136" s="36"/>
      <c r="G136" s="37"/>
      <c r="H136" s="38"/>
      <c r="I136" s="39"/>
      <c r="J136" s="39"/>
      <c r="K136" s="35"/>
      <c r="L136" s="107"/>
      <c r="M136" s="40"/>
      <c r="O136" s="107"/>
      <c r="P136" s="22"/>
      <c r="Q136" s="23"/>
      <c r="R136" s="107"/>
      <c r="S136" s="107"/>
      <c r="T136" s="107"/>
      <c r="U136" s="107"/>
      <c r="V136" s="107"/>
    </row>
    <row r="137" spans="1:22" s="12" customFormat="1" x14ac:dyDescent="0.2">
      <c r="A137" s="107"/>
      <c r="B137" s="107"/>
      <c r="C137" s="107"/>
      <c r="D137" s="107"/>
      <c r="E137" s="35"/>
      <c r="F137" s="36"/>
      <c r="G137" s="37"/>
      <c r="H137" s="38"/>
      <c r="I137" s="39"/>
      <c r="J137" s="39"/>
      <c r="K137" s="35"/>
      <c r="L137" s="107"/>
      <c r="M137" s="40"/>
      <c r="O137" s="107"/>
      <c r="P137" s="22"/>
      <c r="Q137" s="23"/>
      <c r="R137" s="107"/>
      <c r="S137" s="107"/>
      <c r="T137" s="107"/>
      <c r="U137" s="107"/>
      <c r="V137" s="107"/>
    </row>
    <row r="138" spans="1:22" s="12" customFormat="1" x14ac:dyDescent="0.2">
      <c r="A138" s="107"/>
      <c r="B138" s="107"/>
      <c r="C138" s="107"/>
      <c r="D138" s="107"/>
      <c r="E138" s="35"/>
      <c r="F138" s="36"/>
      <c r="G138" s="37"/>
      <c r="H138" s="38"/>
      <c r="I138" s="39"/>
      <c r="J138" s="39"/>
      <c r="K138" s="35"/>
      <c r="L138" s="107"/>
      <c r="M138" s="40"/>
      <c r="O138" s="107"/>
      <c r="P138" s="22"/>
      <c r="Q138" s="23"/>
      <c r="R138" s="107"/>
      <c r="S138" s="107"/>
      <c r="T138" s="107"/>
      <c r="U138" s="107"/>
      <c r="V138" s="107"/>
    </row>
    <row r="139" spans="1:22" s="12" customFormat="1" x14ac:dyDescent="0.2">
      <c r="A139" s="107"/>
      <c r="B139" s="107"/>
      <c r="C139" s="107"/>
      <c r="D139" s="107"/>
      <c r="E139" s="35"/>
      <c r="F139" s="36"/>
      <c r="G139" s="37"/>
      <c r="H139" s="38"/>
      <c r="I139" s="39"/>
      <c r="J139" s="39"/>
      <c r="K139" s="35"/>
      <c r="L139" s="107"/>
      <c r="M139" s="40"/>
      <c r="O139" s="107"/>
      <c r="P139" s="22"/>
      <c r="Q139" s="23"/>
      <c r="R139" s="107"/>
      <c r="S139" s="107"/>
      <c r="T139" s="107"/>
      <c r="U139" s="107"/>
      <c r="V139" s="107"/>
    </row>
    <row r="140" spans="1:22" s="12" customFormat="1" x14ac:dyDescent="0.2">
      <c r="A140" s="107"/>
      <c r="B140" s="107"/>
      <c r="C140" s="107"/>
      <c r="D140" s="107"/>
      <c r="E140" s="35"/>
      <c r="F140" s="36"/>
      <c r="G140" s="37"/>
      <c r="H140" s="38"/>
      <c r="I140" s="39"/>
      <c r="J140" s="39"/>
      <c r="K140" s="35"/>
      <c r="L140" s="107"/>
      <c r="M140" s="40"/>
      <c r="O140" s="107"/>
      <c r="P140" s="22"/>
      <c r="Q140" s="23"/>
      <c r="R140" s="107"/>
      <c r="S140" s="107"/>
      <c r="T140" s="107"/>
      <c r="U140" s="107"/>
      <c r="V140" s="107"/>
    </row>
    <row r="141" spans="1:22" s="12" customFormat="1" x14ac:dyDescent="0.2">
      <c r="A141" s="107"/>
      <c r="B141" s="107"/>
      <c r="C141" s="107"/>
      <c r="D141" s="107"/>
      <c r="E141" s="35"/>
      <c r="F141" s="36"/>
      <c r="G141" s="37"/>
      <c r="H141" s="38"/>
      <c r="I141" s="39"/>
      <c r="J141" s="39"/>
      <c r="K141" s="35"/>
      <c r="L141" s="107"/>
      <c r="M141" s="40"/>
      <c r="O141" s="107"/>
      <c r="P141" s="22"/>
      <c r="Q141" s="23"/>
      <c r="R141" s="107"/>
      <c r="S141" s="107"/>
      <c r="T141" s="107"/>
      <c r="U141" s="107"/>
      <c r="V141" s="107"/>
    </row>
    <row r="142" spans="1:22" s="12" customFormat="1" x14ac:dyDescent="0.2">
      <c r="A142" s="107"/>
      <c r="B142" s="107"/>
      <c r="C142" s="107"/>
      <c r="D142" s="107"/>
      <c r="E142" s="35"/>
      <c r="F142" s="36"/>
      <c r="G142" s="37"/>
      <c r="H142" s="38"/>
      <c r="I142" s="39"/>
      <c r="J142" s="39"/>
      <c r="K142" s="35"/>
      <c r="L142" s="107"/>
      <c r="M142" s="40"/>
      <c r="O142" s="107"/>
      <c r="P142" s="22"/>
      <c r="Q142" s="23"/>
      <c r="R142" s="107"/>
      <c r="S142" s="107"/>
      <c r="T142" s="107"/>
      <c r="U142" s="107"/>
      <c r="V142" s="107"/>
    </row>
    <row r="143" spans="1:22" s="12" customFormat="1" x14ac:dyDescent="0.2">
      <c r="A143" s="107"/>
      <c r="B143" s="107"/>
      <c r="C143" s="107"/>
      <c r="D143" s="107"/>
      <c r="E143" s="35"/>
      <c r="F143" s="36"/>
      <c r="G143" s="37"/>
      <c r="H143" s="38"/>
      <c r="I143" s="39"/>
      <c r="J143" s="39"/>
      <c r="K143" s="35"/>
      <c r="L143" s="107"/>
      <c r="M143" s="40"/>
      <c r="O143" s="107"/>
      <c r="P143" s="22"/>
      <c r="Q143" s="23"/>
      <c r="R143" s="107"/>
      <c r="S143" s="107"/>
      <c r="T143" s="107"/>
      <c r="U143" s="107"/>
      <c r="V143" s="107"/>
    </row>
    <row r="144" spans="1:22" s="12" customFormat="1" x14ac:dyDescent="0.2">
      <c r="A144" s="107"/>
      <c r="B144" s="107"/>
      <c r="C144" s="107"/>
      <c r="D144" s="107"/>
      <c r="E144" s="35"/>
      <c r="F144" s="36"/>
      <c r="G144" s="37"/>
      <c r="H144" s="38"/>
      <c r="I144" s="39"/>
      <c r="J144" s="39"/>
      <c r="K144" s="35"/>
      <c r="L144" s="107"/>
      <c r="M144" s="40"/>
      <c r="O144" s="107"/>
      <c r="P144" s="22"/>
      <c r="Q144" s="23"/>
      <c r="R144" s="107"/>
      <c r="S144" s="107"/>
      <c r="T144" s="107"/>
      <c r="U144" s="107"/>
      <c r="V144" s="107"/>
    </row>
    <row r="145" spans="1:22" s="12" customFormat="1" x14ac:dyDescent="0.2">
      <c r="A145" s="107"/>
      <c r="B145" s="107"/>
      <c r="C145" s="107"/>
      <c r="D145" s="107"/>
      <c r="E145" s="35"/>
      <c r="F145" s="36"/>
      <c r="G145" s="37"/>
      <c r="H145" s="38"/>
      <c r="I145" s="39"/>
      <c r="J145" s="39"/>
      <c r="K145" s="35"/>
      <c r="L145" s="107"/>
      <c r="M145" s="40"/>
      <c r="O145" s="107"/>
      <c r="P145" s="22"/>
      <c r="Q145" s="23"/>
      <c r="R145" s="107"/>
      <c r="S145" s="107"/>
      <c r="T145" s="107"/>
      <c r="U145" s="107"/>
      <c r="V145" s="107"/>
    </row>
    <row r="146" spans="1:22" s="12" customFormat="1" x14ac:dyDescent="0.2">
      <c r="A146" s="107"/>
      <c r="B146" s="107"/>
      <c r="C146" s="107"/>
      <c r="D146" s="107"/>
      <c r="E146" s="35"/>
      <c r="F146" s="36"/>
      <c r="G146" s="37"/>
      <c r="H146" s="38"/>
      <c r="I146" s="39"/>
      <c r="J146" s="39"/>
      <c r="K146" s="35"/>
      <c r="L146" s="107"/>
      <c r="M146" s="40"/>
      <c r="O146" s="107"/>
      <c r="P146" s="22"/>
      <c r="Q146" s="23"/>
      <c r="R146" s="107"/>
      <c r="S146" s="107"/>
      <c r="T146" s="107"/>
      <c r="U146" s="107"/>
      <c r="V146" s="107"/>
    </row>
    <row r="147" spans="1:22" s="12" customFormat="1" x14ac:dyDescent="0.2">
      <c r="A147" s="107"/>
      <c r="B147" s="107"/>
      <c r="C147" s="107"/>
      <c r="D147" s="107"/>
      <c r="E147" s="35"/>
      <c r="F147" s="36"/>
      <c r="G147" s="37"/>
      <c r="H147" s="38"/>
      <c r="I147" s="39"/>
      <c r="J147" s="39"/>
      <c r="K147" s="35"/>
      <c r="L147" s="107"/>
      <c r="M147" s="40"/>
      <c r="O147" s="107"/>
      <c r="P147" s="22"/>
      <c r="Q147" s="23"/>
      <c r="R147" s="107"/>
      <c r="S147" s="107"/>
      <c r="T147" s="107"/>
      <c r="U147" s="107"/>
      <c r="V147" s="107"/>
    </row>
    <row r="148" spans="1:22" s="12" customFormat="1" x14ac:dyDescent="0.2">
      <c r="A148" s="107"/>
      <c r="B148" s="107"/>
      <c r="C148" s="107"/>
      <c r="D148" s="107"/>
      <c r="E148" s="35"/>
      <c r="F148" s="36"/>
      <c r="G148" s="37"/>
      <c r="H148" s="38"/>
      <c r="I148" s="39"/>
      <c r="J148" s="39"/>
      <c r="K148" s="35"/>
      <c r="L148" s="107"/>
      <c r="M148" s="40"/>
      <c r="O148" s="107"/>
      <c r="P148" s="22"/>
      <c r="Q148" s="23"/>
      <c r="R148" s="107"/>
      <c r="S148" s="107"/>
      <c r="T148" s="107"/>
      <c r="U148" s="107"/>
      <c r="V148" s="107"/>
    </row>
    <row r="149" spans="1:22" s="12" customFormat="1" x14ac:dyDescent="0.2">
      <c r="A149" s="107"/>
      <c r="B149" s="107"/>
      <c r="C149" s="107"/>
      <c r="D149" s="107"/>
      <c r="E149" s="35"/>
      <c r="F149" s="36"/>
      <c r="G149" s="37"/>
      <c r="H149" s="38"/>
      <c r="I149" s="39"/>
      <c r="J149" s="39"/>
      <c r="K149" s="35"/>
      <c r="L149" s="107"/>
      <c r="M149" s="40"/>
      <c r="O149" s="107"/>
      <c r="P149" s="22"/>
      <c r="Q149" s="23"/>
      <c r="R149" s="107"/>
      <c r="S149" s="107"/>
      <c r="T149" s="107"/>
      <c r="U149" s="107"/>
      <c r="V149" s="107"/>
    </row>
    <row r="150" spans="1:22" s="12" customFormat="1" x14ac:dyDescent="0.2">
      <c r="A150" s="107"/>
      <c r="B150" s="107"/>
      <c r="C150" s="107"/>
      <c r="D150" s="107"/>
      <c r="E150" s="35"/>
      <c r="F150" s="36"/>
      <c r="G150" s="37"/>
      <c r="H150" s="38"/>
      <c r="I150" s="39"/>
      <c r="J150" s="39"/>
      <c r="K150" s="35"/>
      <c r="L150" s="107"/>
      <c r="M150" s="40"/>
      <c r="O150" s="107"/>
      <c r="P150" s="22"/>
      <c r="Q150" s="23"/>
      <c r="R150" s="107"/>
      <c r="S150" s="107"/>
      <c r="T150" s="107"/>
      <c r="U150" s="107"/>
      <c r="V150" s="107"/>
    </row>
    <row r="151" spans="1:22" s="12" customFormat="1" x14ac:dyDescent="0.2">
      <c r="A151" s="107"/>
      <c r="B151" s="107"/>
      <c r="C151" s="107"/>
      <c r="D151" s="107"/>
      <c r="E151" s="35"/>
      <c r="F151" s="36"/>
      <c r="G151" s="37"/>
      <c r="H151" s="38"/>
      <c r="I151" s="39"/>
      <c r="J151" s="39"/>
      <c r="K151" s="35"/>
      <c r="L151" s="107"/>
      <c r="M151" s="40"/>
      <c r="O151" s="107"/>
      <c r="P151" s="22"/>
      <c r="Q151" s="23"/>
      <c r="R151" s="107"/>
      <c r="S151" s="107"/>
      <c r="T151" s="107"/>
      <c r="U151" s="107"/>
      <c r="V151" s="107"/>
    </row>
    <row r="152" spans="1:22" s="12" customFormat="1" x14ac:dyDescent="0.2">
      <c r="A152" s="107"/>
      <c r="B152" s="107"/>
      <c r="C152" s="107"/>
      <c r="D152" s="107"/>
      <c r="E152" s="35"/>
      <c r="F152" s="36"/>
      <c r="G152" s="37"/>
      <c r="H152" s="38"/>
      <c r="I152" s="39"/>
      <c r="J152" s="39"/>
      <c r="K152" s="35"/>
      <c r="L152" s="107"/>
      <c r="M152" s="40"/>
      <c r="O152" s="107"/>
      <c r="P152" s="22"/>
      <c r="Q152" s="23"/>
      <c r="R152" s="107"/>
      <c r="S152" s="107"/>
      <c r="T152" s="107"/>
      <c r="U152" s="107"/>
      <c r="V152" s="107"/>
    </row>
    <row r="153" spans="1:22" s="12" customFormat="1" x14ac:dyDescent="0.2">
      <c r="A153" s="107"/>
      <c r="B153" s="107"/>
      <c r="C153" s="107"/>
      <c r="D153" s="107"/>
      <c r="E153" s="35"/>
      <c r="F153" s="36"/>
      <c r="G153" s="37"/>
      <c r="H153" s="38"/>
      <c r="I153" s="39"/>
      <c r="J153" s="39"/>
      <c r="K153" s="35"/>
      <c r="L153" s="107"/>
      <c r="M153" s="40"/>
      <c r="O153" s="107"/>
      <c r="P153" s="22"/>
      <c r="Q153" s="23"/>
      <c r="R153" s="107"/>
      <c r="S153" s="107"/>
      <c r="T153" s="107"/>
      <c r="U153" s="107"/>
      <c r="V153" s="107"/>
    </row>
    <row r="154" spans="1:22" s="12" customFormat="1" x14ac:dyDescent="0.2">
      <c r="A154" s="107"/>
      <c r="B154" s="107"/>
      <c r="C154" s="107"/>
      <c r="D154" s="107"/>
      <c r="E154" s="35"/>
      <c r="F154" s="36"/>
      <c r="G154" s="37"/>
      <c r="H154" s="38"/>
      <c r="I154" s="39"/>
      <c r="J154" s="39"/>
      <c r="K154" s="35"/>
      <c r="L154" s="107"/>
      <c r="M154" s="40"/>
      <c r="O154" s="107"/>
      <c r="P154" s="22"/>
      <c r="Q154" s="23"/>
      <c r="R154" s="107"/>
      <c r="S154" s="107"/>
      <c r="T154" s="107"/>
      <c r="U154" s="107"/>
      <c r="V154" s="107"/>
    </row>
    <row r="155" spans="1:22" s="12" customFormat="1" x14ac:dyDescent="0.2">
      <c r="A155" s="107"/>
      <c r="B155" s="107"/>
      <c r="C155" s="107"/>
      <c r="D155" s="107"/>
      <c r="E155" s="35"/>
      <c r="F155" s="36"/>
      <c r="G155" s="37"/>
      <c r="H155" s="38"/>
      <c r="I155" s="39"/>
      <c r="J155" s="39"/>
      <c r="K155" s="35"/>
      <c r="L155" s="107"/>
      <c r="M155" s="40"/>
      <c r="O155" s="107"/>
      <c r="P155" s="22"/>
      <c r="Q155" s="23"/>
      <c r="R155" s="107"/>
      <c r="S155" s="107"/>
      <c r="T155" s="107"/>
      <c r="U155" s="107"/>
      <c r="V155" s="107"/>
    </row>
    <row r="156" spans="1:22" s="12" customFormat="1" x14ac:dyDescent="0.2">
      <c r="A156" s="107"/>
      <c r="B156" s="28"/>
      <c r="C156" s="107"/>
      <c r="D156" s="107"/>
      <c r="E156" s="35"/>
      <c r="F156" s="36"/>
      <c r="G156" s="37"/>
      <c r="H156" s="38"/>
      <c r="I156" s="39"/>
      <c r="J156" s="39"/>
      <c r="K156" s="35"/>
      <c r="L156" s="107"/>
      <c r="M156" s="40"/>
      <c r="O156" s="107"/>
      <c r="P156" s="22"/>
      <c r="Q156" s="23"/>
      <c r="R156" s="107"/>
      <c r="S156" s="107"/>
      <c r="T156" s="107"/>
      <c r="U156" s="107"/>
      <c r="V156" s="107"/>
    </row>
    <row r="157" spans="1:22" s="12" customFormat="1" x14ac:dyDescent="0.2">
      <c r="A157" s="107"/>
      <c r="B157" s="107"/>
      <c r="C157" s="107"/>
      <c r="D157" s="107"/>
      <c r="E157" s="35"/>
      <c r="F157" s="36"/>
      <c r="G157" s="37"/>
      <c r="H157" s="38"/>
      <c r="I157" s="39"/>
      <c r="J157" s="39"/>
      <c r="K157" s="35"/>
      <c r="L157" s="107"/>
      <c r="M157" s="40"/>
      <c r="O157" s="107"/>
      <c r="P157" s="22"/>
      <c r="Q157" s="23"/>
      <c r="R157" s="107"/>
      <c r="S157" s="107"/>
      <c r="T157" s="107"/>
      <c r="U157" s="107"/>
      <c r="V157" s="107"/>
    </row>
    <row r="158" spans="1:22" s="12" customFormat="1" x14ac:dyDescent="0.2">
      <c r="A158" s="107"/>
      <c r="B158" s="107"/>
      <c r="C158" s="107"/>
      <c r="D158" s="107"/>
      <c r="E158" s="35"/>
      <c r="F158" s="36"/>
      <c r="G158" s="37"/>
      <c r="H158" s="38"/>
      <c r="I158" s="39"/>
      <c r="J158" s="39"/>
      <c r="K158" s="35"/>
      <c r="L158" s="107"/>
      <c r="M158" s="40"/>
      <c r="O158" s="107"/>
      <c r="P158" s="22"/>
      <c r="Q158" s="23"/>
      <c r="R158" s="107"/>
      <c r="S158" s="107"/>
      <c r="T158" s="107"/>
      <c r="U158" s="107"/>
      <c r="V158" s="107"/>
    </row>
    <row r="159" spans="1:22" s="12" customFormat="1" x14ac:dyDescent="0.2">
      <c r="A159" s="107"/>
      <c r="B159" s="107"/>
      <c r="C159" s="107"/>
      <c r="D159" s="107"/>
      <c r="E159" s="35"/>
      <c r="F159" s="36"/>
      <c r="G159" s="37"/>
      <c r="H159" s="38"/>
      <c r="I159" s="39"/>
      <c r="J159" s="39"/>
      <c r="K159" s="35"/>
      <c r="L159" s="107"/>
      <c r="M159" s="40"/>
      <c r="O159" s="107"/>
      <c r="P159" s="22"/>
      <c r="Q159" s="23"/>
      <c r="R159" s="107"/>
      <c r="S159" s="107"/>
      <c r="T159" s="107"/>
      <c r="U159" s="107"/>
      <c r="V159" s="107"/>
    </row>
    <row r="160" spans="1:22" s="12" customFormat="1" x14ac:dyDescent="0.2">
      <c r="A160" s="107"/>
      <c r="B160" s="107"/>
      <c r="C160" s="107"/>
      <c r="D160" s="107"/>
      <c r="E160" s="35"/>
      <c r="F160" s="36"/>
      <c r="G160" s="37"/>
      <c r="H160" s="38"/>
      <c r="I160" s="39"/>
      <c r="J160" s="39"/>
      <c r="K160" s="35"/>
      <c r="L160" s="107"/>
      <c r="M160" s="40"/>
      <c r="O160" s="107"/>
      <c r="P160" s="22"/>
      <c r="Q160" s="23"/>
      <c r="R160" s="107"/>
      <c r="S160" s="107"/>
      <c r="T160" s="107"/>
      <c r="U160" s="107"/>
      <c r="V160" s="107"/>
    </row>
    <row r="161" spans="1:22" s="12" customFormat="1" x14ac:dyDescent="0.2">
      <c r="A161" s="107"/>
      <c r="B161" s="107"/>
      <c r="C161" s="107"/>
      <c r="D161" s="107"/>
      <c r="E161" s="35"/>
      <c r="F161" s="36"/>
      <c r="G161" s="37"/>
      <c r="H161" s="38"/>
      <c r="I161" s="39"/>
      <c r="J161" s="39"/>
      <c r="K161" s="35"/>
      <c r="L161" s="107"/>
      <c r="M161" s="40"/>
      <c r="O161" s="107"/>
      <c r="P161" s="22"/>
      <c r="Q161" s="23"/>
      <c r="R161" s="107"/>
      <c r="S161" s="107"/>
      <c r="T161" s="107"/>
      <c r="U161" s="107"/>
      <c r="V161" s="107"/>
    </row>
    <row r="162" spans="1:22" s="12" customFormat="1" x14ac:dyDescent="0.2">
      <c r="A162" s="107"/>
      <c r="B162" s="107"/>
      <c r="C162" s="107"/>
      <c r="D162" s="107"/>
      <c r="E162" s="35"/>
      <c r="F162" s="36"/>
      <c r="G162" s="37"/>
      <c r="H162" s="38"/>
      <c r="I162" s="39"/>
      <c r="J162" s="39"/>
      <c r="K162" s="35"/>
      <c r="L162" s="107"/>
      <c r="M162" s="40"/>
      <c r="O162" s="107"/>
      <c r="P162" s="22"/>
      <c r="Q162" s="23"/>
      <c r="R162" s="107"/>
      <c r="S162" s="107"/>
      <c r="T162" s="107"/>
      <c r="U162" s="107"/>
      <c r="V162" s="107"/>
    </row>
    <row r="163" spans="1:22" s="12" customFormat="1" x14ac:dyDescent="0.2">
      <c r="A163" s="107"/>
      <c r="B163" s="107"/>
      <c r="C163" s="107"/>
      <c r="D163" s="107"/>
      <c r="E163" s="35"/>
      <c r="F163" s="36"/>
      <c r="G163" s="37"/>
      <c r="H163" s="38"/>
      <c r="I163" s="39"/>
      <c r="J163" s="39"/>
      <c r="K163" s="35"/>
      <c r="L163" s="107"/>
      <c r="M163" s="40"/>
      <c r="O163" s="107"/>
      <c r="P163" s="22"/>
      <c r="Q163" s="23"/>
      <c r="R163" s="107"/>
      <c r="S163" s="107"/>
      <c r="T163" s="107"/>
      <c r="U163" s="107"/>
      <c r="V163" s="107"/>
    </row>
    <row r="164" spans="1:22" s="12" customFormat="1" x14ac:dyDescent="0.2">
      <c r="A164" s="107"/>
      <c r="B164" s="107"/>
      <c r="C164" s="107"/>
      <c r="D164" s="107"/>
      <c r="E164" s="35"/>
      <c r="F164" s="36"/>
      <c r="G164" s="37"/>
      <c r="H164" s="38"/>
      <c r="I164" s="39"/>
      <c r="J164" s="39"/>
      <c r="K164" s="35"/>
      <c r="L164" s="107"/>
      <c r="M164" s="40"/>
      <c r="O164" s="107"/>
      <c r="P164" s="22"/>
      <c r="Q164" s="23"/>
      <c r="R164" s="107"/>
      <c r="S164" s="107"/>
      <c r="T164" s="107"/>
      <c r="U164" s="107"/>
      <c r="V164" s="107"/>
    </row>
    <row r="165" spans="1:22" s="12" customFormat="1" x14ac:dyDescent="0.2">
      <c r="A165" s="107"/>
      <c r="B165" s="107"/>
      <c r="C165" s="107"/>
      <c r="D165" s="107"/>
      <c r="E165" s="35"/>
      <c r="F165" s="36"/>
      <c r="G165" s="37"/>
      <c r="H165" s="38"/>
      <c r="I165" s="39"/>
      <c r="J165" s="39"/>
      <c r="K165" s="35"/>
      <c r="L165" s="107"/>
      <c r="M165" s="40"/>
      <c r="O165" s="107"/>
      <c r="P165" s="22"/>
      <c r="Q165" s="23"/>
      <c r="R165" s="107"/>
      <c r="S165" s="107"/>
      <c r="T165" s="107"/>
      <c r="U165" s="107"/>
      <c r="V165" s="107"/>
    </row>
    <row r="166" spans="1:22" s="12" customFormat="1" x14ac:dyDescent="0.2">
      <c r="A166" s="107"/>
      <c r="B166" s="107"/>
      <c r="C166" s="107"/>
      <c r="D166" s="107"/>
      <c r="E166" s="35"/>
      <c r="F166" s="36"/>
      <c r="G166" s="37"/>
      <c r="H166" s="38"/>
      <c r="I166" s="39"/>
      <c r="J166" s="39"/>
      <c r="K166" s="35"/>
      <c r="L166" s="107"/>
      <c r="M166" s="40"/>
      <c r="O166" s="107"/>
      <c r="P166" s="22"/>
      <c r="Q166" s="23"/>
      <c r="R166" s="107"/>
      <c r="S166" s="107"/>
      <c r="T166" s="107"/>
      <c r="U166" s="107"/>
      <c r="V166" s="107"/>
    </row>
    <row r="167" spans="1:22" s="12" customFormat="1" x14ac:dyDescent="0.2">
      <c r="A167" s="107"/>
      <c r="B167" s="107"/>
      <c r="C167" s="107"/>
      <c r="D167" s="107"/>
      <c r="E167" s="35"/>
      <c r="F167" s="36"/>
      <c r="G167" s="37"/>
      <c r="H167" s="38"/>
      <c r="I167" s="39"/>
      <c r="J167" s="39"/>
      <c r="K167" s="35"/>
      <c r="L167" s="107"/>
      <c r="M167" s="40"/>
      <c r="O167" s="107"/>
      <c r="P167" s="22"/>
      <c r="Q167" s="23"/>
      <c r="R167" s="107"/>
      <c r="S167" s="107"/>
      <c r="T167" s="107"/>
      <c r="U167" s="107"/>
      <c r="V167" s="107"/>
    </row>
    <row r="168" spans="1:22" s="12" customFormat="1" x14ac:dyDescent="0.2">
      <c r="A168" s="107"/>
      <c r="B168" s="107"/>
      <c r="C168" s="107"/>
      <c r="D168" s="107"/>
      <c r="E168" s="35"/>
      <c r="F168" s="36"/>
      <c r="G168" s="37"/>
      <c r="H168" s="38"/>
      <c r="I168" s="39"/>
      <c r="J168" s="39"/>
      <c r="K168" s="35"/>
      <c r="L168" s="107"/>
      <c r="M168" s="40"/>
      <c r="O168" s="107"/>
      <c r="P168" s="22"/>
      <c r="Q168" s="23"/>
      <c r="R168" s="107"/>
      <c r="S168" s="107"/>
      <c r="T168" s="107"/>
      <c r="U168" s="107"/>
      <c r="V168" s="107"/>
    </row>
    <row r="169" spans="1:22" s="12" customFormat="1" x14ac:dyDescent="0.2">
      <c r="A169" s="107"/>
      <c r="B169" s="107"/>
      <c r="C169" s="107"/>
      <c r="D169" s="107"/>
      <c r="E169" s="35"/>
      <c r="F169" s="36"/>
      <c r="G169" s="37"/>
      <c r="H169" s="38"/>
      <c r="I169" s="39"/>
      <c r="J169" s="39"/>
      <c r="K169" s="35"/>
      <c r="L169" s="107"/>
      <c r="M169" s="40"/>
      <c r="O169" s="107"/>
      <c r="P169" s="22"/>
      <c r="Q169" s="23"/>
      <c r="R169" s="107"/>
      <c r="S169" s="107"/>
      <c r="T169" s="107"/>
      <c r="U169" s="107"/>
      <c r="V169" s="107"/>
    </row>
    <row r="170" spans="1:22" s="12" customFormat="1" x14ac:dyDescent="0.2">
      <c r="A170" s="107"/>
      <c r="B170" s="107"/>
      <c r="C170" s="107"/>
      <c r="D170" s="107"/>
      <c r="E170" s="35"/>
      <c r="F170" s="36"/>
      <c r="G170" s="37"/>
      <c r="H170" s="38"/>
      <c r="I170" s="39"/>
      <c r="J170" s="39"/>
      <c r="K170" s="35"/>
      <c r="L170" s="107"/>
      <c r="M170" s="40"/>
      <c r="O170" s="107"/>
      <c r="P170" s="22"/>
      <c r="Q170" s="23"/>
      <c r="R170" s="107"/>
      <c r="S170" s="107"/>
      <c r="T170" s="107"/>
      <c r="U170" s="107"/>
      <c r="V170" s="107"/>
    </row>
    <row r="171" spans="1:22" s="12" customFormat="1" x14ac:dyDescent="0.2">
      <c r="A171" s="107"/>
      <c r="B171" s="107"/>
      <c r="C171" s="107"/>
      <c r="D171" s="107"/>
      <c r="E171" s="35"/>
      <c r="F171" s="36"/>
      <c r="G171" s="37"/>
      <c r="H171" s="38"/>
      <c r="I171" s="39"/>
      <c r="J171" s="39"/>
      <c r="K171" s="35"/>
      <c r="L171" s="107"/>
      <c r="M171" s="40"/>
      <c r="O171" s="107"/>
      <c r="P171" s="22"/>
      <c r="Q171" s="23"/>
      <c r="R171" s="107"/>
      <c r="S171" s="107"/>
      <c r="T171" s="107"/>
      <c r="U171" s="107"/>
      <c r="V171" s="107"/>
    </row>
    <row r="172" spans="1:22" s="12" customFormat="1" x14ac:dyDescent="0.2">
      <c r="A172" s="107"/>
      <c r="B172" s="107"/>
      <c r="C172" s="107"/>
      <c r="D172" s="107"/>
      <c r="E172" s="35"/>
      <c r="F172" s="36"/>
      <c r="G172" s="37"/>
      <c r="H172" s="38"/>
      <c r="I172" s="39"/>
      <c r="J172" s="39"/>
      <c r="K172" s="35"/>
      <c r="L172" s="107"/>
      <c r="M172" s="40"/>
      <c r="O172" s="107"/>
      <c r="P172" s="22"/>
      <c r="Q172" s="23"/>
      <c r="R172" s="107"/>
      <c r="S172" s="107"/>
      <c r="T172" s="107"/>
      <c r="U172" s="107"/>
      <c r="V172" s="107"/>
    </row>
    <row r="173" spans="1:22" s="12" customFormat="1" x14ac:dyDescent="0.2">
      <c r="A173" s="107"/>
      <c r="B173" s="107"/>
      <c r="C173" s="107"/>
      <c r="D173" s="107"/>
      <c r="E173" s="35"/>
      <c r="F173" s="36"/>
      <c r="G173" s="37"/>
      <c r="H173" s="38"/>
      <c r="I173" s="39"/>
      <c r="J173" s="39"/>
      <c r="K173" s="35"/>
      <c r="L173" s="107"/>
      <c r="M173" s="40"/>
      <c r="O173" s="107"/>
      <c r="P173" s="22"/>
      <c r="Q173" s="23"/>
      <c r="R173" s="107"/>
      <c r="S173" s="107"/>
      <c r="T173" s="107"/>
      <c r="U173" s="107"/>
      <c r="V173" s="107"/>
    </row>
    <row r="174" spans="1:22" s="12" customFormat="1" x14ac:dyDescent="0.2">
      <c r="A174" s="107"/>
      <c r="B174" s="107"/>
      <c r="C174" s="107"/>
      <c r="D174" s="107"/>
      <c r="E174" s="35"/>
      <c r="F174" s="36"/>
      <c r="G174" s="37"/>
      <c r="H174" s="38"/>
      <c r="I174" s="39"/>
      <c r="J174" s="39"/>
      <c r="K174" s="35"/>
      <c r="L174" s="107"/>
      <c r="M174" s="40"/>
      <c r="O174" s="107"/>
      <c r="P174" s="22"/>
      <c r="Q174" s="23"/>
      <c r="R174" s="107"/>
      <c r="S174" s="107"/>
      <c r="T174" s="107"/>
      <c r="U174" s="107"/>
      <c r="V174" s="107"/>
    </row>
    <row r="175" spans="1:22" s="12" customFormat="1" x14ac:dyDescent="0.2">
      <c r="A175" s="107"/>
      <c r="B175" s="107"/>
      <c r="C175" s="107"/>
      <c r="D175" s="107"/>
      <c r="E175" s="35"/>
      <c r="F175" s="36"/>
      <c r="G175" s="37"/>
      <c r="H175" s="38"/>
      <c r="I175" s="39"/>
      <c r="J175" s="39"/>
      <c r="K175" s="35"/>
      <c r="L175" s="107"/>
      <c r="M175" s="40"/>
      <c r="O175" s="107"/>
      <c r="P175" s="22"/>
      <c r="Q175" s="23"/>
      <c r="R175" s="107"/>
      <c r="S175" s="107"/>
      <c r="T175" s="107"/>
      <c r="U175" s="107"/>
      <c r="V175" s="107"/>
    </row>
    <row r="176" spans="1:22" s="12" customFormat="1" x14ac:dyDescent="0.2">
      <c r="A176" s="107"/>
      <c r="B176" s="107"/>
      <c r="C176" s="107"/>
      <c r="D176" s="107"/>
      <c r="E176" s="35"/>
      <c r="F176" s="36"/>
      <c r="G176" s="37"/>
      <c r="H176" s="38"/>
      <c r="I176" s="39"/>
      <c r="J176" s="39"/>
      <c r="K176" s="35"/>
      <c r="L176" s="107"/>
      <c r="M176" s="40"/>
      <c r="O176" s="107"/>
      <c r="P176" s="22"/>
      <c r="Q176" s="23"/>
      <c r="R176" s="107"/>
      <c r="S176" s="107"/>
      <c r="T176" s="107"/>
      <c r="U176" s="107"/>
      <c r="V176" s="107"/>
    </row>
    <row r="177" spans="1:22" s="12" customFormat="1" x14ac:dyDescent="0.2">
      <c r="A177" s="107"/>
      <c r="B177" s="28"/>
      <c r="C177" s="107"/>
      <c r="D177" s="107"/>
      <c r="E177" s="35"/>
      <c r="F177" s="36"/>
      <c r="G177" s="37"/>
      <c r="H177" s="38"/>
      <c r="I177" s="39"/>
      <c r="J177" s="39"/>
      <c r="K177" s="35"/>
      <c r="L177" s="107"/>
      <c r="M177" s="40"/>
      <c r="O177" s="107"/>
      <c r="P177" s="22"/>
      <c r="Q177" s="23"/>
      <c r="R177" s="107"/>
      <c r="S177" s="107"/>
      <c r="T177" s="107"/>
      <c r="U177" s="107"/>
      <c r="V177" s="107"/>
    </row>
    <row r="178" spans="1:22" s="12" customFormat="1" x14ac:dyDescent="0.2">
      <c r="A178" s="107"/>
      <c r="B178" s="107"/>
      <c r="C178" s="107"/>
      <c r="D178" s="107"/>
      <c r="E178" s="35"/>
      <c r="F178" s="36"/>
      <c r="G178" s="37"/>
      <c r="H178" s="38"/>
      <c r="I178" s="39"/>
      <c r="J178" s="39"/>
      <c r="K178" s="35"/>
      <c r="L178" s="107"/>
      <c r="M178" s="40"/>
      <c r="O178" s="107"/>
      <c r="P178" s="22"/>
      <c r="Q178" s="23"/>
      <c r="R178" s="107"/>
      <c r="S178" s="107"/>
      <c r="T178" s="107"/>
      <c r="U178" s="107"/>
      <c r="V178" s="107"/>
    </row>
    <row r="179" spans="1:22" s="12" customFormat="1" x14ac:dyDescent="0.2">
      <c r="A179" s="107"/>
      <c r="B179" s="107"/>
      <c r="C179" s="107"/>
      <c r="D179" s="107"/>
      <c r="E179" s="35"/>
      <c r="F179" s="36"/>
      <c r="G179" s="37"/>
      <c r="H179" s="38"/>
      <c r="I179" s="39"/>
      <c r="J179" s="39"/>
      <c r="K179" s="35"/>
      <c r="L179" s="107"/>
      <c r="M179" s="40"/>
      <c r="O179" s="107"/>
      <c r="P179" s="22"/>
      <c r="Q179" s="23"/>
      <c r="R179" s="107"/>
      <c r="S179" s="107"/>
      <c r="T179" s="107"/>
      <c r="U179" s="107"/>
      <c r="V179" s="107"/>
    </row>
    <row r="180" spans="1:22" s="12" customFormat="1" x14ac:dyDescent="0.2">
      <c r="A180" s="107"/>
      <c r="B180" s="107"/>
      <c r="C180" s="107"/>
      <c r="D180" s="107"/>
      <c r="E180" s="35"/>
      <c r="F180" s="36"/>
      <c r="G180" s="37"/>
      <c r="H180" s="38"/>
      <c r="I180" s="39"/>
      <c r="J180" s="39"/>
      <c r="K180" s="35"/>
      <c r="L180" s="107"/>
      <c r="M180" s="40"/>
      <c r="O180" s="107"/>
      <c r="P180" s="22"/>
      <c r="R180" s="107"/>
      <c r="S180" s="107"/>
      <c r="T180" s="107"/>
      <c r="U180" s="107"/>
      <c r="V180" s="107"/>
    </row>
    <row r="181" spans="1:22" s="12" customFormat="1" x14ac:dyDescent="0.2">
      <c r="A181" s="107"/>
      <c r="B181" s="107"/>
      <c r="C181" s="107"/>
      <c r="D181" s="107"/>
      <c r="E181" s="35"/>
      <c r="F181" s="36"/>
      <c r="G181" s="37"/>
      <c r="H181" s="38"/>
      <c r="I181" s="39"/>
      <c r="J181" s="39"/>
      <c r="K181" s="35"/>
      <c r="L181" s="107"/>
      <c r="M181" s="40"/>
      <c r="O181" s="107"/>
      <c r="P181" s="22"/>
      <c r="R181" s="107"/>
      <c r="S181" s="107"/>
      <c r="T181" s="107"/>
      <c r="U181" s="107"/>
      <c r="V181" s="107"/>
    </row>
    <row r="182" spans="1:22" s="12" customFormat="1" x14ac:dyDescent="0.2">
      <c r="A182" s="107"/>
      <c r="B182" s="107"/>
      <c r="C182" s="107"/>
      <c r="D182" s="107"/>
      <c r="E182" s="35"/>
      <c r="F182" s="36"/>
      <c r="G182" s="37"/>
      <c r="H182" s="38"/>
      <c r="I182" s="39"/>
      <c r="J182" s="39"/>
      <c r="K182" s="35"/>
      <c r="L182" s="107"/>
      <c r="M182" s="40"/>
      <c r="O182" s="107"/>
      <c r="P182" s="22"/>
      <c r="R182" s="107"/>
      <c r="S182" s="107"/>
      <c r="T182" s="107"/>
      <c r="U182" s="107"/>
      <c r="V182" s="107"/>
    </row>
    <row r="183" spans="1:22" s="12" customFormat="1" x14ac:dyDescent="0.2">
      <c r="A183" s="107"/>
      <c r="B183" s="107"/>
      <c r="C183" s="107"/>
      <c r="D183" s="107"/>
      <c r="E183" s="35"/>
      <c r="F183" s="36"/>
      <c r="G183" s="37"/>
      <c r="H183" s="38"/>
      <c r="I183" s="39"/>
      <c r="J183" s="39"/>
      <c r="K183" s="35"/>
      <c r="L183" s="107"/>
      <c r="M183" s="40"/>
      <c r="O183" s="107"/>
      <c r="P183" s="22"/>
      <c r="R183" s="107"/>
      <c r="S183" s="107"/>
      <c r="T183" s="107"/>
      <c r="U183" s="107"/>
      <c r="V183" s="107"/>
    </row>
    <row r="184" spans="1:22" s="12" customFormat="1" x14ac:dyDescent="0.2">
      <c r="A184" s="107"/>
      <c r="B184" s="107"/>
      <c r="C184" s="107"/>
      <c r="D184" s="107"/>
      <c r="E184" s="35"/>
      <c r="F184" s="36"/>
      <c r="G184" s="37"/>
      <c r="H184" s="38"/>
      <c r="I184" s="39"/>
      <c r="J184" s="39"/>
      <c r="K184" s="35"/>
      <c r="L184" s="107"/>
      <c r="M184" s="40"/>
      <c r="O184" s="107"/>
      <c r="P184" s="22"/>
      <c r="R184" s="107"/>
      <c r="S184" s="107"/>
      <c r="T184" s="107"/>
      <c r="U184" s="107"/>
      <c r="V184" s="107"/>
    </row>
    <row r="185" spans="1:22" s="12" customFormat="1" x14ac:dyDescent="0.2">
      <c r="A185" s="107"/>
      <c r="B185" s="107"/>
      <c r="C185" s="107"/>
      <c r="D185" s="107"/>
      <c r="E185" s="35"/>
      <c r="F185" s="36"/>
      <c r="G185" s="37"/>
      <c r="H185" s="38"/>
      <c r="I185" s="39"/>
      <c r="J185" s="39"/>
      <c r="K185" s="35"/>
      <c r="L185" s="107"/>
      <c r="M185" s="40"/>
      <c r="O185" s="107"/>
      <c r="P185" s="22"/>
      <c r="R185" s="107"/>
      <c r="S185" s="107"/>
      <c r="T185" s="107"/>
      <c r="U185" s="107"/>
      <c r="V185" s="107"/>
    </row>
    <row r="186" spans="1:22" s="12" customFormat="1" x14ac:dyDescent="0.2">
      <c r="A186" s="107"/>
      <c r="B186" s="107"/>
      <c r="C186" s="107"/>
      <c r="D186" s="107"/>
      <c r="E186" s="35"/>
      <c r="F186" s="36"/>
      <c r="G186" s="37"/>
      <c r="H186" s="38"/>
      <c r="I186" s="39"/>
      <c r="J186" s="39"/>
      <c r="K186" s="35"/>
      <c r="L186" s="107"/>
      <c r="M186" s="40"/>
      <c r="O186" s="107"/>
      <c r="P186" s="22"/>
      <c r="R186" s="107"/>
      <c r="S186" s="107"/>
      <c r="T186" s="107"/>
      <c r="U186" s="107"/>
      <c r="V186" s="107"/>
    </row>
    <row r="187" spans="1:22" s="12" customFormat="1" x14ac:dyDescent="0.2">
      <c r="A187" s="107"/>
      <c r="B187" s="107"/>
      <c r="C187" s="107"/>
      <c r="D187" s="107"/>
      <c r="E187" s="35"/>
      <c r="F187" s="36"/>
      <c r="G187" s="37"/>
      <c r="H187" s="38"/>
      <c r="I187" s="39"/>
      <c r="J187" s="39"/>
      <c r="K187" s="35"/>
      <c r="L187" s="107"/>
      <c r="M187" s="40"/>
      <c r="O187" s="107"/>
      <c r="P187" s="22"/>
      <c r="R187" s="107"/>
      <c r="S187" s="107"/>
      <c r="T187" s="107"/>
      <c r="U187" s="107"/>
      <c r="V187" s="107"/>
    </row>
    <row r="188" spans="1:22" s="12" customFormat="1" x14ac:dyDescent="0.2">
      <c r="A188" s="107"/>
      <c r="B188" s="107"/>
      <c r="C188" s="107"/>
      <c r="D188" s="107"/>
      <c r="E188" s="35"/>
      <c r="F188" s="36"/>
      <c r="G188" s="37"/>
      <c r="H188" s="38"/>
      <c r="I188" s="39"/>
      <c r="J188" s="39"/>
      <c r="K188" s="35"/>
      <c r="L188" s="107"/>
      <c r="M188" s="40"/>
      <c r="O188" s="107"/>
      <c r="P188" s="22"/>
      <c r="R188" s="107"/>
      <c r="S188" s="107"/>
      <c r="T188" s="107"/>
      <c r="U188" s="107"/>
      <c r="V188" s="107"/>
    </row>
    <row r="189" spans="1:22" s="12" customFormat="1" x14ac:dyDescent="0.2">
      <c r="A189" s="107"/>
      <c r="B189" s="107"/>
      <c r="C189" s="107"/>
      <c r="D189" s="107"/>
      <c r="E189" s="35"/>
      <c r="F189" s="36"/>
      <c r="G189" s="37"/>
      <c r="H189" s="38"/>
      <c r="I189" s="39"/>
      <c r="J189" s="39"/>
      <c r="K189" s="35"/>
      <c r="L189" s="107"/>
      <c r="M189" s="40"/>
      <c r="O189" s="107"/>
      <c r="P189" s="22"/>
      <c r="R189" s="107"/>
      <c r="S189" s="107"/>
      <c r="T189" s="107"/>
      <c r="U189" s="107"/>
      <c r="V189" s="107"/>
    </row>
    <row r="190" spans="1:22" s="12" customFormat="1" x14ac:dyDescent="0.2">
      <c r="A190" s="107"/>
      <c r="B190" s="107"/>
      <c r="C190" s="107"/>
      <c r="D190" s="107"/>
      <c r="E190" s="35"/>
      <c r="F190" s="36"/>
      <c r="G190" s="37"/>
      <c r="H190" s="38"/>
      <c r="I190" s="39"/>
      <c r="J190" s="39"/>
      <c r="K190" s="35"/>
      <c r="L190" s="107"/>
      <c r="M190" s="40"/>
      <c r="O190" s="107"/>
      <c r="P190" s="22"/>
      <c r="R190" s="107"/>
      <c r="S190" s="107"/>
      <c r="T190" s="107"/>
      <c r="U190" s="107"/>
      <c r="V190" s="107"/>
    </row>
    <row r="191" spans="1:22" s="12" customFormat="1" x14ac:dyDescent="0.2">
      <c r="A191" s="107"/>
      <c r="B191" s="107"/>
      <c r="C191" s="107"/>
      <c r="D191" s="107"/>
      <c r="E191" s="35"/>
      <c r="F191" s="36"/>
      <c r="G191" s="37"/>
      <c r="H191" s="38"/>
      <c r="I191" s="39"/>
      <c r="J191" s="39"/>
      <c r="K191" s="35"/>
      <c r="L191" s="107"/>
      <c r="M191" s="40"/>
      <c r="O191" s="107"/>
      <c r="P191" s="22"/>
      <c r="R191" s="107"/>
      <c r="S191" s="107"/>
      <c r="T191" s="107"/>
      <c r="U191" s="107"/>
      <c r="V191" s="107"/>
    </row>
    <row r="192" spans="1:22" s="12" customFormat="1" x14ac:dyDescent="0.2">
      <c r="A192" s="107"/>
      <c r="B192" s="107"/>
      <c r="C192" s="107"/>
      <c r="D192" s="107"/>
      <c r="E192" s="35"/>
      <c r="F192" s="36"/>
      <c r="G192" s="37"/>
      <c r="H192" s="38"/>
      <c r="I192" s="39"/>
      <c r="J192" s="39"/>
      <c r="K192" s="35"/>
      <c r="L192" s="107"/>
      <c r="M192" s="40"/>
      <c r="O192" s="107"/>
      <c r="P192" s="22"/>
      <c r="R192" s="107"/>
      <c r="S192" s="107"/>
      <c r="T192" s="107"/>
      <c r="U192" s="107"/>
      <c r="V192" s="107"/>
    </row>
    <row r="193" spans="1:22" s="12" customFormat="1" x14ac:dyDescent="0.2">
      <c r="A193" s="107"/>
      <c r="B193" s="107"/>
      <c r="C193" s="107"/>
      <c r="D193" s="107"/>
      <c r="E193" s="35"/>
      <c r="F193" s="36"/>
      <c r="G193" s="37"/>
      <c r="H193" s="38"/>
      <c r="I193" s="39"/>
      <c r="J193" s="39"/>
      <c r="K193" s="35"/>
      <c r="L193" s="107"/>
      <c r="M193" s="40"/>
      <c r="O193" s="107"/>
      <c r="P193" s="22"/>
      <c r="R193" s="107"/>
      <c r="S193" s="107"/>
      <c r="T193" s="107"/>
      <c r="U193" s="107"/>
      <c r="V193" s="107"/>
    </row>
    <row r="194" spans="1:22" s="12" customFormat="1" x14ac:dyDescent="0.2">
      <c r="A194" s="107"/>
      <c r="B194" s="107"/>
      <c r="C194" s="107"/>
      <c r="D194" s="107"/>
      <c r="E194" s="35"/>
      <c r="F194" s="36"/>
      <c r="G194" s="37"/>
      <c r="H194" s="38"/>
      <c r="I194" s="39"/>
      <c r="J194" s="39"/>
      <c r="K194" s="35"/>
      <c r="L194" s="107"/>
      <c r="M194" s="40"/>
      <c r="O194" s="107"/>
      <c r="P194" s="22"/>
      <c r="R194" s="107"/>
      <c r="S194" s="107"/>
      <c r="T194" s="107"/>
      <c r="U194" s="107"/>
      <c r="V194" s="107"/>
    </row>
    <row r="195" spans="1:22" s="12" customFormat="1" x14ac:dyDescent="0.2">
      <c r="A195" s="107"/>
      <c r="B195" s="107"/>
      <c r="C195" s="107"/>
      <c r="D195" s="107"/>
      <c r="E195" s="35"/>
      <c r="F195" s="36"/>
      <c r="G195" s="37"/>
      <c r="H195" s="38"/>
      <c r="I195" s="39"/>
      <c r="J195" s="39"/>
      <c r="K195" s="35"/>
      <c r="L195" s="107"/>
      <c r="M195" s="40"/>
      <c r="O195" s="107"/>
      <c r="P195" s="22"/>
      <c r="R195" s="107"/>
      <c r="S195" s="107"/>
      <c r="T195" s="107"/>
      <c r="U195" s="107"/>
      <c r="V195" s="107"/>
    </row>
    <row r="196" spans="1:22" s="12" customFormat="1" x14ac:dyDescent="0.2">
      <c r="A196" s="107"/>
      <c r="B196" s="107"/>
      <c r="C196" s="107"/>
      <c r="D196" s="107"/>
      <c r="E196" s="35"/>
      <c r="F196" s="36"/>
      <c r="G196" s="37"/>
      <c r="H196" s="38"/>
      <c r="I196" s="39"/>
      <c r="J196" s="39"/>
      <c r="K196" s="35"/>
      <c r="L196" s="107"/>
      <c r="M196" s="40"/>
      <c r="O196" s="107"/>
      <c r="P196" s="22"/>
      <c r="R196" s="107"/>
      <c r="S196" s="107"/>
      <c r="T196" s="107"/>
      <c r="U196" s="107"/>
      <c r="V196" s="107"/>
    </row>
    <row r="197" spans="1:22" s="12" customFormat="1" x14ac:dyDescent="0.2">
      <c r="A197" s="107"/>
      <c r="B197" s="107"/>
      <c r="C197" s="107"/>
      <c r="D197" s="107"/>
      <c r="E197" s="35"/>
      <c r="F197" s="36"/>
      <c r="G197" s="37"/>
      <c r="H197" s="38"/>
      <c r="I197" s="39"/>
      <c r="J197" s="39"/>
      <c r="K197" s="35"/>
      <c r="L197" s="107"/>
      <c r="M197" s="40"/>
      <c r="O197" s="107"/>
      <c r="P197" s="22"/>
      <c r="R197" s="107"/>
      <c r="S197" s="107"/>
      <c r="T197" s="107"/>
      <c r="U197" s="107"/>
      <c r="V197" s="107"/>
    </row>
    <row r="198" spans="1:22" s="12" customFormat="1" x14ac:dyDescent="0.2">
      <c r="A198" s="107"/>
      <c r="B198" s="28"/>
      <c r="C198" s="107"/>
      <c r="D198" s="107"/>
      <c r="E198" s="35"/>
      <c r="F198" s="36"/>
      <c r="G198" s="37"/>
      <c r="H198" s="38"/>
      <c r="I198" s="39"/>
      <c r="J198" s="39"/>
      <c r="K198" s="35"/>
      <c r="L198" s="107"/>
      <c r="M198" s="40"/>
      <c r="O198" s="107"/>
      <c r="P198" s="22"/>
      <c r="R198" s="107"/>
      <c r="S198" s="107"/>
      <c r="T198" s="107"/>
      <c r="U198" s="107"/>
      <c r="V198" s="107"/>
    </row>
    <row r="199" spans="1:22" s="12" customFormat="1" x14ac:dyDescent="0.2">
      <c r="A199" s="107"/>
      <c r="B199" s="107"/>
      <c r="C199" s="107"/>
      <c r="D199" s="107"/>
      <c r="E199" s="35"/>
      <c r="F199" s="36"/>
      <c r="G199" s="37"/>
      <c r="H199" s="38"/>
      <c r="I199" s="39"/>
      <c r="J199" s="39"/>
      <c r="K199" s="35"/>
      <c r="L199" s="107"/>
      <c r="M199" s="40"/>
      <c r="O199" s="107"/>
      <c r="P199" s="22"/>
      <c r="R199" s="107"/>
      <c r="S199" s="107"/>
      <c r="T199" s="107"/>
      <c r="U199" s="107"/>
      <c r="V199" s="107"/>
    </row>
    <row r="200" spans="1:22" s="12" customFormat="1" x14ac:dyDescent="0.2">
      <c r="A200" s="107"/>
      <c r="B200" s="107"/>
      <c r="C200" s="107"/>
      <c r="D200" s="107"/>
      <c r="E200" s="35"/>
      <c r="F200" s="36"/>
      <c r="G200" s="37"/>
      <c r="H200" s="38"/>
      <c r="I200" s="39"/>
      <c r="J200" s="39"/>
      <c r="K200" s="35"/>
      <c r="L200" s="107"/>
      <c r="M200" s="40"/>
      <c r="O200" s="107"/>
      <c r="P200" s="22"/>
      <c r="R200" s="107"/>
      <c r="S200" s="107"/>
      <c r="T200" s="107"/>
      <c r="U200" s="107"/>
      <c r="V200" s="107"/>
    </row>
    <row r="201" spans="1:22" s="12" customFormat="1" x14ac:dyDescent="0.2">
      <c r="A201" s="107"/>
      <c r="B201" s="107"/>
      <c r="C201" s="107"/>
      <c r="D201" s="107"/>
      <c r="E201" s="35"/>
      <c r="F201" s="36"/>
      <c r="G201" s="37"/>
      <c r="H201" s="38"/>
      <c r="I201" s="39"/>
      <c r="J201" s="39"/>
      <c r="K201" s="35"/>
      <c r="L201" s="107"/>
      <c r="M201" s="40"/>
      <c r="O201" s="107"/>
      <c r="P201" s="22"/>
      <c r="R201" s="107"/>
      <c r="S201" s="107"/>
      <c r="T201" s="107"/>
      <c r="U201" s="107"/>
      <c r="V201" s="107"/>
    </row>
    <row r="202" spans="1:22" s="12" customFormat="1" x14ac:dyDescent="0.2">
      <c r="A202" s="107"/>
      <c r="B202" s="107"/>
      <c r="C202" s="107"/>
      <c r="D202" s="107"/>
      <c r="E202" s="35"/>
      <c r="F202" s="36"/>
      <c r="G202" s="37"/>
      <c r="H202" s="38"/>
      <c r="I202" s="39"/>
      <c r="J202" s="39"/>
      <c r="K202" s="35"/>
      <c r="L202" s="107"/>
      <c r="M202" s="40"/>
      <c r="O202" s="107"/>
      <c r="P202" s="22"/>
      <c r="R202" s="107"/>
      <c r="S202" s="107"/>
      <c r="T202" s="107"/>
      <c r="U202" s="107"/>
      <c r="V202" s="107"/>
    </row>
    <row r="203" spans="1:22" s="12" customFormat="1" x14ac:dyDescent="0.2">
      <c r="D203" s="107"/>
      <c r="E203" s="35"/>
      <c r="F203" s="36"/>
      <c r="G203" s="37"/>
      <c r="H203" s="38"/>
      <c r="I203" s="39"/>
      <c r="J203" s="39"/>
      <c r="K203" s="35"/>
      <c r="L203" s="107"/>
      <c r="M203" s="40"/>
      <c r="O203" s="107"/>
      <c r="P203" s="22"/>
      <c r="R203" s="107"/>
      <c r="S203" s="107"/>
      <c r="T203" s="107"/>
      <c r="U203" s="107"/>
      <c r="V203" s="107"/>
    </row>
    <row r="204" spans="1:22" s="12" customFormat="1" x14ac:dyDescent="0.2">
      <c r="D204" s="107"/>
      <c r="E204" s="35"/>
      <c r="F204" s="36"/>
      <c r="G204" s="37"/>
      <c r="H204" s="38"/>
      <c r="I204" s="39"/>
      <c r="J204" s="39"/>
      <c r="K204" s="35"/>
      <c r="L204" s="107"/>
      <c r="M204" s="40"/>
      <c r="O204" s="107"/>
      <c r="P204" s="22"/>
      <c r="R204" s="107"/>
      <c r="S204" s="107"/>
      <c r="T204" s="107"/>
      <c r="U204" s="107"/>
      <c r="V204" s="107"/>
    </row>
    <row r="205" spans="1:22" s="12" customFormat="1" x14ac:dyDescent="0.2">
      <c r="D205" s="107"/>
      <c r="E205" s="35"/>
      <c r="F205" s="36"/>
      <c r="G205" s="37"/>
      <c r="H205" s="38"/>
      <c r="I205" s="39"/>
      <c r="J205" s="39"/>
      <c r="K205" s="35"/>
      <c r="L205" s="107"/>
      <c r="M205" s="40"/>
      <c r="O205" s="107"/>
      <c r="P205" s="22"/>
      <c r="R205" s="107"/>
      <c r="S205" s="107"/>
      <c r="T205" s="107"/>
      <c r="U205" s="107"/>
      <c r="V205" s="107"/>
    </row>
    <row r="206" spans="1:22" s="12" customFormat="1" x14ac:dyDescent="0.2">
      <c r="D206" s="107"/>
      <c r="E206" s="35"/>
      <c r="F206" s="36"/>
      <c r="G206" s="37"/>
      <c r="H206" s="38"/>
      <c r="I206" s="39"/>
      <c r="J206" s="39"/>
      <c r="K206" s="35"/>
      <c r="L206" s="107"/>
      <c r="M206" s="40"/>
      <c r="O206" s="107"/>
      <c r="P206" s="22"/>
      <c r="R206" s="107"/>
      <c r="S206" s="107"/>
      <c r="T206" s="107"/>
      <c r="U206" s="107"/>
      <c r="V206" s="107"/>
    </row>
    <row r="207" spans="1:22" s="12" customFormat="1" x14ac:dyDescent="0.2">
      <c r="D207" s="107"/>
      <c r="E207" s="35"/>
      <c r="F207" s="36"/>
      <c r="G207" s="37"/>
      <c r="H207" s="38"/>
      <c r="I207" s="39"/>
      <c r="J207" s="39"/>
      <c r="K207" s="35"/>
      <c r="L207" s="107"/>
      <c r="M207" s="40"/>
      <c r="O207" s="107"/>
      <c r="P207" s="22"/>
      <c r="R207" s="107"/>
      <c r="S207" s="107"/>
      <c r="T207" s="107"/>
      <c r="U207" s="107"/>
      <c r="V207" s="107"/>
    </row>
    <row r="208" spans="1:22" s="12" customFormat="1" x14ac:dyDescent="0.2">
      <c r="D208" s="107"/>
      <c r="E208" s="35"/>
      <c r="F208" s="36"/>
      <c r="G208" s="37"/>
      <c r="H208" s="38"/>
      <c r="I208" s="39"/>
      <c r="J208" s="39"/>
      <c r="K208" s="35"/>
      <c r="L208" s="107"/>
      <c r="M208" s="40"/>
      <c r="O208" s="107"/>
      <c r="P208" s="22"/>
      <c r="R208" s="107"/>
      <c r="S208" s="107"/>
      <c r="T208" s="107"/>
      <c r="U208" s="107"/>
      <c r="V208" s="107"/>
    </row>
    <row r="209" spans="4:22" s="12" customFormat="1" x14ac:dyDescent="0.2">
      <c r="D209" s="107"/>
      <c r="E209" s="35"/>
      <c r="F209" s="36"/>
      <c r="G209" s="37"/>
      <c r="H209" s="38"/>
      <c r="I209" s="39"/>
      <c r="J209" s="39"/>
      <c r="K209" s="35"/>
      <c r="L209" s="107"/>
      <c r="M209" s="40"/>
      <c r="O209" s="107"/>
      <c r="P209" s="22"/>
      <c r="R209" s="107"/>
      <c r="S209" s="107"/>
      <c r="T209" s="107"/>
      <c r="U209" s="107"/>
      <c r="V209" s="107"/>
    </row>
    <row r="210" spans="4:22" s="12" customFormat="1" x14ac:dyDescent="0.2">
      <c r="D210" s="107"/>
      <c r="E210" s="35"/>
      <c r="F210" s="36"/>
      <c r="G210" s="37"/>
      <c r="H210" s="38"/>
      <c r="I210" s="39"/>
      <c r="J210" s="39"/>
      <c r="K210" s="35"/>
      <c r="L210" s="107"/>
      <c r="M210" s="40"/>
      <c r="O210" s="107"/>
      <c r="P210" s="22"/>
      <c r="R210" s="107"/>
      <c r="S210" s="107"/>
      <c r="T210" s="107"/>
      <c r="U210" s="107"/>
      <c r="V210" s="107"/>
    </row>
    <row r="211" spans="4:22" s="12" customFormat="1" x14ac:dyDescent="0.2">
      <c r="D211" s="107"/>
      <c r="E211" s="35"/>
      <c r="F211" s="36"/>
      <c r="G211" s="37"/>
      <c r="H211" s="38"/>
      <c r="I211" s="39"/>
      <c r="J211" s="39"/>
      <c r="K211" s="35"/>
      <c r="L211" s="107"/>
      <c r="M211" s="40"/>
      <c r="O211" s="107"/>
      <c r="P211" s="22"/>
      <c r="R211" s="107"/>
      <c r="S211" s="107"/>
      <c r="T211" s="107"/>
      <c r="U211" s="107"/>
      <c r="V211" s="107"/>
    </row>
    <row r="212" spans="4:22" s="12" customFormat="1" x14ac:dyDescent="0.2">
      <c r="D212" s="107"/>
      <c r="E212" s="35"/>
      <c r="F212" s="36"/>
      <c r="G212" s="37"/>
      <c r="H212" s="38"/>
      <c r="I212" s="39"/>
      <c r="J212" s="39"/>
      <c r="K212" s="35"/>
      <c r="L212" s="107"/>
      <c r="M212" s="40"/>
      <c r="O212" s="107"/>
      <c r="P212" s="22"/>
      <c r="R212" s="107"/>
      <c r="S212" s="107"/>
      <c r="T212" s="107"/>
      <c r="U212" s="107"/>
      <c r="V212" s="107"/>
    </row>
    <row r="213" spans="4:22" s="12" customFormat="1" x14ac:dyDescent="0.2">
      <c r="D213" s="107"/>
      <c r="E213" s="35"/>
      <c r="F213" s="36"/>
      <c r="G213" s="37"/>
      <c r="H213" s="38"/>
      <c r="I213" s="39"/>
      <c r="J213" s="39"/>
      <c r="K213" s="35"/>
      <c r="L213" s="107"/>
      <c r="M213" s="40"/>
      <c r="O213" s="107"/>
      <c r="P213" s="22"/>
      <c r="R213" s="107"/>
      <c r="S213" s="107"/>
      <c r="T213" s="107"/>
      <c r="U213" s="107"/>
      <c r="V213" s="107"/>
    </row>
    <row r="214" spans="4:22" s="12" customFormat="1" x14ac:dyDescent="0.2">
      <c r="D214" s="107"/>
      <c r="E214" s="35"/>
      <c r="F214" s="36"/>
      <c r="G214" s="37"/>
      <c r="H214" s="38"/>
      <c r="I214" s="39"/>
      <c r="J214" s="39"/>
      <c r="K214" s="35"/>
      <c r="L214" s="107"/>
      <c r="M214" s="40"/>
      <c r="O214" s="107"/>
      <c r="P214" s="22"/>
      <c r="R214" s="107"/>
      <c r="S214" s="107"/>
      <c r="T214" s="107"/>
      <c r="U214" s="107"/>
      <c r="V214" s="107"/>
    </row>
    <row r="215" spans="4:22" s="12" customFormat="1" x14ac:dyDescent="0.2">
      <c r="D215" s="107"/>
      <c r="E215" s="35"/>
      <c r="F215" s="36"/>
      <c r="G215" s="37"/>
      <c r="H215" s="38"/>
      <c r="I215" s="39"/>
      <c r="J215" s="39"/>
      <c r="K215" s="35"/>
      <c r="L215" s="107"/>
      <c r="M215" s="40"/>
      <c r="O215" s="107"/>
      <c r="P215" s="22"/>
      <c r="R215" s="107"/>
      <c r="S215" s="107"/>
      <c r="T215" s="107"/>
      <c r="U215" s="107"/>
      <c r="V215" s="107"/>
    </row>
    <row r="216" spans="4:22" s="12" customFormat="1" x14ac:dyDescent="0.2">
      <c r="D216" s="107"/>
      <c r="E216" s="35"/>
      <c r="F216" s="36"/>
      <c r="G216" s="37"/>
      <c r="H216" s="38"/>
      <c r="I216" s="39"/>
      <c r="J216" s="39"/>
      <c r="K216" s="35"/>
      <c r="L216" s="107"/>
      <c r="M216" s="40"/>
      <c r="O216" s="107"/>
      <c r="P216" s="22"/>
      <c r="R216" s="107"/>
      <c r="S216" s="107"/>
      <c r="T216" s="107"/>
      <c r="U216" s="107"/>
      <c r="V216" s="107"/>
    </row>
    <row r="217" spans="4:22" s="12" customFormat="1" x14ac:dyDescent="0.2">
      <c r="D217" s="107"/>
      <c r="E217" s="35"/>
      <c r="F217" s="36"/>
      <c r="G217" s="37"/>
      <c r="H217" s="38"/>
      <c r="I217" s="39"/>
      <c r="J217" s="39"/>
      <c r="K217" s="35"/>
      <c r="L217" s="107"/>
      <c r="M217" s="40"/>
      <c r="O217" s="107"/>
      <c r="P217" s="22"/>
      <c r="R217" s="107"/>
      <c r="S217" s="107"/>
      <c r="T217" s="107"/>
      <c r="U217" s="107"/>
      <c r="V217" s="107"/>
    </row>
    <row r="218" spans="4:22" s="12" customFormat="1" x14ac:dyDescent="0.2">
      <c r="D218" s="107"/>
      <c r="E218" s="35"/>
      <c r="F218" s="36"/>
      <c r="G218" s="37"/>
      <c r="H218" s="38"/>
      <c r="I218" s="39"/>
      <c r="J218" s="39"/>
      <c r="K218" s="35"/>
      <c r="L218" s="107"/>
      <c r="M218" s="40"/>
      <c r="O218" s="107"/>
      <c r="P218" s="22"/>
      <c r="R218" s="107"/>
      <c r="S218" s="107"/>
      <c r="T218" s="107"/>
      <c r="U218" s="107"/>
      <c r="V218" s="107"/>
    </row>
    <row r="219" spans="4:22" s="12" customFormat="1" x14ac:dyDescent="0.2">
      <c r="D219" s="107"/>
      <c r="E219" s="35"/>
      <c r="F219" s="36"/>
      <c r="G219" s="37"/>
      <c r="H219" s="38"/>
      <c r="I219" s="39"/>
      <c r="J219" s="39"/>
      <c r="K219" s="35"/>
      <c r="L219" s="107"/>
      <c r="M219" s="40"/>
      <c r="O219" s="107"/>
      <c r="P219" s="22"/>
      <c r="R219" s="107"/>
      <c r="S219" s="107"/>
      <c r="T219" s="107"/>
      <c r="U219" s="107"/>
      <c r="V219" s="107"/>
    </row>
    <row r="220" spans="4:22" s="12" customFormat="1" x14ac:dyDescent="0.2">
      <c r="D220" s="107"/>
      <c r="E220" s="35"/>
      <c r="F220" s="36"/>
      <c r="G220" s="37"/>
      <c r="H220" s="38"/>
      <c r="I220" s="39"/>
      <c r="J220" s="39"/>
      <c r="K220" s="35"/>
      <c r="L220" s="107"/>
      <c r="M220" s="40"/>
      <c r="O220" s="107"/>
      <c r="P220" s="22"/>
      <c r="R220" s="107"/>
      <c r="S220" s="107"/>
      <c r="T220" s="107"/>
      <c r="U220" s="107"/>
      <c r="V220" s="107"/>
    </row>
    <row r="221" spans="4:22" s="12" customFormat="1" x14ac:dyDescent="0.2">
      <c r="D221" s="107"/>
      <c r="E221" s="35"/>
      <c r="F221" s="36"/>
      <c r="G221" s="37"/>
      <c r="H221" s="38"/>
      <c r="I221" s="39"/>
      <c r="J221" s="39"/>
      <c r="K221" s="35"/>
      <c r="L221" s="107"/>
      <c r="M221" s="40"/>
      <c r="O221" s="107"/>
      <c r="P221" s="22"/>
      <c r="R221" s="107"/>
      <c r="S221" s="107"/>
      <c r="T221" s="107"/>
      <c r="U221" s="107"/>
      <c r="V221" s="107"/>
    </row>
    <row r="222" spans="4:22" s="12" customFormat="1" x14ac:dyDescent="0.2">
      <c r="D222" s="107"/>
      <c r="E222" s="35"/>
      <c r="F222" s="36"/>
      <c r="G222" s="37"/>
      <c r="H222" s="38"/>
      <c r="I222" s="39"/>
      <c r="J222" s="39"/>
      <c r="K222" s="35"/>
      <c r="L222" s="107"/>
      <c r="M222" s="40"/>
      <c r="O222" s="107"/>
      <c r="P222" s="22"/>
      <c r="R222" s="107"/>
      <c r="S222" s="107"/>
      <c r="T222" s="107"/>
      <c r="U222" s="107"/>
      <c r="V222" s="107"/>
    </row>
    <row r="223" spans="4:22" s="12" customFormat="1" x14ac:dyDescent="0.2">
      <c r="D223" s="107"/>
      <c r="E223" s="35"/>
      <c r="F223" s="36"/>
      <c r="G223" s="37"/>
      <c r="H223" s="38"/>
      <c r="I223" s="39"/>
      <c r="J223" s="39"/>
      <c r="K223" s="35"/>
      <c r="L223" s="107"/>
      <c r="M223" s="40"/>
      <c r="O223" s="107"/>
      <c r="P223" s="22"/>
      <c r="R223" s="107"/>
      <c r="S223" s="107"/>
      <c r="T223" s="107"/>
      <c r="U223" s="107"/>
      <c r="V223" s="107"/>
    </row>
    <row r="224" spans="4:22" s="12" customFormat="1" x14ac:dyDescent="0.2">
      <c r="D224" s="107"/>
      <c r="E224" s="35"/>
      <c r="F224" s="36"/>
      <c r="G224" s="37"/>
      <c r="H224" s="38"/>
      <c r="I224" s="39"/>
      <c r="J224" s="39"/>
      <c r="K224" s="35"/>
      <c r="L224" s="107"/>
      <c r="M224" s="40"/>
      <c r="O224" s="107"/>
      <c r="P224" s="22"/>
      <c r="R224" s="107"/>
      <c r="S224" s="107"/>
      <c r="T224" s="107"/>
      <c r="U224" s="107"/>
      <c r="V224" s="107"/>
    </row>
    <row r="225" spans="4:22" s="12" customFormat="1" x14ac:dyDescent="0.2">
      <c r="D225" s="107"/>
      <c r="E225" s="35"/>
      <c r="F225" s="36"/>
      <c r="G225" s="37"/>
      <c r="H225" s="38"/>
      <c r="I225" s="39"/>
      <c r="J225" s="39"/>
      <c r="K225" s="35"/>
      <c r="L225" s="107"/>
      <c r="M225" s="40"/>
      <c r="O225" s="107"/>
      <c r="P225" s="22"/>
      <c r="R225" s="107"/>
      <c r="S225" s="107"/>
      <c r="T225" s="107"/>
      <c r="U225" s="107"/>
      <c r="V225" s="107"/>
    </row>
    <row r="226" spans="4:22" s="12" customFormat="1" x14ac:dyDescent="0.2">
      <c r="D226" s="107"/>
      <c r="E226" s="35"/>
      <c r="F226" s="36"/>
      <c r="G226" s="37"/>
      <c r="H226" s="38"/>
      <c r="I226" s="39"/>
      <c r="J226" s="39"/>
      <c r="K226" s="35"/>
      <c r="L226" s="107"/>
      <c r="M226" s="40"/>
      <c r="O226" s="107"/>
      <c r="P226" s="22"/>
      <c r="R226" s="107"/>
      <c r="S226" s="107"/>
      <c r="T226" s="107"/>
      <c r="U226" s="107"/>
      <c r="V226" s="107"/>
    </row>
    <row r="227" spans="4:22" s="12" customFormat="1" x14ac:dyDescent="0.2">
      <c r="D227" s="107"/>
      <c r="E227" s="35"/>
      <c r="F227" s="36"/>
      <c r="G227" s="37"/>
      <c r="H227" s="38"/>
      <c r="I227" s="39"/>
      <c r="J227" s="39"/>
      <c r="K227" s="35"/>
      <c r="L227" s="107"/>
      <c r="M227" s="40"/>
      <c r="O227" s="107"/>
      <c r="P227" s="22"/>
      <c r="R227" s="107"/>
      <c r="S227" s="107"/>
      <c r="T227" s="107"/>
      <c r="U227" s="107"/>
      <c r="V227" s="107"/>
    </row>
    <row r="228" spans="4:22" s="12" customFormat="1" x14ac:dyDescent="0.2">
      <c r="D228" s="107"/>
      <c r="E228" s="35"/>
      <c r="F228" s="36"/>
      <c r="G228" s="37"/>
      <c r="H228" s="38"/>
      <c r="I228" s="39"/>
      <c r="J228" s="39"/>
      <c r="K228" s="35"/>
      <c r="L228" s="107"/>
      <c r="M228" s="40"/>
      <c r="O228" s="107"/>
      <c r="P228" s="22"/>
      <c r="R228" s="107"/>
      <c r="S228" s="107"/>
      <c r="T228" s="107"/>
      <c r="U228" s="107"/>
      <c r="V228" s="107"/>
    </row>
    <row r="229" spans="4:22" s="12" customFormat="1" x14ac:dyDescent="0.2">
      <c r="D229" s="107"/>
      <c r="E229" s="35"/>
      <c r="F229" s="36"/>
      <c r="G229" s="37"/>
      <c r="H229" s="38"/>
      <c r="I229" s="39"/>
      <c r="J229" s="39"/>
      <c r="K229" s="35"/>
      <c r="L229" s="107"/>
      <c r="M229" s="40"/>
      <c r="O229" s="107"/>
      <c r="P229" s="22"/>
      <c r="R229" s="107"/>
      <c r="S229" s="107"/>
      <c r="T229" s="107"/>
      <c r="U229" s="107"/>
      <c r="V229" s="107"/>
    </row>
    <row r="230" spans="4:22" s="12" customFormat="1" x14ac:dyDescent="0.2">
      <c r="D230" s="107"/>
      <c r="E230" s="35"/>
      <c r="F230" s="36"/>
      <c r="G230" s="37"/>
      <c r="H230" s="38"/>
      <c r="I230" s="39"/>
      <c r="J230" s="39"/>
      <c r="K230" s="35"/>
      <c r="L230" s="107"/>
      <c r="M230" s="40"/>
      <c r="O230" s="107"/>
      <c r="P230" s="22"/>
      <c r="R230" s="107"/>
      <c r="S230" s="107"/>
      <c r="T230" s="107"/>
      <c r="U230" s="107"/>
      <c r="V230" s="107"/>
    </row>
    <row r="231" spans="4:22" s="12" customFormat="1" x14ac:dyDescent="0.2">
      <c r="D231" s="107"/>
      <c r="E231" s="35"/>
      <c r="F231" s="36"/>
      <c r="G231" s="37"/>
      <c r="H231" s="38"/>
      <c r="I231" s="39"/>
      <c r="J231" s="39"/>
      <c r="K231" s="35"/>
      <c r="L231" s="107"/>
      <c r="M231" s="40"/>
      <c r="O231" s="107"/>
      <c r="P231" s="22"/>
      <c r="R231" s="107"/>
      <c r="S231" s="107"/>
      <c r="T231" s="107"/>
      <c r="U231" s="107"/>
      <c r="V231" s="107"/>
    </row>
    <row r="232" spans="4:22" s="12" customFormat="1" x14ac:dyDescent="0.2">
      <c r="D232" s="107"/>
      <c r="E232" s="35"/>
      <c r="F232" s="36"/>
      <c r="G232" s="37"/>
      <c r="H232" s="38"/>
      <c r="I232" s="39"/>
      <c r="J232" s="39"/>
      <c r="K232" s="35"/>
      <c r="L232" s="107"/>
      <c r="M232" s="40"/>
      <c r="O232" s="107"/>
      <c r="P232" s="22"/>
      <c r="R232" s="107"/>
      <c r="S232" s="107"/>
      <c r="T232" s="107"/>
      <c r="U232" s="107"/>
      <c r="V232" s="107"/>
    </row>
    <row r="233" spans="4:22" s="12" customFormat="1" x14ac:dyDescent="0.2">
      <c r="D233" s="107"/>
      <c r="E233" s="35"/>
      <c r="F233" s="36"/>
      <c r="G233" s="37"/>
      <c r="H233" s="38"/>
      <c r="I233" s="39"/>
      <c r="J233" s="39"/>
      <c r="K233" s="35"/>
      <c r="L233" s="107"/>
      <c r="M233" s="40"/>
      <c r="O233" s="107"/>
      <c r="P233" s="22"/>
      <c r="R233" s="107"/>
      <c r="S233" s="107"/>
      <c r="T233" s="107"/>
      <c r="U233" s="107"/>
      <c r="V233" s="107"/>
    </row>
    <row r="234" spans="4:22" s="12" customFormat="1" x14ac:dyDescent="0.2">
      <c r="D234" s="107"/>
      <c r="E234" s="35"/>
      <c r="F234" s="36"/>
      <c r="G234" s="37"/>
      <c r="H234" s="38"/>
      <c r="I234" s="39"/>
      <c r="J234" s="39"/>
      <c r="K234" s="35"/>
      <c r="L234" s="107"/>
      <c r="M234" s="40"/>
      <c r="O234" s="107"/>
      <c r="P234" s="22"/>
      <c r="R234" s="107"/>
      <c r="S234" s="107"/>
      <c r="T234" s="107"/>
      <c r="U234" s="107"/>
      <c r="V234" s="107"/>
    </row>
    <row r="235" spans="4:22" s="12" customFormat="1" x14ac:dyDescent="0.2">
      <c r="D235" s="107"/>
      <c r="E235" s="35"/>
      <c r="F235" s="36"/>
      <c r="G235" s="37"/>
      <c r="H235" s="38"/>
      <c r="I235" s="39"/>
      <c r="J235" s="39"/>
      <c r="K235" s="35"/>
      <c r="L235" s="107"/>
      <c r="M235" s="40"/>
      <c r="O235" s="107"/>
      <c r="P235" s="22"/>
      <c r="R235" s="107"/>
      <c r="S235" s="107"/>
      <c r="T235" s="107"/>
      <c r="U235" s="107"/>
      <c r="V235" s="107"/>
    </row>
    <row r="236" spans="4:22" s="12" customFormat="1" x14ac:dyDescent="0.2">
      <c r="D236" s="107"/>
      <c r="E236" s="35"/>
      <c r="F236" s="36"/>
      <c r="G236" s="37"/>
      <c r="H236" s="38"/>
      <c r="I236" s="39"/>
      <c r="J236" s="39"/>
      <c r="K236" s="35"/>
      <c r="L236" s="107"/>
      <c r="M236" s="40"/>
      <c r="O236" s="107"/>
      <c r="P236" s="22"/>
      <c r="R236" s="107"/>
      <c r="S236" s="107"/>
      <c r="T236" s="107"/>
      <c r="U236" s="107"/>
      <c r="V236" s="107"/>
    </row>
    <row r="237" spans="4:22" s="12" customFormat="1" x14ac:dyDescent="0.2">
      <c r="D237" s="107"/>
      <c r="E237" s="35"/>
      <c r="F237" s="36"/>
      <c r="G237" s="37"/>
      <c r="H237" s="38"/>
      <c r="I237" s="39"/>
      <c r="J237" s="39"/>
      <c r="K237" s="35"/>
      <c r="L237" s="107"/>
      <c r="M237" s="40"/>
      <c r="O237" s="107"/>
      <c r="P237" s="22"/>
      <c r="R237" s="107"/>
      <c r="S237" s="107"/>
      <c r="T237" s="107"/>
      <c r="U237" s="107"/>
      <c r="V237" s="107"/>
    </row>
    <row r="238" spans="4:22" s="12" customFormat="1" x14ac:dyDescent="0.2">
      <c r="D238" s="107"/>
      <c r="E238" s="35"/>
      <c r="F238" s="36"/>
      <c r="G238" s="37"/>
      <c r="H238" s="38"/>
      <c r="I238" s="39"/>
      <c r="J238" s="39"/>
      <c r="K238" s="35"/>
      <c r="L238" s="107"/>
      <c r="M238" s="40"/>
      <c r="O238" s="107"/>
      <c r="P238" s="22"/>
      <c r="R238" s="107"/>
      <c r="S238" s="107"/>
      <c r="T238" s="107"/>
      <c r="U238" s="107"/>
      <c r="V238" s="107"/>
    </row>
    <row r="239" spans="4:22" s="12" customFormat="1" x14ac:dyDescent="0.2">
      <c r="D239" s="107"/>
      <c r="E239" s="35"/>
      <c r="F239" s="36"/>
      <c r="G239" s="37"/>
      <c r="H239" s="38"/>
      <c r="I239" s="39"/>
      <c r="J239" s="39"/>
      <c r="K239" s="35"/>
      <c r="L239" s="107"/>
      <c r="M239" s="40"/>
      <c r="O239" s="107"/>
      <c r="P239" s="22"/>
      <c r="R239" s="107"/>
      <c r="S239" s="107"/>
      <c r="T239" s="107"/>
      <c r="U239" s="107"/>
      <c r="V239" s="107"/>
    </row>
    <row r="240" spans="4:22" s="12" customFormat="1" x14ac:dyDescent="0.2">
      <c r="D240" s="107"/>
      <c r="E240" s="35"/>
      <c r="F240" s="36"/>
      <c r="G240" s="37"/>
      <c r="H240" s="38"/>
      <c r="I240" s="39"/>
      <c r="J240" s="39"/>
      <c r="K240" s="35"/>
      <c r="L240" s="107"/>
      <c r="M240" s="40"/>
      <c r="O240" s="107"/>
      <c r="P240" s="22"/>
      <c r="R240" s="107"/>
      <c r="S240" s="107"/>
      <c r="T240" s="107"/>
      <c r="U240" s="107"/>
      <c r="V240" s="107"/>
    </row>
    <row r="241" spans="4:22" s="12" customFormat="1" x14ac:dyDescent="0.2">
      <c r="D241" s="107"/>
      <c r="E241" s="35"/>
      <c r="F241" s="36"/>
      <c r="G241" s="37"/>
      <c r="H241" s="38"/>
      <c r="I241" s="39"/>
      <c r="J241" s="39"/>
      <c r="K241" s="35"/>
      <c r="L241" s="107"/>
      <c r="M241" s="40"/>
      <c r="O241" s="107"/>
      <c r="P241" s="22"/>
      <c r="R241" s="107"/>
      <c r="S241" s="107"/>
      <c r="T241" s="107"/>
      <c r="U241" s="107"/>
      <c r="V241" s="107"/>
    </row>
    <row r="242" spans="4:22" s="12" customFormat="1" x14ac:dyDescent="0.2">
      <c r="D242" s="107"/>
      <c r="E242" s="35"/>
      <c r="F242" s="36"/>
      <c r="G242" s="37"/>
      <c r="H242" s="38"/>
      <c r="I242" s="39"/>
      <c r="J242" s="39"/>
      <c r="K242" s="35"/>
      <c r="L242" s="107"/>
      <c r="M242" s="40"/>
      <c r="O242" s="107"/>
      <c r="P242" s="22"/>
      <c r="R242" s="107"/>
      <c r="S242" s="107"/>
      <c r="T242" s="107"/>
      <c r="U242" s="107"/>
      <c r="V242" s="107"/>
    </row>
    <row r="243" spans="4:22" s="12" customFormat="1" x14ac:dyDescent="0.2">
      <c r="D243" s="107"/>
      <c r="E243" s="35"/>
      <c r="F243" s="36"/>
      <c r="G243" s="37"/>
      <c r="H243" s="38"/>
      <c r="I243" s="39"/>
      <c r="J243" s="39"/>
      <c r="K243" s="35"/>
      <c r="L243" s="107"/>
      <c r="M243" s="40"/>
      <c r="O243" s="107"/>
      <c r="P243" s="22"/>
      <c r="R243" s="107"/>
      <c r="S243" s="107"/>
      <c r="T243" s="107"/>
      <c r="U243" s="107"/>
      <c r="V243" s="107"/>
    </row>
    <row r="244" spans="4:22" s="12" customFormat="1" x14ac:dyDescent="0.2">
      <c r="D244" s="107"/>
      <c r="E244" s="35"/>
      <c r="F244" s="36"/>
      <c r="G244" s="37"/>
      <c r="H244" s="38"/>
      <c r="I244" s="39"/>
      <c r="J244" s="39"/>
      <c r="K244" s="35"/>
      <c r="L244" s="107"/>
      <c r="M244" s="40"/>
      <c r="O244" s="107"/>
      <c r="P244" s="22"/>
      <c r="R244" s="107"/>
      <c r="S244" s="107"/>
      <c r="T244" s="107"/>
      <c r="U244" s="107"/>
      <c r="V244" s="107"/>
    </row>
    <row r="245" spans="4:22" s="12" customFormat="1" x14ac:dyDescent="0.2">
      <c r="D245" s="107"/>
      <c r="E245" s="35"/>
      <c r="F245" s="36"/>
      <c r="G245" s="37"/>
      <c r="H245" s="38"/>
      <c r="I245" s="39"/>
      <c r="J245" s="39"/>
      <c r="K245" s="35"/>
      <c r="L245" s="107"/>
      <c r="M245" s="40"/>
      <c r="O245" s="107"/>
      <c r="P245" s="22"/>
      <c r="R245" s="107"/>
      <c r="S245" s="107"/>
      <c r="T245" s="107"/>
      <c r="U245" s="107"/>
      <c r="V245" s="107"/>
    </row>
    <row r="246" spans="4:22" s="12" customFormat="1" x14ac:dyDescent="0.2">
      <c r="D246" s="107"/>
      <c r="E246" s="35"/>
      <c r="F246" s="36"/>
      <c r="G246" s="37"/>
      <c r="H246" s="38"/>
      <c r="I246" s="39"/>
      <c r="J246" s="39"/>
      <c r="K246" s="35"/>
      <c r="L246" s="107"/>
      <c r="M246" s="40"/>
      <c r="O246" s="107"/>
      <c r="P246" s="22"/>
      <c r="R246" s="107"/>
      <c r="S246" s="107"/>
      <c r="T246" s="107"/>
      <c r="U246" s="107"/>
      <c r="V246" s="107"/>
    </row>
    <row r="247" spans="4:22" s="12" customFormat="1" x14ac:dyDescent="0.2">
      <c r="D247" s="107"/>
      <c r="E247" s="35"/>
      <c r="F247" s="36"/>
      <c r="G247" s="37"/>
      <c r="H247" s="38"/>
      <c r="I247" s="39"/>
      <c r="J247" s="39"/>
      <c r="K247" s="35"/>
      <c r="L247" s="107"/>
      <c r="M247" s="40"/>
      <c r="O247" s="107"/>
      <c r="P247" s="22"/>
      <c r="R247" s="107"/>
      <c r="S247" s="107"/>
      <c r="T247" s="107"/>
      <c r="U247" s="107"/>
      <c r="V247" s="107"/>
    </row>
    <row r="248" spans="4:22" s="12" customFormat="1" x14ac:dyDescent="0.2">
      <c r="D248" s="107"/>
      <c r="E248" s="35"/>
      <c r="F248" s="36"/>
      <c r="G248" s="37"/>
      <c r="H248" s="38"/>
      <c r="I248" s="39"/>
      <c r="J248" s="39"/>
      <c r="K248" s="35"/>
      <c r="L248" s="107"/>
      <c r="M248" s="40"/>
      <c r="O248" s="107"/>
      <c r="P248" s="22"/>
      <c r="R248" s="107"/>
      <c r="S248" s="107"/>
      <c r="T248" s="107"/>
      <c r="U248" s="107"/>
      <c r="V248" s="107"/>
    </row>
    <row r="249" spans="4:22" s="12" customFormat="1" x14ac:dyDescent="0.2">
      <c r="D249" s="107"/>
      <c r="E249" s="35"/>
      <c r="F249" s="36"/>
      <c r="G249" s="37"/>
      <c r="H249" s="38"/>
      <c r="I249" s="39"/>
      <c r="J249" s="39"/>
      <c r="K249" s="35"/>
      <c r="L249" s="107"/>
      <c r="M249" s="40"/>
      <c r="O249" s="107"/>
      <c r="P249" s="22"/>
      <c r="R249" s="107"/>
      <c r="S249" s="107"/>
      <c r="T249" s="107"/>
      <c r="U249" s="107"/>
      <c r="V249" s="107"/>
    </row>
    <row r="250" spans="4:22" s="12" customFormat="1" x14ac:dyDescent="0.2">
      <c r="D250" s="107"/>
      <c r="E250" s="35"/>
      <c r="F250" s="36"/>
      <c r="G250" s="37"/>
      <c r="H250" s="38"/>
      <c r="I250" s="39"/>
      <c r="J250" s="39"/>
      <c r="K250" s="35"/>
      <c r="L250" s="107"/>
      <c r="M250" s="40"/>
      <c r="O250" s="107"/>
      <c r="P250" s="22"/>
      <c r="R250" s="107"/>
      <c r="S250" s="107"/>
      <c r="T250" s="107"/>
      <c r="U250" s="107"/>
      <c r="V250" s="107"/>
    </row>
    <row r="251" spans="4:22" s="12" customFormat="1" x14ac:dyDescent="0.2">
      <c r="D251" s="107"/>
      <c r="E251" s="35"/>
      <c r="F251" s="36"/>
      <c r="G251" s="37"/>
      <c r="H251" s="38"/>
      <c r="I251" s="39"/>
      <c r="J251" s="39"/>
      <c r="K251" s="35"/>
      <c r="L251" s="107"/>
      <c r="M251" s="40"/>
      <c r="O251" s="107"/>
      <c r="P251" s="22"/>
      <c r="R251" s="107"/>
      <c r="S251" s="107"/>
      <c r="T251" s="107"/>
      <c r="U251" s="107"/>
      <c r="V251" s="107"/>
    </row>
    <row r="252" spans="4:22" s="12" customFormat="1" x14ac:dyDescent="0.2">
      <c r="D252" s="107"/>
      <c r="E252" s="35"/>
      <c r="F252" s="36"/>
      <c r="G252" s="37"/>
      <c r="H252" s="38"/>
      <c r="I252" s="39"/>
      <c r="J252" s="39"/>
      <c r="K252" s="35"/>
      <c r="L252" s="107"/>
      <c r="M252" s="40"/>
      <c r="O252" s="107"/>
      <c r="P252" s="22"/>
      <c r="R252" s="107"/>
      <c r="S252" s="107"/>
      <c r="T252" s="107"/>
      <c r="U252" s="107"/>
      <c r="V252" s="107"/>
    </row>
    <row r="253" spans="4:22" s="12" customFormat="1" x14ac:dyDescent="0.2">
      <c r="D253" s="107"/>
      <c r="E253" s="35"/>
      <c r="F253" s="36"/>
      <c r="G253" s="37"/>
      <c r="H253" s="38"/>
      <c r="I253" s="39"/>
      <c r="J253" s="39"/>
      <c r="K253" s="35"/>
      <c r="L253" s="107"/>
      <c r="M253" s="40"/>
      <c r="O253" s="107"/>
      <c r="P253" s="22"/>
      <c r="R253" s="107"/>
      <c r="S253" s="107"/>
      <c r="T253" s="107"/>
      <c r="U253" s="107"/>
      <c r="V253" s="107"/>
    </row>
    <row r="254" spans="4:22" s="12" customFormat="1" x14ac:dyDescent="0.2">
      <c r="D254" s="107"/>
      <c r="E254" s="35"/>
      <c r="F254" s="36"/>
      <c r="G254" s="37"/>
      <c r="H254" s="38"/>
      <c r="I254" s="39"/>
      <c r="J254" s="39"/>
      <c r="K254" s="35"/>
      <c r="L254" s="107"/>
      <c r="M254" s="40"/>
      <c r="O254" s="107"/>
      <c r="P254" s="22"/>
      <c r="R254" s="107"/>
      <c r="S254" s="107"/>
      <c r="T254" s="107"/>
      <c r="U254" s="107"/>
      <c r="V254" s="107"/>
    </row>
    <row r="255" spans="4:22" s="12" customFormat="1" x14ac:dyDescent="0.2">
      <c r="D255" s="107"/>
      <c r="E255" s="35"/>
      <c r="F255" s="36"/>
      <c r="G255" s="37"/>
      <c r="H255" s="38"/>
      <c r="I255" s="39"/>
      <c r="J255" s="39"/>
      <c r="K255" s="35"/>
      <c r="L255" s="107"/>
      <c r="M255" s="40"/>
      <c r="O255" s="107"/>
      <c r="P255" s="22"/>
      <c r="R255" s="107"/>
      <c r="S255" s="107"/>
      <c r="T255" s="107"/>
      <c r="U255" s="107"/>
      <c r="V255" s="107"/>
    </row>
    <row r="256" spans="4:22" s="12" customFormat="1" x14ac:dyDescent="0.2">
      <c r="D256" s="107"/>
      <c r="E256" s="35"/>
      <c r="F256" s="36"/>
      <c r="G256" s="37"/>
      <c r="H256" s="38"/>
      <c r="I256" s="39"/>
      <c r="J256" s="39"/>
      <c r="K256" s="35"/>
      <c r="L256" s="107"/>
      <c r="M256" s="40"/>
      <c r="O256" s="107"/>
      <c r="P256" s="22"/>
      <c r="R256" s="107"/>
      <c r="S256" s="107"/>
      <c r="T256" s="107"/>
      <c r="U256" s="107"/>
      <c r="V256" s="107"/>
    </row>
    <row r="257" spans="4:22" s="12" customFormat="1" x14ac:dyDescent="0.2">
      <c r="D257" s="107"/>
      <c r="E257" s="35"/>
      <c r="F257" s="36"/>
      <c r="G257" s="37"/>
      <c r="H257" s="38"/>
      <c r="I257" s="39"/>
      <c r="J257" s="39"/>
      <c r="K257" s="35"/>
      <c r="L257" s="107"/>
      <c r="M257" s="40"/>
      <c r="O257" s="107"/>
      <c r="P257" s="22"/>
      <c r="R257" s="107"/>
      <c r="S257" s="107"/>
      <c r="T257" s="107"/>
      <c r="U257" s="107"/>
      <c r="V257" s="107"/>
    </row>
    <row r="258" spans="4:22" s="12" customFormat="1" x14ac:dyDescent="0.2">
      <c r="D258" s="107"/>
      <c r="E258" s="35"/>
      <c r="F258" s="36"/>
      <c r="G258" s="37"/>
      <c r="H258" s="38"/>
      <c r="I258" s="39"/>
      <c r="J258" s="39"/>
      <c r="K258" s="35"/>
      <c r="L258" s="107"/>
      <c r="M258" s="40"/>
      <c r="O258" s="107"/>
      <c r="P258" s="22"/>
      <c r="R258" s="107"/>
      <c r="S258" s="107"/>
      <c r="T258" s="107"/>
      <c r="U258" s="107"/>
      <c r="V258" s="107"/>
    </row>
    <row r="259" spans="4:22" s="12" customFormat="1" x14ac:dyDescent="0.2">
      <c r="D259" s="107"/>
      <c r="E259" s="35"/>
      <c r="F259" s="36"/>
      <c r="G259" s="37"/>
      <c r="H259" s="38"/>
      <c r="I259" s="39"/>
      <c r="J259" s="39"/>
      <c r="K259" s="35"/>
      <c r="L259" s="107"/>
      <c r="M259" s="40"/>
      <c r="O259" s="107"/>
      <c r="P259" s="22"/>
      <c r="R259" s="107"/>
      <c r="S259" s="107"/>
      <c r="T259" s="107"/>
      <c r="U259" s="107"/>
      <c r="V259" s="107"/>
    </row>
    <row r="260" spans="4:22" s="12" customFormat="1" x14ac:dyDescent="0.2">
      <c r="D260" s="107"/>
      <c r="E260" s="35"/>
      <c r="F260" s="36"/>
      <c r="G260" s="37"/>
      <c r="H260" s="38"/>
      <c r="I260" s="39"/>
      <c r="J260" s="39"/>
      <c r="K260" s="35"/>
      <c r="L260" s="107"/>
      <c r="M260" s="40"/>
      <c r="O260" s="107"/>
      <c r="P260" s="22"/>
      <c r="R260" s="107"/>
      <c r="S260" s="107"/>
      <c r="T260" s="107"/>
      <c r="U260" s="107"/>
      <c r="V260" s="107"/>
    </row>
    <row r="261" spans="4:22" s="12" customFormat="1" x14ac:dyDescent="0.2">
      <c r="D261" s="107"/>
      <c r="E261" s="35"/>
      <c r="F261" s="36"/>
      <c r="G261" s="37"/>
      <c r="H261" s="38"/>
      <c r="I261" s="39"/>
      <c r="J261" s="39"/>
      <c r="K261" s="35"/>
      <c r="L261" s="107"/>
      <c r="M261" s="40"/>
      <c r="O261" s="107"/>
      <c r="P261" s="22"/>
      <c r="R261" s="107"/>
      <c r="S261" s="107"/>
      <c r="T261" s="107"/>
      <c r="U261" s="107"/>
      <c r="V261" s="107"/>
    </row>
    <row r="262" spans="4:22" s="12" customFormat="1" x14ac:dyDescent="0.2">
      <c r="D262" s="107"/>
      <c r="E262" s="35"/>
      <c r="F262" s="36"/>
      <c r="G262" s="37"/>
      <c r="H262" s="38"/>
      <c r="I262" s="39"/>
      <c r="J262" s="39"/>
      <c r="K262" s="35"/>
      <c r="L262" s="107"/>
      <c r="M262" s="40"/>
      <c r="O262" s="107"/>
      <c r="P262" s="22"/>
      <c r="R262" s="107"/>
      <c r="S262" s="107"/>
      <c r="T262" s="107"/>
      <c r="U262" s="107"/>
      <c r="V262" s="107"/>
    </row>
    <row r="263" spans="4:22" s="12" customFormat="1" x14ac:dyDescent="0.2">
      <c r="D263" s="107"/>
      <c r="E263" s="35"/>
      <c r="F263" s="36"/>
      <c r="G263" s="37"/>
      <c r="H263" s="38"/>
      <c r="I263" s="39"/>
      <c r="J263" s="39"/>
      <c r="K263" s="35"/>
      <c r="L263" s="107"/>
      <c r="M263" s="40"/>
      <c r="O263" s="107"/>
      <c r="P263" s="22"/>
      <c r="R263" s="107"/>
      <c r="S263" s="107"/>
      <c r="T263" s="107"/>
      <c r="U263" s="107"/>
      <c r="V263" s="107"/>
    </row>
    <row r="264" spans="4:22" s="12" customFormat="1" x14ac:dyDescent="0.2">
      <c r="D264" s="107"/>
      <c r="E264" s="35"/>
      <c r="F264" s="36"/>
      <c r="G264" s="37"/>
      <c r="H264" s="38"/>
      <c r="I264" s="39"/>
      <c r="J264" s="39"/>
      <c r="K264" s="35"/>
      <c r="L264" s="107"/>
      <c r="M264" s="40"/>
      <c r="O264" s="107"/>
      <c r="P264" s="22"/>
      <c r="R264" s="107"/>
      <c r="S264" s="107"/>
      <c r="T264" s="107"/>
      <c r="U264" s="107"/>
      <c r="V264" s="107"/>
    </row>
    <row r="265" spans="4:22" s="12" customFormat="1" x14ac:dyDescent="0.2">
      <c r="D265" s="107"/>
      <c r="E265" s="35"/>
      <c r="F265" s="36"/>
      <c r="G265" s="37"/>
      <c r="H265" s="38"/>
      <c r="I265" s="39"/>
      <c r="J265" s="39"/>
      <c r="K265" s="35"/>
      <c r="L265" s="107"/>
      <c r="M265" s="40"/>
      <c r="O265" s="107"/>
      <c r="P265" s="22"/>
      <c r="R265" s="107"/>
      <c r="S265" s="107"/>
      <c r="T265" s="107"/>
      <c r="U265" s="107"/>
      <c r="V265" s="107"/>
    </row>
    <row r="266" spans="4:22" s="12" customFormat="1" x14ac:dyDescent="0.2">
      <c r="D266" s="107"/>
      <c r="E266" s="35"/>
      <c r="F266" s="36"/>
      <c r="G266" s="37"/>
      <c r="H266" s="38"/>
      <c r="I266" s="39"/>
      <c r="J266" s="39"/>
      <c r="K266" s="35"/>
      <c r="L266" s="107"/>
      <c r="M266" s="40"/>
      <c r="O266" s="107"/>
      <c r="P266" s="22"/>
      <c r="R266" s="107"/>
      <c r="S266" s="107"/>
      <c r="T266" s="107"/>
      <c r="U266" s="107"/>
      <c r="V266" s="107"/>
    </row>
    <row r="267" spans="4:22" s="12" customFormat="1" x14ac:dyDescent="0.2">
      <c r="D267" s="107"/>
      <c r="E267" s="35"/>
      <c r="F267" s="36"/>
      <c r="G267" s="37"/>
      <c r="H267" s="38"/>
      <c r="I267" s="39"/>
      <c r="J267" s="39"/>
      <c r="K267" s="35"/>
      <c r="L267" s="107"/>
      <c r="M267" s="40"/>
      <c r="O267" s="107"/>
      <c r="P267" s="22"/>
      <c r="R267" s="107"/>
      <c r="S267" s="107"/>
      <c r="T267" s="107"/>
      <c r="U267" s="107"/>
      <c r="V267" s="107"/>
    </row>
    <row r="268" spans="4:22" s="12" customFormat="1" x14ac:dyDescent="0.2">
      <c r="D268" s="107"/>
      <c r="E268" s="35"/>
      <c r="F268" s="36"/>
      <c r="G268" s="37"/>
      <c r="H268" s="38"/>
      <c r="I268" s="39"/>
      <c r="J268" s="39"/>
      <c r="K268" s="35"/>
      <c r="L268" s="107"/>
      <c r="M268" s="40"/>
      <c r="O268" s="107"/>
      <c r="P268" s="22"/>
      <c r="R268" s="107"/>
      <c r="S268" s="107"/>
      <c r="T268" s="107"/>
      <c r="U268" s="107"/>
      <c r="V268" s="107"/>
    </row>
    <row r="269" spans="4:22" s="12" customFormat="1" x14ac:dyDescent="0.2">
      <c r="D269" s="107"/>
      <c r="E269" s="35"/>
      <c r="F269" s="36"/>
      <c r="G269" s="37"/>
      <c r="H269" s="38"/>
      <c r="I269" s="39"/>
      <c r="J269" s="39"/>
      <c r="K269" s="35"/>
      <c r="L269" s="107"/>
      <c r="M269" s="40"/>
      <c r="O269" s="107"/>
      <c r="P269" s="22"/>
      <c r="R269" s="107"/>
      <c r="S269" s="107"/>
      <c r="T269" s="107"/>
      <c r="U269" s="107"/>
      <c r="V269" s="107"/>
    </row>
    <row r="270" spans="4:22" s="12" customFormat="1" x14ac:dyDescent="0.2">
      <c r="D270" s="107"/>
      <c r="E270" s="35"/>
      <c r="F270" s="36"/>
      <c r="G270" s="37"/>
      <c r="H270" s="38"/>
      <c r="I270" s="39"/>
      <c r="J270" s="39"/>
      <c r="K270" s="35"/>
      <c r="L270" s="107"/>
      <c r="M270" s="40"/>
      <c r="O270" s="107"/>
      <c r="P270" s="22"/>
      <c r="R270" s="107"/>
      <c r="S270" s="107"/>
      <c r="T270" s="107"/>
      <c r="U270" s="107"/>
      <c r="V270" s="107"/>
    </row>
    <row r="271" spans="4:22" s="12" customFormat="1" x14ac:dyDescent="0.2">
      <c r="D271" s="107"/>
      <c r="E271" s="35"/>
      <c r="F271" s="36"/>
      <c r="G271" s="37"/>
      <c r="H271" s="38"/>
      <c r="I271" s="39"/>
      <c r="J271" s="39"/>
      <c r="K271" s="35"/>
      <c r="L271" s="107"/>
      <c r="M271" s="40"/>
      <c r="O271" s="107"/>
      <c r="P271" s="22"/>
      <c r="R271" s="107"/>
      <c r="S271" s="107"/>
      <c r="T271" s="107"/>
      <c r="U271" s="107"/>
      <c r="V271" s="107"/>
    </row>
    <row r="272" spans="4:22" s="12" customFormat="1" x14ac:dyDescent="0.2">
      <c r="D272" s="107"/>
      <c r="E272" s="35"/>
      <c r="F272" s="36"/>
      <c r="G272" s="37"/>
      <c r="H272" s="38"/>
      <c r="I272" s="39"/>
      <c r="J272" s="39"/>
      <c r="K272" s="35"/>
      <c r="L272" s="107"/>
      <c r="M272" s="40"/>
      <c r="O272" s="107"/>
      <c r="P272" s="22"/>
      <c r="R272" s="107"/>
      <c r="S272" s="107"/>
      <c r="T272" s="107"/>
      <c r="U272" s="107"/>
      <c r="V272" s="107"/>
    </row>
    <row r="273" spans="4:22" s="12" customFormat="1" x14ac:dyDescent="0.2">
      <c r="D273" s="107"/>
      <c r="E273" s="35"/>
      <c r="F273" s="36"/>
      <c r="G273" s="37"/>
      <c r="H273" s="38"/>
      <c r="I273" s="39"/>
      <c r="J273" s="39"/>
      <c r="K273" s="35"/>
      <c r="L273" s="107"/>
      <c r="M273" s="40"/>
      <c r="O273" s="107"/>
      <c r="P273" s="22"/>
      <c r="R273" s="107"/>
      <c r="S273" s="107"/>
      <c r="T273" s="107"/>
      <c r="U273" s="107"/>
      <c r="V273" s="107"/>
    </row>
    <row r="274" spans="4:22" s="12" customFormat="1" x14ac:dyDescent="0.2">
      <c r="D274" s="107"/>
      <c r="E274" s="35"/>
      <c r="F274" s="36"/>
      <c r="G274" s="37"/>
      <c r="H274" s="38"/>
      <c r="I274" s="39"/>
      <c r="J274" s="39"/>
      <c r="K274" s="35"/>
      <c r="L274" s="107"/>
      <c r="M274" s="40"/>
      <c r="O274" s="107"/>
      <c r="P274" s="22"/>
      <c r="R274" s="107"/>
      <c r="S274" s="107"/>
      <c r="T274" s="107"/>
      <c r="U274" s="107"/>
      <c r="V274" s="107"/>
    </row>
    <row r="275" spans="4:22" s="12" customFormat="1" x14ac:dyDescent="0.2">
      <c r="D275" s="107"/>
      <c r="E275" s="35"/>
      <c r="F275" s="36"/>
      <c r="G275" s="37"/>
      <c r="H275" s="38"/>
      <c r="I275" s="39"/>
      <c r="J275" s="39"/>
      <c r="K275" s="35"/>
      <c r="L275" s="107"/>
      <c r="M275" s="40"/>
      <c r="O275" s="107"/>
      <c r="P275" s="22"/>
      <c r="R275" s="107"/>
      <c r="S275" s="107"/>
      <c r="T275" s="107"/>
      <c r="U275" s="107"/>
      <c r="V275" s="107"/>
    </row>
    <row r="276" spans="4:22" s="12" customFormat="1" x14ac:dyDescent="0.2">
      <c r="D276" s="107"/>
      <c r="E276" s="35"/>
      <c r="F276" s="36"/>
      <c r="G276" s="37"/>
      <c r="H276" s="38"/>
      <c r="I276" s="39"/>
      <c r="J276" s="39"/>
      <c r="K276" s="35"/>
      <c r="L276" s="107"/>
      <c r="M276" s="40"/>
      <c r="O276" s="107"/>
      <c r="P276" s="22"/>
      <c r="R276" s="107"/>
      <c r="S276" s="107"/>
      <c r="T276" s="107"/>
      <c r="U276" s="107"/>
      <c r="V276" s="107"/>
    </row>
    <row r="277" spans="4:22" s="12" customFormat="1" x14ac:dyDescent="0.2">
      <c r="D277" s="107"/>
      <c r="E277" s="35"/>
      <c r="F277" s="36"/>
      <c r="G277" s="37"/>
      <c r="H277" s="38"/>
      <c r="I277" s="39"/>
      <c r="J277" s="39"/>
      <c r="K277" s="35"/>
      <c r="L277" s="107"/>
      <c r="M277" s="40"/>
      <c r="O277" s="107"/>
      <c r="P277" s="22"/>
      <c r="R277" s="107"/>
      <c r="S277" s="107"/>
      <c r="T277" s="107"/>
      <c r="U277" s="107"/>
      <c r="V277" s="107"/>
    </row>
    <row r="278" spans="4:22" s="12" customFormat="1" x14ac:dyDescent="0.2">
      <c r="D278" s="107"/>
      <c r="E278" s="35"/>
      <c r="F278" s="36"/>
      <c r="G278" s="37"/>
      <c r="H278" s="38"/>
      <c r="I278" s="39"/>
      <c r="J278" s="39"/>
      <c r="K278" s="35"/>
      <c r="L278" s="107"/>
      <c r="M278" s="40"/>
      <c r="O278" s="107"/>
      <c r="P278" s="22"/>
      <c r="R278" s="107"/>
      <c r="S278" s="107"/>
      <c r="T278" s="107"/>
      <c r="U278" s="107"/>
      <c r="V278" s="107"/>
    </row>
    <row r="279" spans="4:22" s="12" customFormat="1" x14ac:dyDescent="0.2">
      <c r="D279" s="107"/>
      <c r="E279" s="35"/>
      <c r="F279" s="36"/>
      <c r="G279" s="37"/>
      <c r="H279" s="38"/>
      <c r="I279" s="39"/>
      <c r="J279" s="39"/>
      <c r="K279" s="35"/>
      <c r="L279" s="107"/>
      <c r="M279" s="40"/>
      <c r="O279" s="107"/>
      <c r="P279" s="22"/>
      <c r="R279" s="107"/>
      <c r="S279" s="107"/>
      <c r="T279" s="107"/>
      <c r="U279" s="107"/>
      <c r="V279" s="107"/>
    </row>
    <row r="280" spans="4:22" s="12" customFormat="1" x14ac:dyDescent="0.2">
      <c r="D280" s="107"/>
      <c r="E280" s="35"/>
      <c r="F280" s="36"/>
      <c r="G280" s="37"/>
      <c r="H280" s="38"/>
      <c r="I280" s="39"/>
      <c r="J280" s="39"/>
      <c r="K280" s="35"/>
      <c r="L280" s="107"/>
      <c r="M280" s="40"/>
      <c r="O280" s="107"/>
      <c r="P280" s="22"/>
      <c r="R280" s="107"/>
      <c r="S280" s="107"/>
      <c r="T280" s="107"/>
      <c r="U280" s="107"/>
      <c r="V280" s="107"/>
    </row>
    <row r="281" spans="4:22" s="12" customFormat="1" x14ac:dyDescent="0.2">
      <c r="D281" s="107"/>
      <c r="E281" s="35"/>
      <c r="F281" s="36"/>
      <c r="G281" s="37"/>
      <c r="H281" s="38"/>
      <c r="I281" s="39"/>
      <c r="J281" s="39"/>
      <c r="K281" s="35"/>
      <c r="L281" s="107"/>
      <c r="M281" s="40"/>
      <c r="O281" s="107"/>
      <c r="P281" s="22"/>
      <c r="R281" s="107"/>
      <c r="S281" s="107"/>
      <c r="T281" s="107"/>
      <c r="U281" s="107"/>
      <c r="V281" s="107"/>
    </row>
    <row r="282" spans="4:22" s="12" customFormat="1" x14ac:dyDescent="0.2">
      <c r="D282" s="107"/>
      <c r="E282" s="35"/>
      <c r="F282" s="36"/>
      <c r="G282" s="37"/>
      <c r="H282" s="38"/>
      <c r="I282" s="39"/>
      <c r="J282" s="39"/>
      <c r="K282" s="35"/>
      <c r="L282" s="107"/>
      <c r="M282" s="40"/>
      <c r="O282" s="107"/>
      <c r="P282" s="22"/>
      <c r="R282" s="107"/>
      <c r="S282" s="107"/>
      <c r="T282" s="107"/>
      <c r="U282" s="107"/>
      <c r="V282" s="107"/>
    </row>
    <row r="283" spans="4:22" s="12" customFormat="1" x14ac:dyDescent="0.2">
      <c r="D283" s="107"/>
      <c r="E283" s="35"/>
      <c r="F283" s="36"/>
      <c r="G283" s="37"/>
      <c r="H283" s="38"/>
      <c r="I283" s="39"/>
      <c r="J283" s="39"/>
      <c r="K283" s="35"/>
      <c r="L283" s="107"/>
      <c r="M283" s="40"/>
      <c r="O283" s="107"/>
      <c r="P283" s="22"/>
      <c r="R283" s="107"/>
      <c r="S283" s="107"/>
      <c r="T283" s="107"/>
      <c r="U283" s="107"/>
      <c r="V283" s="107"/>
    </row>
    <row r="284" spans="4:22" s="12" customFormat="1" x14ac:dyDescent="0.2">
      <c r="D284" s="107"/>
      <c r="E284" s="35"/>
      <c r="F284" s="36"/>
      <c r="G284" s="37"/>
      <c r="H284" s="38"/>
      <c r="I284" s="39"/>
      <c r="J284" s="39"/>
      <c r="K284" s="35"/>
      <c r="L284" s="107"/>
      <c r="M284" s="40"/>
      <c r="O284" s="107"/>
      <c r="P284" s="22"/>
      <c r="R284" s="107"/>
      <c r="S284" s="107"/>
      <c r="T284" s="107"/>
      <c r="U284" s="107"/>
      <c r="V284" s="107"/>
    </row>
    <row r="285" spans="4:22" s="12" customFormat="1" x14ac:dyDescent="0.2">
      <c r="D285" s="107"/>
      <c r="E285" s="35"/>
      <c r="F285" s="36"/>
      <c r="G285" s="37"/>
      <c r="H285" s="38"/>
      <c r="I285" s="39"/>
      <c r="J285" s="39"/>
      <c r="K285" s="35"/>
      <c r="L285" s="107"/>
      <c r="M285" s="40"/>
      <c r="O285" s="107"/>
      <c r="P285" s="22"/>
      <c r="R285" s="107"/>
      <c r="S285" s="107"/>
      <c r="T285" s="107"/>
      <c r="U285" s="107"/>
      <c r="V285" s="107"/>
    </row>
    <row r="286" spans="4:22" s="12" customFormat="1" x14ac:dyDescent="0.2">
      <c r="D286" s="107"/>
      <c r="E286" s="35"/>
      <c r="F286" s="36"/>
      <c r="G286" s="37"/>
      <c r="H286" s="38"/>
      <c r="I286" s="39"/>
      <c r="J286" s="39"/>
      <c r="K286" s="35"/>
      <c r="L286" s="107"/>
      <c r="M286" s="40"/>
      <c r="O286" s="107"/>
      <c r="P286" s="22"/>
      <c r="R286" s="107"/>
      <c r="S286" s="107"/>
      <c r="T286" s="107"/>
      <c r="U286" s="107"/>
      <c r="V286" s="107"/>
    </row>
    <row r="287" spans="4:22" s="12" customFormat="1" x14ac:dyDescent="0.2">
      <c r="D287" s="107"/>
      <c r="E287" s="35"/>
      <c r="F287" s="36"/>
      <c r="G287" s="37"/>
      <c r="H287" s="38"/>
      <c r="I287" s="39"/>
      <c r="J287" s="39"/>
      <c r="K287" s="35"/>
      <c r="L287" s="107"/>
      <c r="M287" s="40"/>
      <c r="O287" s="107"/>
      <c r="P287" s="22"/>
      <c r="R287" s="107"/>
      <c r="S287" s="107"/>
      <c r="T287" s="107"/>
      <c r="U287" s="107"/>
      <c r="V287" s="107"/>
    </row>
    <row r="288" spans="4:22" s="12" customFormat="1" x14ac:dyDescent="0.2">
      <c r="D288" s="107"/>
      <c r="E288" s="35"/>
      <c r="F288" s="36"/>
      <c r="G288" s="37"/>
      <c r="H288" s="38"/>
      <c r="I288" s="39"/>
      <c r="J288" s="39"/>
      <c r="K288" s="35"/>
      <c r="L288" s="107"/>
      <c r="M288" s="40"/>
      <c r="O288" s="107"/>
      <c r="P288" s="22"/>
      <c r="R288" s="107"/>
      <c r="S288" s="107"/>
      <c r="T288" s="107"/>
      <c r="U288" s="107"/>
      <c r="V288" s="107"/>
    </row>
    <row r="289" spans="4:22" s="12" customFormat="1" x14ac:dyDescent="0.2">
      <c r="D289" s="107"/>
      <c r="E289" s="35"/>
      <c r="F289" s="36"/>
      <c r="G289" s="37"/>
      <c r="H289" s="38"/>
      <c r="I289" s="39"/>
      <c r="J289" s="39"/>
      <c r="K289" s="35"/>
      <c r="L289" s="107"/>
      <c r="M289" s="40"/>
      <c r="O289" s="107"/>
      <c r="P289" s="22"/>
      <c r="R289" s="107"/>
      <c r="S289" s="107"/>
      <c r="T289" s="107"/>
      <c r="U289" s="107"/>
      <c r="V289" s="107"/>
    </row>
    <row r="290" spans="4:22" s="12" customFormat="1" x14ac:dyDescent="0.2">
      <c r="D290" s="107"/>
      <c r="E290" s="35"/>
      <c r="F290" s="36"/>
      <c r="G290" s="37"/>
      <c r="H290" s="38"/>
      <c r="I290" s="39"/>
      <c r="J290" s="39"/>
      <c r="K290" s="35"/>
      <c r="L290" s="107"/>
      <c r="M290" s="40"/>
      <c r="O290" s="107"/>
      <c r="P290" s="22"/>
      <c r="R290" s="107"/>
      <c r="S290" s="107"/>
      <c r="T290" s="107"/>
      <c r="U290" s="107"/>
      <c r="V290" s="107"/>
    </row>
    <row r="291" spans="4:22" s="12" customFormat="1" x14ac:dyDescent="0.2">
      <c r="D291" s="107"/>
      <c r="E291" s="35"/>
      <c r="F291" s="36"/>
      <c r="G291" s="37"/>
      <c r="H291" s="38"/>
      <c r="I291" s="39"/>
      <c r="J291" s="39"/>
      <c r="K291" s="35"/>
      <c r="L291" s="107"/>
      <c r="M291" s="40"/>
      <c r="O291" s="107"/>
      <c r="P291" s="22"/>
      <c r="R291" s="107"/>
      <c r="S291" s="107"/>
      <c r="T291" s="107"/>
      <c r="U291" s="107"/>
      <c r="V291" s="107"/>
    </row>
    <row r="292" spans="4:22" s="12" customFormat="1" x14ac:dyDescent="0.2">
      <c r="D292" s="107"/>
      <c r="E292" s="35"/>
      <c r="F292" s="36"/>
      <c r="G292" s="37"/>
      <c r="H292" s="38"/>
      <c r="I292" s="39"/>
      <c r="J292" s="39"/>
      <c r="K292" s="35"/>
      <c r="L292" s="107"/>
      <c r="M292" s="40"/>
      <c r="O292" s="107"/>
      <c r="P292" s="22"/>
      <c r="R292" s="107"/>
      <c r="S292" s="107"/>
      <c r="T292" s="107"/>
      <c r="U292" s="107"/>
      <c r="V292" s="107"/>
    </row>
    <row r="293" spans="4:22" s="12" customFormat="1" x14ac:dyDescent="0.2">
      <c r="D293" s="107"/>
      <c r="E293" s="35"/>
      <c r="F293" s="36"/>
      <c r="G293" s="37"/>
      <c r="H293" s="38"/>
      <c r="I293" s="39"/>
      <c r="J293" s="39"/>
      <c r="K293" s="35"/>
      <c r="L293" s="107"/>
      <c r="M293" s="40"/>
      <c r="O293" s="107"/>
      <c r="P293" s="22"/>
      <c r="R293" s="107"/>
      <c r="S293" s="107"/>
      <c r="T293" s="107"/>
      <c r="U293" s="107"/>
      <c r="V293" s="107"/>
    </row>
    <row r="294" spans="4:22" s="12" customFormat="1" x14ac:dyDescent="0.2">
      <c r="D294" s="107"/>
      <c r="E294" s="35"/>
      <c r="F294" s="36"/>
      <c r="G294" s="37"/>
      <c r="H294" s="38"/>
      <c r="I294" s="39"/>
      <c r="J294" s="39"/>
      <c r="K294" s="35"/>
      <c r="L294" s="107"/>
      <c r="M294" s="40"/>
      <c r="O294" s="107"/>
      <c r="P294" s="22"/>
      <c r="R294" s="107"/>
      <c r="S294" s="107"/>
      <c r="T294" s="107"/>
      <c r="U294" s="107"/>
      <c r="V294" s="107"/>
    </row>
    <row r="295" spans="4:22" s="12" customFormat="1" x14ac:dyDescent="0.2">
      <c r="D295" s="107"/>
      <c r="E295" s="35"/>
      <c r="F295" s="36"/>
      <c r="G295" s="37"/>
      <c r="H295" s="38"/>
      <c r="I295" s="39"/>
      <c r="J295" s="39"/>
      <c r="K295" s="35"/>
      <c r="L295" s="107"/>
      <c r="M295" s="40"/>
      <c r="O295" s="107"/>
      <c r="P295" s="22"/>
      <c r="R295" s="107"/>
      <c r="S295" s="107"/>
      <c r="T295" s="107"/>
      <c r="U295" s="107"/>
      <c r="V295" s="107"/>
    </row>
    <row r="296" spans="4:22" s="12" customFormat="1" x14ac:dyDescent="0.2">
      <c r="D296" s="107"/>
      <c r="E296" s="35"/>
      <c r="F296" s="36"/>
      <c r="G296" s="37"/>
      <c r="H296" s="38"/>
      <c r="I296" s="39"/>
      <c r="J296" s="39"/>
      <c r="K296" s="35"/>
      <c r="L296" s="107"/>
      <c r="M296" s="40"/>
      <c r="O296" s="107"/>
      <c r="P296" s="22"/>
      <c r="R296" s="107"/>
      <c r="S296" s="107"/>
      <c r="T296" s="107"/>
      <c r="U296" s="107"/>
      <c r="V296" s="107"/>
    </row>
    <row r="297" spans="4:22" s="12" customFormat="1" x14ac:dyDescent="0.2">
      <c r="D297" s="107"/>
      <c r="E297" s="35"/>
      <c r="F297" s="36"/>
      <c r="G297" s="37"/>
      <c r="H297" s="38"/>
      <c r="I297" s="39"/>
      <c r="J297" s="39"/>
      <c r="K297" s="35"/>
      <c r="L297" s="107"/>
      <c r="M297" s="40"/>
      <c r="O297" s="107"/>
      <c r="P297" s="22"/>
      <c r="R297" s="107"/>
      <c r="S297" s="107"/>
      <c r="T297" s="107"/>
      <c r="U297" s="107"/>
      <c r="V297" s="107"/>
    </row>
    <row r="298" spans="4:22" s="12" customFormat="1" x14ac:dyDescent="0.2">
      <c r="D298" s="107"/>
      <c r="E298" s="35"/>
      <c r="F298" s="36"/>
      <c r="G298" s="37"/>
      <c r="H298" s="38"/>
      <c r="I298" s="39"/>
      <c r="J298" s="39"/>
      <c r="K298" s="35"/>
      <c r="L298" s="107"/>
      <c r="M298" s="40"/>
      <c r="O298" s="107"/>
      <c r="P298" s="22"/>
      <c r="R298" s="107"/>
      <c r="S298" s="107"/>
      <c r="T298" s="107"/>
      <c r="U298" s="107"/>
      <c r="V298" s="107"/>
    </row>
    <row r="299" spans="4:22" s="12" customFormat="1" x14ac:dyDescent="0.2">
      <c r="D299" s="107"/>
      <c r="E299" s="35"/>
      <c r="F299" s="36"/>
      <c r="G299" s="37"/>
      <c r="H299" s="38"/>
      <c r="I299" s="39"/>
      <c r="J299" s="39"/>
      <c r="K299" s="35"/>
      <c r="L299" s="107"/>
      <c r="M299" s="40"/>
      <c r="O299" s="107"/>
      <c r="P299" s="22"/>
      <c r="R299" s="107"/>
      <c r="S299" s="107"/>
      <c r="T299" s="107"/>
      <c r="U299" s="107"/>
      <c r="V299" s="107"/>
    </row>
    <row r="300" spans="4:22" s="12" customFormat="1" x14ac:dyDescent="0.2">
      <c r="D300" s="107"/>
      <c r="E300" s="35"/>
      <c r="F300" s="36"/>
      <c r="G300" s="37"/>
      <c r="H300" s="38"/>
      <c r="I300" s="39"/>
      <c r="J300" s="39"/>
      <c r="K300" s="35"/>
      <c r="L300" s="107"/>
      <c r="M300" s="40"/>
      <c r="O300" s="107"/>
      <c r="P300" s="22"/>
      <c r="R300" s="107"/>
      <c r="S300" s="107"/>
      <c r="T300" s="107"/>
      <c r="U300" s="107"/>
      <c r="V300" s="107"/>
    </row>
    <row r="301" spans="4:22" s="12" customFormat="1" x14ac:dyDescent="0.2">
      <c r="D301" s="107"/>
      <c r="E301" s="35"/>
      <c r="F301" s="36"/>
      <c r="G301" s="37"/>
      <c r="H301" s="38"/>
      <c r="I301" s="39"/>
      <c r="J301" s="39"/>
      <c r="K301" s="35"/>
      <c r="L301" s="107"/>
      <c r="M301" s="40"/>
      <c r="O301" s="107"/>
      <c r="P301" s="22"/>
      <c r="R301" s="107"/>
      <c r="S301" s="107"/>
      <c r="T301" s="107"/>
      <c r="U301" s="107"/>
      <c r="V301" s="107"/>
    </row>
    <row r="302" spans="4:22" s="12" customFormat="1" x14ac:dyDescent="0.2">
      <c r="D302" s="107"/>
      <c r="E302" s="35"/>
      <c r="F302" s="36"/>
      <c r="G302" s="37"/>
      <c r="H302" s="38"/>
      <c r="I302" s="39"/>
      <c r="J302" s="39"/>
      <c r="K302" s="35"/>
      <c r="L302" s="107"/>
      <c r="M302" s="40"/>
      <c r="O302" s="107"/>
      <c r="P302" s="22"/>
      <c r="R302" s="107"/>
      <c r="S302" s="107"/>
      <c r="T302" s="107"/>
      <c r="U302" s="107"/>
      <c r="V302" s="107"/>
    </row>
    <row r="303" spans="4:22" s="12" customFormat="1" x14ac:dyDescent="0.2">
      <c r="D303" s="107"/>
      <c r="E303" s="35"/>
      <c r="F303" s="36"/>
      <c r="G303" s="37"/>
      <c r="H303" s="38"/>
      <c r="I303" s="39"/>
      <c r="J303" s="39"/>
      <c r="K303" s="35"/>
      <c r="L303" s="107"/>
      <c r="M303" s="40"/>
      <c r="O303" s="107"/>
      <c r="P303" s="22"/>
      <c r="R303" s="107"/>
      <c r="S303" s="107"/>
      <c r="T303" s="107"/>
      <c r="U303" s="107"/>
      <c r="V303" s="107"/>
    </row>
    <row r="304" spans="4:22" s="12" customFormat="1" x14ac:dyDescent="0.2">
      <c r="D304" s="107"/>
      <c r="E304" s="35"/>
      <c r="F304" s="36"/>
      <c r="G304" s="37"/>
      <c r="H304" s="38"/>
      <c r="I304" s="39"/>
      <c r="J304" s="39"/>
      <c r="K304" s="35"/>
      <c r="L304" s="107"/>
      <c r="M304" s="40"/>
      <c r="O304" s="107"/>
      <c r="P304" s="22"/>
      <c r="R304" s="107"/>
      <c r="S304" s="107"/>
      <c r="T304" s="107"/>
      <c r="U304" s="107"/>
      <c r="V304" s="107"/>
    </row>
    <row r="305" spans="4:22" s="12" customFormat="1" x14ac:dyDescent="0.2">
      <c r="D305" s="107"/>
      <c r="E305" s="35"/>
      <c r="F305" s="36"/>
      <c r="G305" s="37"/>
      <c r="H305" s="38"/>
      <c r="I305" s="39"/>
      <c r="J305" s="39"/>
      <c r="K305" s="35"/>
      <c r="L305" s="107"/>
      <c r="M305" s="40"/>
      <c r="O305" s="107"/>
      <c r="P305" s="22"/>
      <c r="R305" s="107"/>
      <c r="S305" s="107"/>
      <c r="T305" s="107"/>
      <c r="U305" s="107"/>
      <c r="V305" s="107"/>
    </row>
    <row r="306" spans="4:22" s="12" customFormat="1" x14ac:dyDescent="0.2">
      <c r="D306" s="107"/>
      <c r="E306" s="35"/>
      <c r="F306" s="36"/>
      <c r="G306" s="37"/>
      <c r="H306" s="38"/>
      <c r="I306" s="39"/>
      <c r="J306" s="39"/>
      <c r="K306" s="35"/>
      <c r="L306" s="107"/>
      <c r="M306" s="40"/>
      <c r="O306" s="107"/>
      <c r="P306" s="22"/>
      <c r="R306" s="107"/>
      <c r="S306" s="107"/>
      <c r="T306" s="107"/>
      <c r="U306" s="107"/>
      <c r="V306" s="107"/>
    </row>
    <row r="307" spans="4:22" s="12" customFormat="1" x14ac:dyDescent="0.2">
      <c r="D307" s="107"/>
      <c r="E307" s="35"/>
      <c r="F307" s="36"/>
      <c r="G307" s="37"/>
      <c r="H307" s="38"/>
      <c r="I307" s="39"/>
      <c r="J307" s="39"/>
      <c r="K307" s="35"/>
      <c r="L307" s="107"/>
      <c r="M307" s="40"/>
      <c r="O307" s="107"/>
      <c r="P307" s="22"/>
      <c r="R307" s="107"/>
      <c r="S307" s="107"/>
      <c r="T307" s="107"/>
      <c r="U307" s="107"/>
      <c r="V307" s="107"/>
    </row>
    <row r="308" spans="4:22" s="12" customFormat="1" x14ac:dyDescent="0.2">
      <c r="D308" s="107"/>
      <c r="E308" s="35"/>
      <c r="F308" s="36"/>
      <c r="G308" s="37"/>
      <c r="H308" s="38"/>
      <c r="I308" s="39"/>
      <c r="J308" s="39"/>
      <c r="K308" s="35"/>
      <c r="L308" s="107"/>
      <c r="M308" s="40"/>
      <c r="O308" s="107"/>
      <c r="P308" s="22"/>
      <c r="R308" s="107"/>
      <c r="S308" s="107"/>
      <c r="T308" s="107"/>
      <c r="U308" s="107"/>
      <c r="V308" s="107"/>
    </row>
    <row r="309" spans="4:22" s="12" customFormat="1" x14ac:dyDescent="0.2">
      <c r="D309" s="107"/>
      <c r="E309" s="35"/>
      <c r="F309" s="36"/>
      <c r="G309" s="37"/>
      <c r="H309" s="38"/>
      <c r="I309" s="39"/>
      <c r="J309" s="39"/>
      <c r="K309" s="35"/>
      <c r="L309" s="107"/>
      <c r="M309" s="40"/>
      <c r="O309" s="107"/>
      <c r="P309" s="22"/>
      <c r="R309" s="107"/>
      <c r="S309" s="107"/>
      <c r="T309" s="107"/>
      <c r="U309" s="107"/>
      <c r="V309" s="107"/>
    </row>
    <row r="310" spans="4:22" s="12" customFormat="1" x14ac:dyDescent="0.2">
      <c r="D310" s="107"/>
      <c r="E310" s="35"/>
      <c r="F310" s="36"/>
      <c r="G310" s="37"/>
      <c r="H310" s="38"/>
      <c r="I310" s="39"/>
      <c r="J310" s="39"/>
      <c r="K310" s="35"/>
      <c r="L310" s="107"/>
      <c r="M310" s="40"/>
      <c r="O310" s="107"/>
      <c r="P310" s="22"/>
      <c r="R310" s="107"/>
      <c r="S310" s="107"/>
      <c r="T310" s="107"/>
      <c r="U310" s="107"/>
      <c r="V310" s="107"/>
    </row>
    <row r="311" spans="4:22" s="12" customFormat="1" x14ac:dyDescent="0.2">
      <c r="D311" s="107"/>
      <c r="E311" s="35"/>
      <c r="F311" s="36"/>
      <c r="G311" s="37"/>
      <c r="H311" s="38"/>
      <c r="I311" s="39"/>
      <c r="J311" s="39"/>
      <c r="K311" s="35"/>
      <c r="L311" s="107"/>
      <c r="M311" s="40"/>
      <c r="O311" s="107"/>
      <c r="P311" s="22"/>
      <c r="R311" s="107"/>
      <c r="S311" s="107"/>
      <c r="T311" s="107"/>
      <c r="U311" s="107"/>
      <c r="V311" s="107"/>
    </row>
    <row r="312" spans="4:22" s="12" customFormat="1" x14ac:dyDescent="0.2">
      <c r="D312" s="107"/>
      <c r="E312" s="35"/>
      <c r="F312" s="36"/>
      <c r="G312" s="37"/>
      <c r="H312" s="38"/>
      <c r="I312" s="39"/>
      <c r="J312" s="39"/>
      <c r="K312" s="35"/>
      <c r="L312" s="107"/>
      <c r="M312" s="40"/>
      <c r="O312" s="107"/>
      <c r="P312" s="22"/>
      <c r="R312" s="107"/>
      <c r="S312" s="107"/>
      <c r="T312" s="107"/>
      <c r="U312" s="107"/>
      <c r="V312" s="107"/>
    </row>
    <row r="313" spans="4:22" s="12" customFormat="1" x14ac:dyDescent="0.2">
      <c r="D313" s="107"/>
      <c r="E313" s="35"/>
      <c r="F313" s="36"/>
      <c r="G313" s="37"/>
      <c r="H313" s="38"/>
      <c r="I313" s="39"/>
      <c r="J313" s="39"/>
      <c r="K313" s="35"/>
      <c r="L313" s="107"/>
      <c r="M313" s="40"/>
      <c r="O313" s="107"/>
      <c r="P313" s="22"/>
      <c r="R313" s="107"/>
      <c r="S313" s="107"/>
      <c r="T313" s="107"/>
      <c r="U313" s="107"/>
      <c r="V313" s="107"/>
    </row>
    <row r="314" spans="4:22" s="12" customFormat="1" x14ac:dyDescent="0.2">
      <c r="D314" s="107"/>
      <c r="E314" s="35"/>
      <c r="F314" s="36"/>
      <c r="G314" s="37"/>
      <c r="H314" s="38"/>
      <c r="I314" s="39"/>
      <c r="J314" s="39"/>
      <c r="K314" s="35"/>
      <c r="L314" s="107"/>
      <c r="M314" s="40"/>
      <c r="O314" s="107"/>
      <c r="P314" s="22"/>
      <c r="R314" s="107"/>
      <c r="S314" s="107"/>
      <c r="T314" s="107"/>
      <c r="U314" s="107"/>
      <c r="V314" s="107"/>
    </row>
    <row r="315" spans="4:22" s="12" customFormat="1" x14ac:dyDescent="0.2">
      <c r="D315" s="107"/>
      <c r="E315" s="35"/>
      <c r="F315" s="36"/>
      <c r="G315" s="37"/>
      <c r="H315" s="38"/>
      <c r="I315" s="39"/>
      <c r="J315" s="39"/>
      <c r="K315" s="35"/>
      <c r="L315" s="107"/>
      <c r="M315" s="40"/>
      <c r="O315" s="107"/>
      <c r="P315" s="22"/>
      <c r="R315" s="107"/>
      <c r="S315" s="107"/>
      <c r="T315" s="107"/>
      <c r="U315" s="107"/>
      <c r="V315" s="107"/>
    </row>
    <row r="316" spans="4:22" s="12" customFormat="1" x14ac:dyDescent="0.2">
      <c r="D316" s="107"/>
      <c r="E316" s="35"/>
      <c r="F316" s="36"/>
      <c r="G316" s="37"/>
      <c r="H316" s="38"/>
      <c r="I316" s="39"/>
      <c r="J316" s="39"/>
      <c r="K316" s="35"/>
      <c r="L316" s="107"/>
      <c r="M316" s="40"/>
      <c r="O316" s="107"/>
      <c r="P316" s="22"/>
      <c r="R316" s="107"/>
      <c r="S316" s="107"/>
      <c r="T316" s="107"/>
      <c r="U316" s="107"/>
      <c r="V316" s="107"/>
    </row>
    <row r="317" spans="4:22" s="12" customFormat="1" x14ac:dyDescent="0.2">
      <c r="D317" s="107"/>
      <c r="E317" s="35"/>
      <c r="F317" s="36"/>
      <c r="G317" s="37"/>
      <c r="H317" s="38"/>
      <c r="I317" s="39"/>
      <c r="J317" s="39"/>
      <c r="K317" s="35"/>
      <c r="L317" s="107"/>
      <c r="M317" s="40"/>
      <c r="O317" s="107"/>
      <c r="P317" s="22"/>
      <c r="R317" s="107"/>
      <c r="S317" s="107"/>
      <c r="T317" s="107"/>
      <c r="U317" s="107"/>
      <c r="V317" s="107"/>
    </row>
    <row r="318" spans="4:22" s="12" customFormat="1" x14ac:dyDescent="0.2">
      <c r="D318" s="107"/>
      <c r="E318" s="35"/>
      <c r="F318" s="36"/>
      <c r="G318" s="37"/>
      <c r="H318" s="38"/>
      <c r="I318" s="39"/>
      <c r="J318" s="39"/>
      <c r="K318" s="35"/>
      <c r="L318" s="107"/>
      <c r="M318" s="40"/>
      <c r="O318" s="107"/>
      <c r="P318" s="22"/>
      <c r="R318" s="107"/>
      <c r="S318" s="107"/>
      <c r="T318" s="107"/>
      <c r="U318" s="107"/>
      <c r="V318" s="107"/>
    </row>
    <row r="319" spans="4:22" s="12" customFormat="1" x14ac:dyDescent="0.2">
      <c r="D319" s="107"/>
      <c r="E319" s="35"/>
      <c r="F319" s="36"/>
      <c r="G319" s="37"/>
      <c r="H319" s="38"/>
      <c r="I319" s="39"/>
      <c r="J319" s="39"/>
      <c r="K319" s="35"/>
      <c r="L319" s="107"/>
      <c r="M319" s="40"/>
      <c r="O319" s="107"/>
      <c r="P319" s="22"/>
      <c r="R319" s="107"/>
      <c r="S319" s="107"/>
      <c r="T319" s="107"/>
      <c r="U319" s="107"/>
      <c r="V319" s="107"/>
    </row>
    <row r="320" spans="4:22" s="12" customFormat="1" x14ac:dyDescent="0.2">
      <c r="D320" s="107"/>
      <c r="E320" s="35"/>
      <c r="F320" s="36"/>
      <c r="G320" s="37"/>
      <c r="H320" s="38"/>
      <c r="I320" s="39"/>
      <c r="J320" s="39"/>
      <c r="K320" s="35"/>
      <c r="L320" s="107"/>
      <c r="M320" s="40"/>
      <c r="O320" s="107"/>
      <c r="P320" s="22"/>
      <c r="R320" s="107"/>
      <c r="S320" s="107"/>
      <c r="T320" s="107"/>
      <c r="U320" s="107"/>
      <c r="V320" s="107"/>
    </row>
    <row r="321" spans="4:22" s="12" customFormat="1" x14ac:dyDescent="0.2">
      <c r="D321" s="107"/>
      <c r="E321" s="35"/>
      <c r="F321" s="36"/>
      <c r="G321" s="37"/>
      <c r="H321" s="38"/>
      <c r="I321" s="39"/>
      <c r="J321" s="39"/>
      <c r="K321" s="35"/>
      <c r="L321" s="107"/>
      <c r="M321" s="40"/>
      <c r="O321" s="107"/>
      <c r="P321" s="22"/>
      <c r="R321" s="107"/>
      <c r="S321" s="107"/>
      <c r="T321" s="107"/>
      <c r="U321" s="107"/>
      <c r="V321" s="107"/>
    </row>
    <row r="322" spans="4:22" s="12" customFormat="1" x14ac:dyDescent="0.2">
      <c r="D322" s="107"/>
      <c r="E322" s="35"/>
      <c r="F322" s="36"/>
      <c r="G322" s="37"/>
      <c r="H322" s="38"/>
      <c r="I322" s="39"/>
      <c r="J322" s="39"/>
      <c r="K322" s="35"/>
      <c r="L322" s="107"/>
      <c r="M322" s="40"/>
      <c r="O322" s="107"/>
      <c r="P322" s="22"/>
      <c r="R322" s="107"/>
      <c r="S322" s="107"/>
      <c r="T322" s="107"/>
      <c r="U322" s="107"/>
      <c r="V322" s="107"/>
    </row>
    <row r="323" spans="4:22" s="12" customFormat="1" x14ac:dyDescent="0.2">
      <c r="D323" s="107"/>
      <c r="E323" s="35"/>
      <c r="F323" s="36"/>
      <c r="G323" s="37"/>
      <c r="H323" s="38"/>
      <c r="I323" s="39"/>
      <c r="J323" s="39"/>
      <c r="K323" s="35"/>
      <c r="L323" s="107"/>
      <c r="M323" s="40"/>
      <c r="O323" s="107"/>
      <c r="P323" s="22"/>
      <c r="R323" s="107"/>
      <c r="S323" s="107"/>
      <c r="T323" s="107"/>
      <c r="U323" s="107"/>
      <c r="V323" s="107"/>
    </row>
    <row r="324" spans="4:22" s="12" customFormat="1" x14ac:dyDescent="0.2">
      <c r="D324" s="107"/>
      <c r="E324" s="35"/>
      <c r="F324" s="36"/>
      <c r="G324" s="37"/>
      <c r="H324" s="38"/>
      <c r="I324" s="39"/>
      <c r="J324" s="39"/>
      <c r="K324" s="35"/>
      <c r="L324" s="107"/>
      <c r="M324" s="40"/>
      <c r="O324" s="107"/>
      <c r="P324" s="22"/>
      <c r="R324" s="107"/>
      <c r="S324" s="107"/>
      <c r="T324" s="107"/>
      <c r="U324" s="107"/>
      <c r="V324" s="107"/>
    </row>
    <row r="325" spans="4:22" s="12" customFormat="1" x14ac:dyDescent="0.2">
      <c r="D325" s="107"/>
      <c r="E325" s="35"/>
      <c r="F325" s="36"/>
      <c r="G325" s="37"/>
      <c r="H325" s="38"/>
      <c r="I325" s="39"/>
      <c r="J325" s="39"/>
      <c r="K325" s="35"/>
      <c r="L325" s="107"/>
      <c r="M325" s="40"/>
      <c r="O325" s="107"/>
      <c r="P325" s="22"/>
      <c r="R325" s="107"/>
      <c r="S325" s="107"/>
      <c r="T325" s="107"/>
      <c r="U325" s="107"/>
      <c r="V325" s="107"/>
    </row>
    <row r="326" spans="4:22" s="12" customFormat="1" x14ac:dyDescent="0.2">
      <c r="D326" s="107"/>
      <c r="E326" s="35"/>
      <c r="F326" s="36"/>
      <c r="G326" s="37"/>
      <c r="H326" s="38"/>
      <c r="I326" s="39"/>
      <c r="J326" s="39"/>
      <c r="K326" s="35"/>
      <c r="L326" s="107"/>
      <c r="M326" s="40"/>
      <c r="O326" s="107"/>
      <c r="P326" s="22"/>
      <c r="R326" s="107"/>
      <c r="S326" s="107"/>
      <c r="T326" s="107"/>
      <c r="U326" s="107"/>
      <c r="V326" s="107"/>
    </row>
    <row r="327" spans="4:22" s="12" customFormat="1" x14ac:dyDescent="0.2">
      <c r="D327" s="107"/>
      <c r="E327" s="35"/>
      <c r="F327" s="36"/>
      <c r="G327" s="37"/>
      <c r="H327" s="38"/>
      <c r="I327" s="39"/>
      <c r="J327" s="39"/>
      <c r="K327" s="35"/>
      <c r="L327" s="107"/>
      <c r="M327" s="40"/>
      <c r="O327" s="107"/>
      <c r="P327" s="22"/>
      <c r="R327" s="107"/>
      <c r="S327" s="107"/>
      <c r="T327" s="107"/>
      <c r="U327" s="107"/>
      <c r="V327" s="107"/>
    </row>
    <row r="328" spans="4:22" s="12" customFormat="1" x14ac:dyDescent="0.2">
      <c r="D328" s="107"/>
      <c r="E328" s="35"/>
      <c r="F328" s="36"/>
      <c r="G328" s="37"/>
      <c r="H328" s="38"/>
      <c r="I328" s="39"/>
      <c r="J328" s="39"/>
      <c r="K328" s="35"/>
      <c r="L328" s="107"/>
      <c r="M328" s="40"/>
      <c r="O328" s="107"/>
      <c r="P328" s="22"/>
      <c r="R328" s="107"/>
      <c r="S328" s="107"/>
      <c r="T328" s="107"/>
      <c r="U328" s="107"/>
      <c r="V328" s="107"/>
    </row>
    <row r="329" spans="4:22" s="12" customFormat="1" x14ac:dyDescent="0.2">
      <c r="D329" s="107"/>
      <c r="E329" s="35"/>
      <c r="F329" s="36"/>
      <c r="G329" s="37"/>
      <c r="H329" s="38"/>
      <c r="I329" s="39"/>
      <c r="J329" s="39"/>
      <c r="K329" s="35"/>
      <c r="L329" s="107"/>
      <c r="M329" s="40"/>
      <c r="O329" s="107"/>
      <c r="P329" s="22"/>
      <c r="R329" s="107"/>
      <c r="S329" s="107"/>
      <c r="T329" s="107"/>
      <c r="U329" s="107"/>
      <c r="V329" s="107"/>
    </row>
    <row r="330" spans="4:22" s="12" customFormat="1" x14ac:dyDescent="0.2">
      <c r="D330" s="107"/>
      <c r="E330" s="35"/>
      <c r="F330" s="36"/>
      <c r="G330" s="37"/>
      <c r="H330" s="38"/>
      <c r="I330" s="39"/>
      <c r="J330" s="39"/>
      <c r="K330" s="35"/>
      <c r="L330" s="107"/>
      <c r="M330" s="40"/>
      <c r="O330" s="107"/>
      <c r="P330" s="22"/>
      <c r="R330" s="107"/>
      <c r="S330" s="107"/>
      <c r="T330" s="107"/>
      <c r="U330" s="107"/>
      <c r="V330" s="107"/>
    </row>
    <row r="331" spans="4:22" s="12" customFormat="1" x14ac:dyDescent="0.2">
      <c r="D331" s="107"/>
      <c r="E331" s="35"/>
      <c r="F331" s="36"/>
      <c r="G331" s="37"/>
      <c r="H331" s="38"/>
      <c r="I331" s="39"/>
      <c r="J331" s="39"/>
      <c r="K331" s="35"/>
      <c r="L331" s="107"/>
      <c r="M331" s="40"/>
      <c r="O331" s="107"/>
      <c r="P331" s="22"/>
      <c r="R331" s="107"/>
      <c r="S331" s="107"/>
      <c r="T331" s="107"/>
      <c r="U331" s="107"/>
      <c r="V331" s="107"/>
    </row>
    <row r="332" spans="4:22" s="12" customFormat="1" x14ac:dyDescent="0.2">
      <c r="D332" s="107"/>
      <c r="E332" s="35"/>
      <c r="F332" s="36"/>
      <c r="G332" s="37"/>
      <c r="H332" s="38"/>
      <c r="I332" s="39"/>
      <c r="J332" s="39"/>
      <c r="K332" s="35"/>
      <c r="L332" s="107"/>
      <c r="M332" s="40"/>
      <c r="O332" s="107"/>
      <c r="P332" s="22"/>
      <c r="R332" s="107"/>
      <c r="S332" s="107"/>
      <c r="T332" s="107"/>
      <c r="U332" s="107"/>
      <c r="V332" s="107"/>
    </row>
    <row r="333" spans="4:22" s="12" customFormat="1" x14ac:dyDescent="0.2">
      <c r="D333" s="107"/>
      <c r="E333" s="35"/>
      <c r="F333" s="36"/>
      <c r="G333" s="37"/>
      <c r="H333" s="38"/>
      <c r="I333" s="39"/>
      <c r="J333" s="39"/>
      <c r="K333" s="35"/>
      <c r="L333" s="107"/>
      <c r="M333" s="40"/>
      <c r="O333" s="107"/>
      <c r="P333" s="22"/>
      <c r="R333" s="107"/>
      <c r="S333" s="107"/>
      <c r="T333" s="107"/>
      <c r="U333" s="107"/>
      <c r="V333" s="107"/>
    </row>
    <row r="334" spans="4:22" s="12" customFormat="1" x14ac:dyDescent="0.2">
      <c r="D334" s="107"/>
      <c r="E334" s="35"/>
      <c r="F334" s="36"/>
      <c r="G334" s="37"/>
      <c r="H334" s="38"/>
      <c r="I334" s="39"/>
      <c r="J334" s="39"/>
      <c r="K334" s="35"/>
      <c r="L334" s="107"/>
      <c r="M334" s="40"/>
      <c r="O334" s="107"/>
      <c r="P334" s="22"/>
      <c r="R334" s="107"/>
      <c r="S334" s="107"/>
      <c r="T334" s="107"/>
      <c r="U334" s="107"/>
      <c r="V334" s="107"/>
    </row>
    <row r="335" spans="4:22" s="12" customFormat="1" x14ac:dyDescent="0.2">
      <c r="D335" s="107"/>
      <c r="E335" s="35"/>
      <c r="F335" s="36"/>
      <c r="G335" s="37"/>
      <c r="H335" s="38"/>
      <c r="I335" s="39"/>
      <c r="J335" s="39"/>
      <c r="K335" s="35"/>
      <c r="L335" s="107"/>
      <c r="M335" s="40"/>
      <c r="O335" s="107"/>
      <c r="P335" s="22"/>
      <c r="R335" s="107"/>
      <c r="S335" s="107"/>
      <c r="T335" s="107"/>
      <c r="U335" s="107"/>
      <c r="V335" s="107"/>
    </row>
    <row r="336" spans="4:22" s="12" customFormat="1" x14ac:dyDescent="0.2">
      <c r="D336" s="107"/>
      <c r="E336" s="35"/>
      <c r="F336" s="36"/>
      <c r="G336" s="37"/>
      <c r="H336" s="38"/>
      <c r="I336" s="39"/>
      <c r="J336" s="39"/>
      <c r="K336" s="35"/>
      <c r="L336" s="107"/>
      <c r="M336" s="40"/>
      <c r="O336" s="107"/>
      <c r="P336" s="22"/>
      <c r="R336" s="107"/>
      <c r="S336" s="107"/>
      <c r="T336" s="107"/>
      <c r="U336" s="107"/>
      <c r="V336" s="107"/>
    </row>
    <row r="337" spans="4:22" s="12" customFormat="1" x14ac:dyDescent="0.2">
      <c r="D337" s="107"/>
      <c r="E337" s="35"/>
      <c r="F337" s="36"/>
      <c r="G337" s="37"/>
      <c r="H337" s="38"/>
      <c r="I337" s="39"/>
      <c r="J337" s="39"/>
      <c r="K337" s="35"/>
      <c r="L337" s="107"/>
      <c r="M337" s="40"/>
      <c r="O337" s="107"/>
      <c r="P337" s="22"/>
      <c r="R337" s="107"/>
      <c r="S337" s="107"/>
      <c r="T337" s="107"/>
      <c r="U337" s="107"/>
      <c r="V337" s="107"/>
    </row>
    <row r="338" spans="4:22" s="12" customFormat="1" x14ac:dyDescent="0.2">
      <c r="D338" s="107"/>
      <c r="E338" s="35"/>
      <c r="F338" s="36"/>
      <c r="G338" s="37"/>
      <c r="H338" s="38"/>
      <c r="I338" s="39"/>
      <c r="J338" s="39"/>
      <c r="K338" s="35"/>
      <c r="L338" s="107"/>
      <c r="M338" s="40"/>
      <c r="O338" s="107"/>
      <c r="P338" s="22"/>
      <c r="R338" s="107"/>
      <c r="S338" s="107"/>
      <c r="T338" s="107"/>
      <c r="U338" s="107"/>
      <c r="V338" s="107"/>
    </row>
    <row r="339" spans="4:22" s="12" customFormat="1" x14ac:dyDescent="0.2">
      <c r="D339" s="107"/>
      <c r="E339" s="35"/>
      <c r="F339" s="36"/>
      <c r="G339" s="37"/>
      <c r="H339" s="38"/>
      <c r="I339" s="39"/>
      <c r="J339" s="39"/>
      <c r="K339" s="35"/>
      <c r="L339" s="107"/>
      <c r="M339" s="40"/>
      <c r="O339" s="107"/>
      <c r="P339" s="22"/>
      <c r="R339" s="107"/>
      <c r="S339" s="107"/>
      <c r="T339" s="107"/>
      <c r="U339" s="107"/>
      <c r="V339" s="107"/>
    </row>
    <row r="340" spans="4:22" s="12" customFormat="1" x14ac:dyDescent="0.2">
      <c r="D340" s="107"/>
      <c r="E340" s="35"/>
      <c r="F340" s="36"/>
      <c r="G340" s="37"/>
      <c r="H340" s="38"/>
      <c r="I340" s="39"/>
      <c r="J340" s="39"/>
      <c r="K340" s="35"/>
      <c r="L340" s="107"/>
      <c r="M340" s="40"/>
      <c r="O340" s="107"/>
      <c r="P340" s="22"/>
      <c r="R340" s="107"/>
      <c r="S340" s="107"/>
      <c r="T340" s="107"/>
      <c r="U340" s="107"/>
      <c r="V340" s="107"/>
    </row>
    <row r="341" spans="4:22" s="12" customFormat="1" x14ac:dyDescent="0.2">
      <c r="D341" s="107"/>
      <c r="E341" s="35"/>
      <c r="F341" s="36"/>
      <c r="G341" s="37"/>
      <c r="H341" s="38"/>
      <c r="I341" s="39"/>
      <c r="J341" s="39"/>
      <c r="K341" s="35"/>
      <c r="L341" s="107"/>
      <c r="M341" s="40"/>
      <c r="O341" s="107"/>
      <c r="P341" s="22"/>
      <c r="R341" s="107"/>
      <c r="S341" s="107"/>
      <c r="T341" s="107"/>
      <c r="U341" s="107"/>
      <c r="V341" s="107"/>
    </row>
    <row r="342" spans="4:22" s="12" customFormat="1" x14ac:dyDescent="0.2">
      <c r="D342" s="107"/>
      <c r="E342" s="35"/>
      <c r="F342" s="36"/>
      <c r="G342" s="37"/>
      <c r="H342" s="38"/>
      <c r="I342" s="39"/>
      <c r="J342" s="39"/>
      <c r="K342" s="35"/>
      <c r="L342" s="107"/>
      <c r="M342" s="40"/>
      <c r="O342" s="107"/>
      <c r="P342" s="22"/>
      <c r="R342" s="107"/>
      <c r="S342" s="107"/>
      <c r="T342" s="107"/>
      <c r="U342" s="107"/>
      <c r="V342" s="107"/>
    </row>
    <row r="343" spans="4:22" s="12" customFormat="1" x14ac:dyDescent="0.2">
      <c r="D343" s="107"/>
      <c r="E343" s="35"/>
      <c r="F343" s="36"/>
      <c r="G343" s="37"/>
      <c r="H343" s="38"/>
      <c r="I343" s="39"/>
      <c r="J343" s="39"/>
      <c r="K343" s="35"/>
      <c r="L343" s="107"/>
      <c r="M343" s="40"/>
      <c r="O343" s="107"/>
      <c r="P343" s="22"/>
      <c r="R343" s="107"/>
      <c r="S343" s="107"/>
      <c r="T343" s="107"/>
      <c r="U343" s="107"/>
      <c r="V343" s="107"/>
    </row>
    <row r="344" spans="4:22" s="12" customFormat="1" x14ac:dyDescent="0.2">
      <c r="D344" s="107"/>
      <c r="E344" s="35"/>
      <c r="F344" s="36"/>
      <c r="G344" s="37"/>
      <c r="H344" s="38"/>
      <c r="I344" s="39"/>
      <c r="J344" s="39"/>
      <c r="K344" s="35"/>
      <c r="L344" s="107"/>
      <c r="M344" s="40"/>
      <c r="O344" s="107"/>
      <c r="P344" s="22"/>
      <c r="R344" s="107"/>
      <c r="S344" s="107"/>
      <c r="T344" s="107"/>
      <c r="U344" s="107"/>
      <c r="V344" s="107"/>
    </row>
    <row r="345" spans="4:22" s="12" customFormat="1" x14ac:dyDescent="0.2">
      <c r="D345" s="107"/>
      <c r="E345" s="35"/>
      <c r="F345" s="36"/>
      <c r="G345" s="37"/>
      <c r="H345" s="38"/>
      <c r="I345" s="39"/>
      <c r="J345" s="39"/>
      <c r="K345" s="35"/>
      <c r="L345" s="107"/>
      <c r="M345" s="40"/>
      <c r="O345" s="107"/>
      <c r="P345" s="22"/>
      <c r="R345" s="107"/>
      <c r="S345" s="107"/>
      <c r="T345" s="107"/>
      <c r="U345" s="107"/>
      <c r="V345" s="107"/>
    </row>
    <row r="346" spans="4:22" s="12" customFormat="1" x14ac:dyDescent="0.2">
      <c r="D346" s="107"/>
      <c r="E346" s="35"/>
      <c r="F346" s="36"/>
      <c r="G346" s="37"/>
      <c r="H346" s="38"/>
      <c r="I346" s="39"/>
      <c r="J346" s="39"/>
      <c r="K346" s="35"/>
      <c r="L346" s="107"/>
      <c r="M346" s="40"/>
      <c r="O346" s="107"/>
      <c r="P346" s="22"/>
      <c r="R346" s="107"/>
      <c r="S346" s="107"/>
      <c r="T346" s="107"/>
      <c r="U346" s="107"/>
      <c r="V346" s="107"/>
    </row>
    <row r="347" spans="4:22" s="12" customFormat="1" x14ac:dyDescent="0.2">
      <c r="D347" s="107"/>
      <c r="E347" s="35"/>
      <c r="F347" s="36"/>
      <c r="G347" s="37"/>
      <c r="H347" s="38"/>
      <c r="I347" s="39"/>
      <c r="J347" s="39"/>
      <c r="K347" s="35"/>
      <c r="L347" s="107"/>
      <c r="M347" s="40"/>
      <c r="O347" s="107"/>
      <c r="P347" s="22"/>
      <c r="R347" s="107"/>
      <c r="S347" s="107"/>
      <c r="T347" s="107"/>
      <c r="U347" s="107"/>
      <c r="V347" s="107"/>
    </row>
    <row r="348" spans="4:22" s="12" customFormat="1" x14ac:dyDescent="0.2">
      <c r="D348" s="107"/>
      <c r="E348" s="35"/>
      <c r="F348" s="36"/>
      <c r="G348" s="37"/>
      <c r="H348" s="38"/>
      <c r="I348" s="39"/>
      <c r="J348" s="39"/>
      <c r="K348" s="35"/>
      <c r="L348" s="107"/>
      <c r="M348" s="40"/>
      <c r="O348" s="107"/>
      <c r="P348" s="22"/>
      <c r="R348" s="107"/>
      <c r="S348" s="107"/>
      <c r="T348" s="107"/>
      <c r="U348" s="107"/>
      <c r="V348" s="107"/>
    </row>
    <row r="349" spans="4:22" s="12" customFormat="1" x14ac:dyDescent="0.2">
      <c r="D349" s="107"/>
      <c r="E349" s="35"/>
      <c r="F349" s="36"/>
      <c r="G349" s="37"/>
      <c r="H349" s="38"/>
      <c r="I349" s="39"/>
      <c r="J349" s="39"/>
      <c r="K349" s="35"/>
      <c r="L349" s="107"/>
      <c r="M349" s="40"/>
      <c r="O349" s="107"/>
      <c r="P349" s="22"/>
      <c r="R349" s="107"/>
      <c r="S349" s="107"/>
      <c r="T349" s="107"/>
      <c r="U349" s="107"/>
      <c r="V349" s="107"/>
    </row>
    <row r="350" spans="4:22" s="12" customFormat="1" x14ac:dyDescent="0.2">
      <c r="D350" s="107"/>
      <c r="E350" s="35"/>
      <c r="F350" s="36"/>
      <c r="G350" s="37"/>
      <c r="H350" s="38"/>
      <c r="I350" s="39"/>
      <c r="J350" s="39"/>
      <c r="K350" s="35"/>
      <c r="L350" s="107"/>
      <c r="M350" s="40"/>
      <c r="O350" s="107"/>
      <c r="P350" s="22"/>
      <c r="R350" s="107"/>
      <c r="S350" s="107"/>
      <c r="T350" s="107"/>
      <c r="U350" s="107"/>
      <c r="V350" s="107"/>
    </row>
    <row r="351" spans="4:22" s="12" customFormat="1" x14ac:dyDescent="0.2">
      <c r="D351" s="107"/>
      <c r="E351" s="35"/>
      <c r="F351" s="36"/>
      <c r="G351" s="37"/>
      <c r="H351" s="38"/>
      <c r="I351" s="39"/>
      <c r="J351" s="39"/>
      <c r="K351" s="35"/>
      <c r="L351" s="107"/>
      <c r="M351" s="40"/>
      <c r="O351" s="107"/>
      <c r="P351" s="22"/>
      <c r="R351" s="107"/>
      <c r="S351" s="107"/>
      <c r="T351" s="107"/>
      <c r="U351" s="107"/>
      <c r="V351" s="107"/>
    </row>
    <row r="352" spans="4:22" s="12" customFormat="1" x14ac:dyDescent="0.2">
      <c r="D352" s="107"/>
      <c r="E352" s="35"/>
      <c r="F352" s="36"/>
      <c r="G352" s="37"/>
      <c r="H352" s="38"/>
      <c r="I352" s="39"/>
      <c r="J352" s="39"/>
      <c r="K352" s="35"/>
      <c r="L352" s="107"/>
      <c r="M352" s="40"/>
      <c r="O352" s="107"/>
      <c r="P352" s="22"/>
      <c r="R352" s="107"/>
      <c r="S352" s="107"/>
      <c r="T352" s="107"/>
      <c r="U352" s="107"/>
      <c r="V352" s="107"/>
    </row>
    <row r="353" spans="4:22" s="12" customFormat="1" x14ac:dyDescent="0.2">
      <c r="D353" s="107"/>
      <c r="E353" s="35"/>
      <c r="F353" s="36"/>
      <c r="G353" s="37"/>
      <c r="H353" s="38"/>
      <c r="I353" s="39"/>
      <c r="J353" s="39"/>
      <c r="K353" s="35"/>
      <c r="L353" s="107"/>
      <c r="M353" s="40"/>
      <c r="O353" s="107"/>
      <c r="P353" s="22"/>
      <c r="R353" s="107"/>
      <c r="S353" s="107"/>
      <c r="T353" s="107"/>
      <c r="U353" s="107"/>
      <c r="V353" s="107"/>
    </row>
    <row r="354" spans="4:22" s="12" customFormat="1" x14ac:dyDescent="0.2">
      <c r="D354" s="107"/>
      <c r="E354" s="35"/>
      <c r="F354" s="36"/>
      <c r="G354" s="37"/>
      <c r="H354" s="38"/>
      <c r="I354" s="39"/>
      <c r="J354" s="39"/>
      <c r="K354" s="35"/>
      <c r="L354" s="107"/>
      <c r="M354" s="40"/>
      <c r="O354" s="107"/>
      <c r="P354" s="22"/>
      <c r="R354" s="107"/>
      <c r="S354" s="107"/>
      <c r="T354" s="107"/>
      <c r="U354" s="107"/>
      <c r="V354" s="107"/>
    </row>
    <row r="355" spans="4:22" s="12" customFormat="1" x14ac:dyDescent="0.2">
      <c r="D355" s="107"/>
      <c r="E355" s="35"/>
      <c r="F355" s="36"/>
      <c r="G355" s="37"/>
      <c r="H355" s="38"/>
      <c r="I355" s="39"/>
      <c r="J355" s="39"/>
      <c r="K355" s="35"/>
      <c r="L355" s="107"/>
      <c r="M355" s="40"/>
      <c r="O355" s="107"/>
      <c r="P355" s="22"/>
      <c r="R355" s="107"/>
      <c r="S355" s="107"/>
      <c r="T355" s="107"/>
      <c r="U355" s="107"/>
      <c r="V355" s="107"/>
    </row>
    <row r="356" spans="4:22" s="12" customFormat="1" x14ac:dyDescent="0.2">
      <c r="D356" s="107"/>
      <c r="E356" s="35"/>
      <c r="F356" s="36"/>
      <c r="G356" s="37"/>
      <c r="H356" s="38"/>
      <c r="I356" s="39"/>
      <c r="J356" s="39"/>
      <c r="K356" s="35"/>
      <c r="L356" s="107"/>
      <c r="M356" s="40"/>
      <c r="O356" s="107"/>
      <c r="P356" s="22"/>
      <c r="R356" s="107"/>
      <c r="S356" s="107"/>
      <c r="T356" s="107"/>
      <c r="U356" s="107"/>
      <c r="V356" s="107"/>
    </row>
    <row r="357" spans="4:22" s="12" customFormat="1" x14ac:dyDescent="0.2">
      <c r="D357" s="107"/>
      <c r="E357" s="35"/>
      <c r="F357" s="36"/>
      <c r="G357" s="37"/>
      <c r="H357" s="38"/>
      <c r="I357" s="39"/>
      <c r="J357" s="39"/>
      <c r="K357" s="35"/>
      <c r="L357" s="107"/>
      <c r="M357" s="40"/>
      <c r="O357" s="107"/>
      <c r="P357" s="22"/>
      <c r="R357" s="107"/>
      <c r="S357" s="107"/>
      <c r="T357" s="107"/>
      <c r="U357" s="107"/>
      <c r="V357" s="107"/>
    </row>
    <row r="358" spans="4:22" s="12" customFormat="1" x14ac:dyDescent="0.2">
      <c r="D358" s="107"/>
      <c r="E358" s="35"/>
      <c r="F358" s="36"/>
      <c r="G358" s="37"/>
      <c r="H358" s="38"/>
      <c r="I358" s="39"/>
      <c r="J358" s="39"/>
      <c r="K358" s="35"/>
      <c r="L358" s="107"/>
      <c r="M358" s="40"/>
      <c r="O358" s="107"/>
      <c r="P358" s="22"/>
      <c r="R358" s="107"/>
      <c r="S358" s="107"/>
      <c r="T358" s="107"/>
      <c r="U358" s="107"/>
      <c r="V358" s="107"/>
    </row>
    <row r="359" spans="4:22" s="12" customFormat="1" x14ac:dyDescent="0.2">
      <c r="D359" s="107"/>
      <c r="E359" s="35"/>
      <c r="F359" s="36"/>
      <c r="G359" s="37"/>
      <c r="H359" s="38"/>
      <c r="I359" s="39"/>
      <c r="J359" s="39"/>
      <c r="K359" s="35"/>
      <c r="L359" s="107"/>
      <c r="M359" s="40"/>
      <c r="O359" s="107"/>
      <c r="P359" s="22"/>
      <c r="R359" s="107"/>
      <c r="S359" s="107"/>
      <c r="T359" s="107"/>
      <c r="U359" s="107"/>
      <c r="V359" s="107"/>
    </row>
    <row r="360" spans="4:22" s="12" customFormat="1" x14ac:dyDescent="0.2">
      <c r="D360" s="107"/>
      <c r="E360" s="35"/>
      <c r="F360" s="36"/>
      <c r="G360" s="37"/>
      <c r="H360" s="38"/>
      <c r="I360" s="39"/>
      <c r="J360" s="39"/>
      <c r="K360" s="35"/>
      <c r="L360" s="107"/>
      <c r="M360" s="40"/>
      <c r="O360" s="107"/>
      <c r="P360" s="22"/>
      <c r="R360" s="107"/>
      <c r="S360" s="107"/>
      <c r="T360" s="107"/>
      <c r="U360" s="107"/>
      <c r="V360" s="107"/>
    </row>
    <row r="361" spans="4:22" s="12" customFormat="1" x14ac:dyDescent="0.2">
      <c r="D361" s="107"/>
      <c r="E361" s="35"/>
      <c r="F361" s="36"/>
      <c r="G361" s="37"/>
      <c r="H361" s="38"/>
      <c r="I361" s="39"/>
      <c r="J361" s="39"/>
      <c r="K361" s="35"/>
      <c r="L361" s="107"/>
      <c r="M361" s="40"/>
      <c r="O361" s="107"/>
      <c r="P361" s="22"/>
      <c r="R361" s="107"/>
      <c r="S361" s="107"/>
      <c r="T361" s="107"/>
      <c r="U361" s="107"/>
      <c r="V361" s="107"/>
    </row>
    <row r="362" spans="4:22" s="12" customFormat="1" x14ac:dyDescent="0.2">
      <c r="D362" s="107"/>
      <c r="E362" s="35"/>
      <c r="F362" s="36"/>
      <c r="G362" s="37"/>
      <c r="H362" s="38"/>
      <c r="I362" s="39"/>
      <c r="J362" s="39"/>
      <c r="K362" s="35"/>
      <c r="L362" s="107"/>
      <c r="M362" s="40"/>
      <c r="O362" s="107"/>
      <c r="P362" s="22"/>
      <c r="R362" s="107"/>
      <c r="S362" s="107"/>
      <c r="T362" s="107"/>
      <c r="U362" s="107"/>
      <c r="V362" s="107"/>
    </row>
    <row r="363" spans="4:22" s="12" customFormat="1" x14ac:dyDescent="0.2">
      <c r="D363" s="107"/>
      <c r="E363" s="35"/>
      <c r="F363" s="36"/>
      <c r="G363" s="37"/>
      <c r="H363" s="38"/>
      <c r="I363" s="39"/>
      <c r="J363" s="39"/>
      <c r="K363" s="35"/>
      <c r="L363" s="107"/>
      <c r="M363" s="40"/>
      <c r="O363" s="107"/>
      <c r="P363" s="22"/>
      <c r="R363" s="107"/>
      <c r="S363" s="107"/>
      <c r="T363" s="107"/>
      <c r="U363" s="107"/>
      <c r="V363" s="107"/>
    </row>
    <row r="364" spans="4:22" s="12" customFormat="1" x14ac:dyDescent="0.2">
      <c r="D364" s="107"/>
      <c r="E364" s="35"/>
      <c r="F364" s="36"/>
      <c r="G364" s="37"/>
      <c r="H364" s="38"/>
      <c r="I364" s="39"/>
      <c r="J364" s="39"/>
      <c r="K364" s="35"/>
      <c r="L364" s="107"/>
      <c r="M364" s="40"/>
      <c r="O364" s="107"/>
      <c r="P364" s="22"/>
      <c r="R364" s="107"/>
      <c r="S364" s="107"/>
      <c r="T364" s="107"/>
      <c r="U364" s="107"/>
      <c r="V364" s="107"/>
    </row>
    <row r="365" spans="4:22" s="12" customFormat="1" x14ac:dyDescent="0.2">
      <c r="D365" s="107"/>
      <c r="E365" s="35"/>
      <c r="F365" s="36"/>
      <c r="G365" s="37"/>
      <c r="H365" s="38"/>
      <c r="I365" s="39"/>
      <c r="J365" s="39"/>
      <c r="K365" s="35"/>
      <c r="L365" s="107"/>
      <c r="M365" s="40"/>
      <c r="O365" s="107"/>
      <c r="P365" s="22"/>
      <c r="R365" s="107"/>
      <c r="S365" s="107"/>
      <c r="T365" s="107"/>
      <c r="U365" s="107"/>
      <c r="V365" s="107"/>
    </row>
    <row r="366" spans="4:22" s="12" customFormat="1" x14ac:dyDescent="0.2">
      <c r="D366" s="107"/>
      <c r="E366" s="35"/>
      <c r="F366" s="36"/>
      <c r="G366" s="37"/>
      <c r="H366" s="38"/>
      <c r="I366" s="39"/>
      <c r="J366" s="39"/>
      <c r="K366" s="35"/>
      <c r="L366" s="107"/>
      <c r="M366" s="40"/>
      <c r="O366" s="107"/>
      <c r="P366" s="22"/>
      <c r="R366" s="107"/>
      <c r="S366" s="107"/>
      <c r="T366" s="107"/>
      <c r="U366" s="107"/>
      <c r="V366" s="107"/>
    </row>
    <row r="367" spans="4:22" s="12" customFormat="1" x14ac:dyDescent="0.2">
      <c r="D367" s="107"/>
      <c r="E367" s="35"/>
      <c r="F367" s="36"/>
      <c r="G367" s="37"/>
      <c r="H367" s="38"/>
      <c r="I367" s="39"/>
      <c r="J367" s="39"/>
      <c r="K367" s="35"/>
      <c r="L367" s="107"/>
      <c r="M367" s="40"/>
      <c r="O367" s="107"/>
      <c r="P367" s="22"/>
      <c r="R367" s="107"/>
      <c r="S367" s="107"/>
      <c r="T367" s="107"/>
      <c r="U367" s="107"/>
      <c r="V367" s="107"/>
    </row>
    <row r="368" spans="4:22" s="12" customFormat="1" x14ac:dyDescent="0.2">
      <c r="D368" s="107"/>
      <c r="E368" s="35"/>
      <c r="F368" s="36"/>
      <c r="G368" s="37"/>
      <c r="H368" s="38"/>
      <c r="I368" s="39"/>
      <c r="J368" s="39"/>
      <c r="K368" s="35"/>
      <c r="L368" s="107"/>
      <c r="M368" s="40"/>
      <c r="O368" s="107"/>
      <c r="P368" s="22"/>
      <c r="R368" s="107"/>
      <c r="S368" s="107"/>
      <c r="T368" s="107"/>
      <c r="U368" s="107"/>
      <c r="V368" s="107"/>
    </row>
    <row r="369" spans="4:22" s="12" customFormat="1" x14ac:dyDescent="0.2">
      <c r="D369" s="107"/>
      <c r="E369" s="35"/>
      <c r="F369" s="36"/>
      <c r="G369" s="37"/>
      <c r="H369" s="38"/>
      <c r="I369" s="39"/>
      <c r="J369" s="39"/>
      <c r="K369" s="35"/>
      <c r="L369" s="107"/>
      <c r="M369" s="40"/>
      <c r="O369" s="107"/>
      <c r="P369" s="22"/>
      <c r="R369" s="107"/>
      <c r="S369" s="107"/>
      <c r="T369" s="107"/>
      <c r="U369" s="107"/>
      <c r="V369" s="107"/>
    </row>
    <row r="370" spans="4:22" s="12" customFormat="1" x14ac:dyDescent="0.2">
      <c r="D370" s="107"/>
      <c r="E370" s="35"/>
      <c r="F370" s="36"/>
      <c r="G370" s="37"/>
      <c r="H370" s="38"/>
      <c r="I370" s="39"/>
      <c r="J370" s="39"/>
      <c r="K370" s="35"/>
      <c r="L370" s="107"/>
      <c r="M370" s="40"/>
      <c r="O370" s="107"/>
      <c r="P370" s="22"/>
      <c r="R370" s="107"/>
      <c r="S370" s="107"/>
      <c r="T370" s="107"/>
      <c r="U370" s="107"/>
      <c r="V370" s="107"/>
    </row>
    <row r="371" spans="4:22" s="12" customFormat="1" x14ac:dyDescent="0.2">
      <c r="D371" s="107"/>
      <c r="E371" s="35"/>
      <c r="F371" s="36"/>
      <c r="G371" s="37"/>
      <c r="H371" s="38"/>
      <c r="I371" s="39"/>
      <c r="J371" s="39"/>
      <c r="K371" s="35"/>
      <c r="L371" s="107"/>
      <c r="M371" s="40"/>
      <c r="O371" s="107"/>
      <c r="P371" s="22"/>
      <c r="R371" s="107"/>
      <c r="S371" s="107"/>
      <c r="T371" s="107"/>
      <c r="U371" s="107"/>
      <c r="V371" s="107"/>
    </row>
    <row r="372" spans="4:22" s="12" customFormat="1" x14ac:dyDescent="0.2">
      <c r="D372" s="107"/>
      <c r="E372" s="35"/>
      <c r="F372" s="36"/>
      <c r="G372" s="37"/>
      <c r="H372" s="38"/>
      <c r="I372" s="39"/>
      <c r="J372" s="39"/>
      <c r="K372" s="35"/>
      <c r="L372" s="107"/>
      <c r="M372" s="40"/>
      <c r="O372" s="107"/>
      <c r="P372" s="22"/>
      <c r="R372" s="107"/>
      <c r="S372" s="107"/>
      <c r="T372" s="107"/>
      <c r="U372" s="107"/>
      <c r="V372" s="107"/>
    </row>
    <row r="373" spans="4:22" s="12" customFormat="1" x14ac:dyDescent="0.2">
      <c r="D373" s="107"/>
      <c r="E373" s="35"/>
      <c r="F373" s="36"/>
      <c r="G373" s="37"/>
      <c r="H373" s="38"/>
      <c r="I373" s="39"/>
      <c r="J373" s="39"/>
      <c r="K373" s="35"/>
      <c r="L373" s="107"/>
      <c r="M373" s="40"/>
      <c r="O373" s="107"/>
      <c r="P373" s="22"/>
      <c r="R373" s="107"/>
      <c r="S373" s="107"/>
      <c r="T373" s="107"/>
      <c r="U373" s="107"/>
      <c r="V373" s="107"/>
    </row>
    <row r="374" spans="4:22" s="12" customFormat="1" x14ac:dyDescent="0.2">
      <c r="D374" s="107"/>
      <c r="E374" s="35"/>
      <c r="F374" s="36"/>
      <c r="G374" s="37"/>
      <c r="H374" s="38"/>
      <c r="I374" s="39"/>
      <c r="J374" s="39"/>
      <c r="K374" s="35"/>
      <c r="L374" s="107"/>
      <c r="M374" s="40"/>
      <c r="O374" s="107"/>
      <c r="P374" s="22"/>
      <c r="R374" s="107"/>
      <c r="S374" s="107"/>
      <c r="T374" s="107"/>
      <c r="U374" s="107"/>
      <c r="V374" s="107"/>
    </row>
    <row r="375" spans="4:22" s="12" customFormat="1" x14ac:dyDescent="0.2">
      <c r="D375" s="107"/>
      <c r="E375" s="35"/>
      <c r="F375" s="36"/>
      <c r="G375" s="37"/>
      <c r="H375" s="38"/>
      <c r="I375" s="39"/>
      <c r="J375" s="39"/>
      <c r="K375" s="35"/>
      <c r="L375" s="107"/>
      <c r="M375" s="40"/>
      <c r="O375" s="107"/>
      <c r="P375" s="22"/>
      <c r="R375" s="107"/>
      <c r="S375" s="107"/>
      <c r="T375" s="107"/>
      <c r="U375" s="107"/>
      <c r="V375" s="107"/>
    </row>
    <row r="376" spans="4:22" s="12" customFormat="1" x14ac:dyDescent="0.2">
      <c r="D376" s="107"/>
      <c r="E376" s="35"/>
      <c r="F376" s="36"/>
      <c r="G376" s="37"/>
      <c r="H376" s="38"/>
      <c r="I376" s="39"/>
      <c r="J376" s="39"/>
      <c r="K376" s="35"/>
      <c r="L376" s="107"/>
      <c r="M376" s="40"/>
      <c r="O376" s="107"/>
      <c r="P376" s="22"/>
      <c r="R376" s="107"/>
      <c r="S376" s="107"/>
      <c r="T376" s="107"/>
      <c r="U376" s="107"/>
      <c r="V376" s="107"/>
    </row>
    <row r="377" spans="4:22" s="12" customFormat="1" x14ac:dyDescent="0.2">
      <c r="D377" s="107"/>
      <c r="E377" s="35"/>
      <c r="F377" s="36"/>
      <c r="G377" s="37"/>
      <c r="H377" s="38"/>
      <c r="I377" s="39"/>
      <c r="J377" s="39"/>
      <c r="K377" s="35"/>
      <c r="L377" s="107"/>
      <c r="M377" s="40"/>
      <c r="O377" s="107"/>
      <c r="P377" s="22"/>
      <c r="R377" s="107"/>
      <c r="S377" s="107"/>
      <c r="T377" s="107"/>
      <c r="U377" s="107"/>
      <c r="V377" s="107"/>
    </row>
    <row r="378" spans="4:22" s="12" customFormat="1" x14ac:dyDescent="0.2">
      <c r="D378" s="107"/>
      <c r="E378" s="35"/>
      <c r="F378" s="36"/>
      <c r="G378" s="37"/>
      <c r="H378" s="38"/>
      <c r="I378" s="39"/>
      <c r="J378" s="39"/>
      <c r="K378" s="35"/>
      <c r="L378" s="107"/>
      <c r="M378" s="40"/>
      <c r="O378" s="107"/>
      <c r="P378" s="22"/>
      <c r="R378" s="107"/>
      <c r="S378" s="107"/>
      <c r="T378" s="107"/>
      <c r="U378" s="107"/>
      <c r="V378" s="107"/>
    </row>
    <row r="379" spans="4:22" s="12" customFormat="1" x14ac:dyDescent="0.2">
      <c r="D379" s="107"/>
      <c r="E379" s="35"/>
      <c r="F379" s="36"/>
      <c r="G379" s="37"/>
      <c r="H379" s="38"/>
      <c r="I379" s="39"/>
      <c r="J379" s="39"/>
      <c r="K379" s="35"/>
      <c r="L379" s="107"/>
      <c r="M379" s="40"/>
      <c r="O379" s="107"/>
      <c r="P379" s="22"/>
      <c r="R379" s="107"/>
      <c r="S379" s="107"/>
      <c r="T379" s="107"/>
      <c r="U379" s="107"/>
      <c r="V379" s="107"/>
    </row>
    <row r="380" spans="4:22" s="12" customFormat="1" x14ac:dyDescent="0.2">
      <c r="D380" s="107"/>
      <c r="E380" s="35"/>
      <c r="F380" s="36"/>
      <c r="G380" s="37"/>
      <c r="H380" s="38"/>
      <c r="I380" s="39"/>
      <c r="J380" s="39"/>
      <c r="K380" s="35"/>
      <c r="L380" s="107"/>
      <c r="M380" s="40"/>
      <c r="O380" s="107"/>
      <c r="P380" s="22"/>
      <c r="R380" s="107"/>
      <c r="S380" s="107"/>
      <c r="T380" s="107"/>
      <c r="U380" s="107"/>
      <c r="V380" s="107"/>
    </row>
    <row r="381" spans="4:22" s="12" customFormat="1" x14ac:dyDescent="0.2">
      <c r="D381" s="107"/>
      <c r="E381" s="35"/>
      <c r="F381" s="36"/>
      <c r="G381" s="37"/>
      <c r="H381" s="38"/>
      <c r="I381" s="39"/>
      <c r="J381" s="39"/>
      <c r="K381" s="35"/>
      <c r="L381" s="107"/>
      <c r="M381" s="40"/>
      <c r="O381" s="107"/>
      <c r="P381" s="22"/>
      <c r="R381" s="107"/>
      <c r="S381" s="107"/>
      <c r="T381" s="107"/>
      <c r="U381" s="107"/>
      <c r="V381" s="107"/>
    </row>
    <row r="382" spans="4:22" s="12" customFormat="1" x14ac:dyDescent="0.2">
      <c r="D382" s="107"/>
      <c r="E382" s="35"/>
      <c r="F382" s="36"/>
      <c r="G382" s="37"/>
      <c r="H382" s="38"/>
      <c r="I382" s="39"/>
      <c r="J382" s="39"/>
      <c r="K382" s="35"/>
      <c r="L382" s="107"/>
      <c r="M382" s="40"/>
      <c r="O382" s="107"/>
      <c r="P382" s="22"/>
      <c r="R382" s="107"/>
      <c r="S382" s="107"/>
      <c r="T382" s="107"/>
      <c r="U382" s="107"/>
      <c r="V382" s="107"/>
    </row>
    <row r="383" spans="4:22" s="12" customFormat="1" x14ac:dyDescent="0.2">
      <c r="D383" s="107"/>
      <c r="E383" s="35"/>
      <c r="F383" s="36"/>
      <c r="G383" s="37"/>
      <c r="H383" s="38"/>
      <c r="I383" s="39"/>
      <c r="J383" s="39"/>
      <c r="K383" s="35"/>
      <c r="L383" s="107"/>
      <c r="M383" s="40"/>
      <c r="O383" s="107"/>
      <c r="P383" s="22"/>
      <c r="R383" s="107"/>
      <c r="S383" s="107"/>
      <c r="T383" s="107"/>
      <c r="U383" s="107"/>
      <c r="V383" s="107"/>
    </row>
    <row r="384" spans="4:22" s="12" customFormat="1" x14ac:dyDescent="0.2">
      <c r="D384" s="107"/>
      <c r="E384" s="35"/>
      <c r="F384" s="36"/>
      <c r="G384" s="37"/>
      <c r="H384" s="38"/>
      <c r="I384" s="39"/>
      <c r="J384" s="39"/>
      <c r="K384" s="35"/>
      <c r="L384" s="107"/>
      <c r="M384" s="40"/>
      <c r="O384" s="107"/>
      <c r="P384" s="22"/>
      <c r="R384" s="107"/>
      <c r="S384" s="107"/>
      <c r="T384" s="107"/>
      <c r="U384" s="107"/>
      <c r="V384" s="107"/>
    </row>
    <row r="385" spans="4:22" s="12" customFormat="1" x14ac:dyDescent="0.2">
      <c r="D385" s="107"/>
      <c r="E385" s="35"/>
      <c r="F385" s="36"/>
      <c r="G385" s="37"/>
      <c r="H385" s="38"/>
      <c r="I385" s="39"/>
      <c r="J385" s="39"/>
      <c r="K385" s="35"/>
      <c r="L385" s="107"/>
      <c r="M385" s="40"/>
      <c r="O385" s="107"/>
      <c r="P385" s="22"/>
      <c r="R385" s="107"/>
      <c r="S385" s="107"/>
      <c r="T385" s="107"/>
      <c r="U385" s="107"/>
      <c r="V385" s="107"/>
    </row>
    <row r="386" spans="4:22" s="12" customFormat="1" x14ac:dyDescent="0.2">
      <c r="D386" s="107"/>
      <c r="E386" s="35"/>
      <c r="F386" s="36"/>
      <c r="G386" s="37"/>
      <c r="H386" s="38"/>
      <c r="I386" s="39"/>
      <c r="J386" s="39"/>
      <c r="K386" s="35"/>
      <c r="L386" s="107"/>
      <c r="M386" s="40"/>
      <c r="O386" s="107"/>
      <c r="P386" s="22"/>
      <c r="R386" s="107"/>
      <c r="S386" s="107"/>
      <c r="T386" s="107"/>
      <c r="U386" s="107"/>
      <c r="V386" s="107"/>
    </row>
    <row r="387" spans="4:22" s="12" customFormat="1" x14ac:dyDescent="0.2">
      <c r="D387" s="107"/>
      <c r="E387" s="35"/>
      <c r="F387" s="36"/>
      <c r="G387" s="37"/>
      <c r="H387" s="38"/>
      <c r="I387" s="39"/>
      <c r="J387" s="39"/>
      <c r="K387" s="35"/>
      <c r="L387" s="107"/>
      <c r="M387" s="40"/>
      <c r="O387" s="107"/>
      <c r="P387" s="22"/>
      <c r="R387" s="107"/>
      <c r="S387" s="107"/>
      <c r="T387" s="107"/>
      <c r="U387" s="107"/>
      <c r="V387" s="107"/>
    </row>
    <row r="388" spans="4:22" s="12" customFormat="1" x14ac:dyDescent="0.2">
      <c r="D388" s="107"/>
      <c r="E388" s="35"/>
      <c r="F388" s="36"/>
      <c r="G388" s="37"/>
      <c r="H388" s="38"/>
      <c r="I388" s="39"/>
      <c r="J388" s="39"/>
      <c r="K388" s="35"/>
      <c r="L388" s="107"/>
      <c r="M388" s="40"/>
      <c r="O388" s="107"/>
      <c r="P388" s="22"/>
      <c r="R388" s="107"/>
      <c r="S388" s="107"/>
      <c r="T388" s="107"/>
      <c r="U388" s="107"/>
      <c r="V388" s="107"/>
    </row>
    <row r="389" spans="4:22" s="12" customFormat="1" x14ac:dyDescent="0.2">
      <c r="D389" s="107"/>
      <c r="E389" s="35"/>
      <c r="F389" s="36"/>
      <c r="G389" s="37"/>
      <c r="H389" s="38"/>
      <c r="I389" s="39"/>
      <c r="J389" s="39"/>
      <c r="K389" s="35"/>
      <c r="L389" s="107"/>
      <c r="M389" s="40"/>
      <c r="O389" s="107"/>
      <c r="P389" s="22"/>
      <c r="R389" s="107"/>
      <c r="S389" s="107"/>
      <c r="T389" s="107"/>
      <c r="U389" s="107"/>
      <c r="V389" s="107"/>
    </row>
    <row r="390" spans="4:22" s="12" customFormat="1" x14ac:dyDescent="0.2">
      <c r="D390" s="107"/>
      <c r="E390" s="35"/>
      <c r="F390" s="36"/>
      <c r="G390" s="37"/>
      <c r="H390" s="38"/>
      <c r="I390" s="39"/>
      <c r="J390" s="39"/>
      <c r="K390" s="35"/>
      <c r="L390" s="107"/>
      <c r="M390" s="40"/>
      <c r="O390" s="107"/>
      <c r="P390" s="22"/>
      <c r="R390" s="107"/>
      <c r="S390" s="107"/>
      <c r="T390" s="107"/>
      <c r="U390" s="107"/>
      <c r="V390" s="107"/>
    </row>
    <row r="391" spans="4:22" s="12" customFormat="1" x14ac:dyDescent="0.2">
      <c r="D391" s="107"/>
      <c r="E391" s="35"/>
      <c r="F391" s="36"/>
      <c r="G391" s="37"/>
      <c r="H391" s="38"/>
      <c r="I391" s="39"/>
      <c r="J391" s="39"/>
      <c r="K391" s="35"/>
      <c r="L391" s="107"/>
      <c r="M391" s="40"/>
      <c r="O391" s="107"/>
      <c r="P391" s="22"/>
      <c r="R391" s="107"/>
      <c r="S391" s="107"/>
      <c r="T391" s="107"/>
      <c r="U391" s="107"/>
      <c r="V391" s="107"/>
    </row>
    <row r="392" spans="4:22" s="12" customFormat="1" x14ac:dyDescent="0.2">
      <c r="D392" s="107"/>
      <c r="E392" s="35"/>
      <c r="F392" s="36"/>
      <c r="G392" s="37"/>
      <c r="H392" s="38"/>
      <c r="I392" s="39"/>
      <c r="J392" s="39"/>
      <c r="K392" s="35"/>
      <c r="L392" s="107"/>
      <c r="M392" s="40"/>
      <c r="O392" s="107"/>
      <c r="P392" s="22"/>
      <c r="R392" s="107"/>
      <c r="S392" s="107"/>
      <c r="T392" s="107"/>
      <c r="U392" s="107"/>
      <c r="V392" s="107"/>
    </row>
    <row r="393" spans="4:22" s="12" customFormat="1" x14ac:dyDescent="0.2">
      <c r="D393" s="107"/>
      <c r="E393" s="35"/>
      <c r="F393" s="36"/>
      <c r="G393" s="37"/>
      <c r="H393" s="38"/>
      <c r="I393" s="39"/>
      <c r="J393" s="39"/>
      <c r="K393" s="35"/>
      <c r="L393" s="107"/>
      <c r="M393" s="40"/>
      <c r="O393" s="107"/>
      <c r="P393" s="22"/>
      <c r="R393" s="107"/>
      <c r="S393" s="107"/>
      <c r="T393" s="107"/>
      <c r="U393" s="107"/>
      <c r="V393" s="107"/>
    </row>
    <row r="394" spans="4:22" s="12" customFormat="1" x14ac:dyDescent="0.2">
      <c r="D394" s="107"/>
      <c r="E394" s="35"/>
      <c r="F394" s="36"/>
      <c r="G394" s="37"/>
      <c r="H394" s="38"/>
      <c r="I394" s="39"/>
      <c r="J394" s="39"/>
      <c r="K394" s="35"/>
      <c r="L394" s="107"/>
      <c r="M394" s="40"/>
      <c r="O394" s="107"/>
      <c r="P394" s="22"/>
      <c r="R394" s="107"/>
      <c r="S394" s="107"/>
      <c r="T394" s="107"/>
      <c r="U394" s="107"/>
      <c r="V394" s="107"/>
    </row>
    <row r="395" spans="4:22" s="12" customFormat="1" x14ac:dyDescent="0.2">
      <c r="D395" s="107"/>
      <c r="E395" s="35"/>
      <c r="F395" s="36"/>
      <c r="G395" s="37"/>
      <c r="H395" s="38"/>
      <c r="I395" s="39"/>
      <c r="J395" s="39"/>
      <c r="K395" s="35"/>
      <c r="L395" s="107"/>
      <c r="M395" s="40"/>
      <c r="O395" s="107"/>
      <c r="P395" s="22"/>
      <c r="R395" s="107"/>
      <c r="S395" s="107"/>
      <c r="T395" s="107"/>
      <c r="U395" s="107"/>
      <c r="V395" s="107"/>
    </row>
    <row r="396" spans="4:22" s="12" customFormat="1" x14ac:dyDescent="0.2">
      <c r="D396" s="107"/>
      <c r="E396" s="35"/>
      <c r="F396" s="36"/>
      <c r="G396" s="37"/>
      <c r="H396" s="38"/>
      <c r="I396" s="39"/>
      <c r="J396" s="39"/>
      <c r="K396" s="35"/>
      <c r="L396" s="107"/>
      <c r="M396" s="40"/>
      <c r="O396" s="107"/>
      <c r="P396" s="22"/>
      <c r="R396" s="107"/>
      <c r="S396" s="107"/>
      <c r="T396" s="107"/>
      <c r="U396" s="107"/>
      <c r="V396" s="107"/>
    </row>
    <row r="397" spans="4:22" s="12" customFormat="1" x14ac:dyDescent="0.2">
      <c r="D397" s="107"/>
      <c r="E397" s="35"/>
      <c r="F397" s="36"/>
      <c r="G397" s="37"/>
      <c r="H397" s="38"/>
      <c r="I397" s="39"/>
      <c r="J397" s="39"/>
      <c r="K397" s="35"/>
      <c r="L397" s="107"/>
      <c r="M397" s="40"/>
      <c r="O397" s="107"/>
      <c r="P397" s="22"/>
      <c r="R397" s="107"/>
      <c r="S397" s="107"/>
      <c r="T397" s="107"/>
      <c r="U397" s="107"/>
      <c r="V397" s="107"/>
    </row>
    <row r="398" spans="4:22" s="12" customFormat="1" x14ac:dyDescent="0.2">
      <c r="D398" s="107"/>
      <c r="E398" s="35"/>
      <c r="F398" s="36"/>
      <c r="G398" s="37"/>
      <c r="H398" s="38"/>
      <c r="I398" s="39"/>
      <c r="J398" s="39"/>
      <c r="K398" s="35"/>
      <c r="L398" s="107"/>
      <c r="M398" s="40"/>
      <c r="O398" s="107"/>
      <c r="P398" s="22"/>
      <c r="R398" s="107"/>
      <c r="S398" s="107"/>
      <c r="T398" s="107"/>
      <c r="U398" s="107"/>
      <c r="V398" s="107"/>
    </row>
    <row r="399" spans="4:22" s="12" customFormat="1" x14ac:dyDescent="0.2">
      <c r="D399" s="107"/>
      <c r="E399" s="35"/>
      <c r="F399" s="36"/>
      <c r="G399" s="37"/>
      <c r="H399" s="38"/>
      <c r="I399" s="39"/>
      <c r="J399" s="39"/>
      <c r="K399" s="35"/>
      <c r="L399" s="107"/>
      <c r="M399" s="40"/>
      <c r="O399" s="107"/>
      <c r="P399" s="22"/>
      <c r="R399" s="107"/>
      <c r="S399" s="107"/>
      <c r="T399" s="107"/>
      <c r="U399" s="107"/>
      <c r="V399" s="107"/>
    </row>
    <row r="400" spans="4:22" s="12" customFormat="1" x14ac:dyDescent="0.2">
      <c r="D400" s="107"/>
      <c r="E400" s="35"/>
      <c r="F400" s="36"/>
      <c r="G400" s="37"/>
      <c r="H400" s="38"/>
      <c r="I400" s="39"/>
      <c r="J400" s="39"/>
      <c r="K400" s="35"/>
      <c r="L400" s="107"/>
      <c r="M400" s="40"/>
      <c r="O400" s="107"/>
      <c r="P400" s="22"/>
      <c r="R400" s="107"/>
      <c r="S400" s="107"/>
      <c r="T400" s="107"/>
      <c r="U400" s="107"/>
      <c r="V400" s="107"/>
    </row>
    <row r="401" spans="4:22" s="12" customFormat="1" x14ac:dyDescent="0.2">
      <c r="D401" s="107"/>
      <c r="E401" s="35"/>
      <c r="F401" s="36"/>
      <c r="G401" s="37"/>
      <c r="H401" s="38"/>
      <c r="I401" s="39"/>
      <c r="J401" s="39"/>
      <c r="K401" s="35"/>
      <c r="L401" s="107"/>
      <c r="M401" s="40"/>
      <c r="O401" s="107"/>
      <c r="P401" s="22"/>
      <c r="R401" s="107"/>
      <c r="S401" s="107"/>
      <c r="T401" s="107"/>
      <c r="U401" s="107"/>
      <c r="V401" s="107"/>
    </row>
    <row r="402" spans="4:22" s="12" customFormat="1" x14ac:dyDescent="0.2">
      <c r="D402" s="107"/>
      <c r="E402" s="35"/>
      <c r="F402" s="36"/>
      <c r="G402" s="37"/>
      <c r="H402" s="38"/>
      <c r="I402" s="39"/>
      <c r="J402" s="39"/>
      <c r="K402" s="35"/>
      <c r="L402" s="107"/>
      <c r="M402" s="40"/>
      <c r="O402" s="107"/>
      <c r="P402" s="22"/>
      <c r="R402" s="107"/>
      <c r="S402" s="107"/>
      <c r="T402" s="107"/>
      <c r="U402" s="107"/>
      <c r="V402" s="107"/>
    </row>
    <row r="403" spans="4:22" s="12" customFormat="1" x14ac:dyDescent="0.2">
      <c r="D403" s="107"/>
      <c r="E403" s="35"/>
      <c r="F403" s="36"/>
      <c r="G403" s="37"/>
      <c r="H403" s="38"/>
      <c r="I403" s="39"/>
      <c r="J403" s="39"/>
      <c r="K403" s="35"/>
      <c r="L403" s="107"/>
      <c r="M403" s="40"/>
      <c r="O403" s="107"/>
      <c r="P403" s="22"/>
      <c r="R403" s="107"/>
      <c r="S403" s="107"/>
      <c r="T403" s="107"/>
      <c r="U403" s="107"/>
      <c r="V403" s="107"/>
    </row>
    <row r="404" spans="4:22" s="12" customFormat="1" x14ac:dyDescent="0.2">
      <c r="D404" s="107"/>
      <c r="E404" s="35"/>
      <c r="F404" s="36"/>
      <c r="G404" s="37"/>
      <c r="H404" s="38"/>
      <c r="I404" s="39"/>
      <c r="J404" s="39"/>
      <c r="K404" s="35"/>
      <c r="L404" s="107"/>
      <c r="M404" s="40"/>
      <c r="O404" s="107"/>
      <c r="P404" s="22"/>
      <c r="R404" s="107"/>
      <c r="S404" s="107"/>
      <c r="T404" s="107"/>
      <c r="U404" s="107"/>
      <c r="V404" s="107"/>
    </row>
    <row r="405" spans="4:22" s="12" customFormat="1" x14ac:dyDescent="0.2">
      <c r="D405" s="107"/>
      <c r="E405" s="35"/>
      <c r="F405" s="36"/>
      <c r="G405" s="37"/>
      <c r="H405" s="38"/>
      <c r="I405" s="39"/>
      <c r="J405" s="39"/>
      <c r="K405" s="35"/>
      <c r="L405" s="107"/>
      <c r="M405" s="40"/>
      <c r="O405" s="107"/>
      <c r="P405" s="22"/>
      <c r="R405" s="107"/>
      <c r="S405" s="107"/>
      <c r="T405" s="107"/>
      <c r="U405" s="107"/>
      <c r="V405" s="107"/>
    </row>
    <row r="406" spans="4:22" s="12" customFormat="1" x14ac:dyDescent="0.2">
      <c r="D406" s="107"/>
      <c r="E406" s="35"/>
      <c r="F406" s="36"/>
      <c r="G406" s="37"/>
      <c r="H406" s="38"/>
      <c r="I406" s="39"/>
      <c r="J406" s="39"/>
      <c r="K406" s="35"/>
      <c r="L406" s="107"/>
      <c r="M406" s="40"/>
      <c r="O406" s="107"/>
      <c r="P406" s="22"/>
      <c r="R406" s="107"/>
      <c r="S406" s="107"/>
      <c r="T406" s="107"/>
      <c r="U406" s="107"/>
      <c r="V406" s="107"/>
    </row>
    <row r="407" spans="4:22" s="12" customFormat="1" x14ac:dyDescent="0.2">
      <c r="D407" s="107"/>
      <c r="E407" s="35"/>
      <c r="F407" s="36"/>
      <c r="G407" s="37"/>
      <c r="H407" s="38"/>
      <c r="I407" s="39"/>
      <c r="J407" s="39"/>
      <c r="K407" s="35"/>
      <c r="L407" s="107"/>
      <c r="M407" s="40"/>
      <c r="O407" s="107"/>
      <c r="P407" s="22"/>
      <c r="R407" s="107"/>
      <c r="S407" s="107"/>
      <c r="T407" s="107"/>
      <c r="U407" s="107"/>
      <c r="V407" s="107"/>
    </row>
    <row r="408" spans="4:22" s="12" customFormat="1" x14ac:dyDescent="0.2">
      <c r="D408" s="107"/>
      <c r="E408" s="35"/>
      <c r="F408" s="36"/>
      <c r="G408" s="37"/>
      <c r="H408" s="38"/>
      <c r="I408" s="39"/>
      <c r="J408" s="39"/>
      <c r="K408" s="35"/>
      <c r="L408" s="107"/>
      <c r="M408" s="40"/>
      <c r="O408" s="107"/>
      <c r="P408" s="22"/>
      <c r="R408" s="107"/>
      <c r="S408" s="107"/>
      <c r="T408" s="107"/>
      <c r="U408" s="107"/>
      <c r="V408" s="107"/>
    </row>
    <row r="409" spans="4:22" s="12" customFormat="1" x14ac:dyDescent="0.2">
      <c r="D409" s="107"/>
      <c r="E409" s="35"/>
      <c r="F409" s="36"/>
      <c r="G409" s="37"/>
      <c r="H409" s="38"/>
      <c r="I409" s="39"/>
      <c r="J409" s="39"/>
      <c r="K409" s="35"/>
      <c r="L409" s="107"/>
      <c r="M409" s="40"/>
      <c r="O409" s="107"/>
      <c r="P409" s="22"/>
      <c r="R409" s="107"/>
      <c r="S409" s="107"/>
      <c r="T409" s="107"/>
      <c r="U409" s="107"/>
      <c r="V409" s="107"/>
    </row>
    <row r="410" spans="4:22" s="12" customFormat="1" x14ac:dyDescent="0.2">
      <c r="D410" s="107"/>
      <c r="E410" s="35"/>
      <c r="F410" s="36"/>
      <c r="G410" s="37"/>
      <c r="H410" s="38"/>
      <c r="I410" s="39"/>
      <c r="J410" s="39"/>
      <c r="K410" s="35"/>
      <c r="L410" s="107"/>
      <c r="M410" s="40"/>
      <c r="O410" s="107"/>
      <c r="P410" s="22"/>
      <c r="R410" s="107"/>
      <c r="S410" s="107"/>
      <c r="T410" s="107"/>
      <c r="U410" s="107"/>
      <c r="V410" s="107"/>
    </row>
    <row r="411" spans="4:22" s="12" customFormat="1" x14ac:dyDescent="0.2">
      <c r="D411" s="107"/>
      <c r="E411" s="35"/>
      <c r="F411" s="36"/>
      <c r="G411" s="37"/>
      <c r="H411" s="38"/>
      <c r="I411" s="39"/>
      <c r="J411" s="39"/>
      <c r="K411" s="35"/>
      <c r="L411" s="107"/>
      <c r="M411" s="40"/>
      <c r="O411" s="107"/>
      <c r="P411" s="22"/>
      <c r="R411" s="107"/>
      <c r="S411" s="107"/>
      <c r="T411" s="107"/>
      <c r="U411" s="107"/>
      <c r="V411" s="107"/>
    </row>
    <row r="412" spans="4:22" s="12" customFormat="1" x14ac:dyDescent="0.2">
      <c r="D412" s="107"/>
      <c r="E412" s="35"/>
      <c r="F412" s="36"/>
      <c r="G412" s="37"/>
      <c r="H412" s="38"/>
      <c r="I412" s="39"/>
      <c r="J412" s="39"/>
      <c r="K412" s="35"/>
      <c r="L412" s="107"/>
      <c r="M412" s="40"/>
      <c r="O412" s="107"/>
      <c r="P412" s="22"/>
      <c r="R412" s="107"/>
      <c r="S412" s="107"/>
      <c r="T412" s="107"/>
      <c r="U412" s="107"/>
      <c r="V412" s="107"/>
    </row>
    <row r="413" spans="4:22" s="12" customFormat="1" x14ac:dyDescent="0.2">
      <c r="D413" s="107"/>
      <c r="E413" s="35"/>
      <c r="F413" s="36"/>
      <c r="G413" s="37"/>
      <c r="H413" s="38"/>
      <c r="I413" s="39"/>
      <c r="J413" s="39"/>
      <c r="K413" s="35"/>
      <c r="L413" s="107"/>
      <c r="M413" s="40"/>
      <c r="O413" s="107"/>
      <c r="P413" s="22"/>
      <c r="R413" s="107"/>
      <c r="S413" s="107"/>
      <c r="T413" s="107"/>
      <c r="U413" s="107"/>
      <c r="V413" s="107"/>
    </row>
    <row r="414" spans="4:22" s="12" customFormat="1" x14ac:dyDescent="0.2">
      <c r="D414" s="107"/>
      <c r="E414" s="35"/>
      <c r="F414" s="36"/>
      <c r="G414" s="37"/>
      <c r="H414" s="38"/>
      <c r="I414" s="39"/>
      <c r="J414" s="39"/>
      <c r="K414" s="35"/>
      <c r="L414" s="107"/>
      <c r="M414" s="40"/>
      <c r="O414" s="107"/>
      <c r="P414" s="22"/>
      <c r="R414" s="107"/>
      <c r="S414" s="107"/>
      <c r="T414" s="107"/>
      <c r="U414" s="107"/>
      <c r="V414" s="107"/>
    </row>
    <row r="415" spans="4:22" s="12" customFormat="1" x14ac:dyDescent="0.2">
      <c r="D415" s="107"/>
      <c r="E415" s="35"/>
      <c r="F415" s="36"/>
      <c r="G415" s="37"/>
      <c r="H415" s="38"/>
      <c r="I415" s="39"/>
      <c r="J415" s="39"/>
      <c r="K415" s="35"/>
      <c r="L415" s="107"/>
      <c r="M415" s="40"/>
      <c r="O415" s="107"/>
      <c r="P415" s="22"/>
      <c r="R415" s="107"/>
      <c r="S415" s="107"/>
      <c r="T415" s="107"/>
      <c r="U415" s="107"/>
      <c r="V415" s="107"/>
    </row>
    <row r="416" spans="4:22" s="12" customFormat="1" x14ac:dyDescent="0.2">
      <c r="D416" s="107"/>
      <c r="E416" s="35"/>
      <c r="F416" s="36"/>
      <c r="G416" s="37"/>
      <c r="H416" s="38"/>
      <c r="I416" s="39"/>
      <c r="J416" s="39"/>
      <c r="K416" s="35"/>
      <c r="L416" s="107"/>
      <c r="M416" s="40"/>
      <c r="O416" s="107"/>
      <c r="P416" s="22"/>
      <c r="R416" s="107"/>
      <c r="S416" s="107"/>
      <c r="T416" s="107"/>
      <c r="U416" s="107"/>
      <c r="V416" s="107"/>
    </row>
    <row r="417" spans="4:22" s="12" customFormat="1" x14ac:dyDescent="0.2">
      <c r="D417" s="107"/>
      <c r="E417" s="35"/>
      <c r="F417" s="36"/>
      <c r="G417" s="37"/>
      <c r="H417" s="38"/>
      <c r="I417" s="39"/>
      <c r="J417" s="39"/>
      <c r="K417" s="35"/>
      <c r="L417" s="107"/>
      <c r="M417" s="40"/>
      <c r="O417" s="107"/>
      <c r="P417" s="22"/>
      <c r="R417" s="107"/>
      <c r="S417" s="107"/>
      <c r="T417" s="107"/>
      <c r="U417" s="107"/>
      <c r="V417" s="107"/>
    </row>
    <row r="418" spans="4:22" s="12" customFormat="1" x14ac:dyDescent="0.2">
      <c r="D418" s="107"/>
      <c r="E418" s="35"/>
      <c r="F418" s="36"/>
      <c r="G418" s="37"/>
      <c r="H418" s="38"/>
      <c r="I418" s="39"/>
      <c r="J418" s="39"/>
      <c r="K418" s="35"/>
      <c r="L418" s="107"/>
      <c r="M418" s="40"/>
      <c r="O418" s="107"/>
      <c r="P418" s="22"/>
      <c r="R418" s="107"/>
      <c r="S418" s="107"/>
      <c r="T418" s="107"/>
      <c r="U418" s="107"/>
      <c r="V418" s="107"/>
    </row>
    <row r="419" spans="4:22" s="12" customFormat="1" x14ac:dyDescent="0.2">
      <c r="D419" s="107"/>
      <c r="E419" s="35"/>
      <c r="F419" s="36"/>
      <c r="G419" s="37"/>
      <c r="H419" s="38"/>
      <c r="I419" s="39"/>
      <c r="J419" s="39"/>
      <c r="K419" s="35"/>
      <c r="L419" s="107"/>
      <c r="M419" s="40"/>
      <c r="O419" s="107"/>
      <c r="P419" s="22"/>
      <c r="R419" s="107"/>
      <c r="S419" s="107"/>
      <c r="T419" s="107"/>
      <c r="U419" s="107"/>
      <c r="V419" s="107"/>
    </row>
    <row r="420" spans="4:22" s="12" customFormat="1" x14ac:dyDescent="0.2">
      <c r="D420" s="107"/>
      <c r="E420" s="35"/>
      <c r="F420" s="36"/>
      <c r="G420" s="37"/>
      <c r="H420" s="38"/>
      <c r="I420" s="39"/>
      <c r="J420" s="39"/>
      <c r="K420" s="35"/>
      <c r="L420" s="107"/>
      <c r="M420" s="40"/>
      <c r="O420" s="107"/>
      <c r="P420" s="22"/>
      <c r="R420" s="107"/>
      <c r="S420" s="107"/>
      <c r="T420" s="107"/>
      <c r="U420" s="107"/>
      <c r="V420" s="107"/>
    </row>
    <row r="421" spans="4:22" s="12" customFormat="1" x14ac:dyDescent="0.2">
      <c r="D421" s="107"/>
      <c r="E421" s="35"/>
      <c r="F421" s="36"/>
      <c r="G421" s="37"/>
      <c r="H421" s="38"/>
      <c r="I421" s="39"/>
      <c r="J421" s="39"/>
      <c r="K421" s="35"/>
      <c r="L421" s="107"/>
      <c r="M421" s="40"/>
      <c r="O421" s="107"/>
      <c r="P421" s="22"/>
      <c r="R421" s="107"/>
      <c r="S421" s="107"/>
      <c r="T421" s="107"/>
      <c r="U421" s="107"/>
      <c r="V421" s="107"/>
    </row>
    <row r="422" spans="4:22" s="12" customFormat="1" x14ac:dyDescent="0.2">
      <c r="D422" s="107"/>
      <c r="E422" s="35"/>
      <c r="F422" s="36"/>
      <c r="G422" s="37"/>
      <c r="H422" s="38"/>
      <c r="I422" s="39"/>
      <c r="J422" s="39"/>
      <c r="K422" s="35"/>
      <c r="L422" s="107"/>
      <c r="M422" s="40"/>
      <c r="O422" s="107"/>
      <c r="P422" s="22"/>
      <c r="R422" s="107"/>
      <c r="S422" s="107"/>
      <c r="T422" s="107"/>
      <c r="U422" s="107"/>
      <c r="V422" s="107"/>
    </row>
    <row r="423" spans="4:22" s="12" customFormat="1" x14ac:dyDescent="0.2">
      <c r="D423" s="107"/>
      <c r="E423" s="35"/>
      <c r="F423" s="36"/>
      <c r="G423" s="37"/>
      <c r="H423" s="38"/>
      <c r="I423" s="39"/>
      <c r="J423" s="39"/>
      <c r="K423" s="35"/>
      <c r="L423" s="107"/>
      <c r="M423" s="40"/>
      <c r="O423" s="107"/>
      <c r="P423" s="22"/>
      <c r="R423" s="107"/>
      <c r="S423" s="107"/>
      <c r="T423" s="107"/>
      <c r="U423" s="107"/>
      <c r="V423" s="107"/>
    </row>
    <row r="424" spans="4:22" s="12" customFormat="1" x14ac:dyDescent="0.2">
      <c r="D424" s="107"/>
      <c r="E424" s="35"/>
      <c r="F424" s="36"/>
      <c r="G424" s="37"/>
      <c r="H424" s="38"/>
      <c r="I424" s="39"/>
      <c r="J424" s="39"/>
      <c r="K424" s="35"/>
      <c r="L424" s="107"/>
      <c r="M424" s="40"/>
      <c r="O424" s="107"/>
      <c r="P424" s="22"/>
      <c r="R424" s="107"/>
      <c r="S424" s="107"/>
      <c r="T424" s="107"/>
      <c r="U424" s="107"/>
      <c r="V424" s="107"/>
    </row>
    <row r="425" spans="4:22" s="12" customFormat="1" x14ac:dyDescent="0.2">
      <c r="D425" s="107"/>
      <c r="E425" s="35"/>
      <c r="F425" s="36"/>
      <c r="G425" s="37"/>
      <c r="H425" s="38"/>
      <c r="I425" s="39"/>
      <c r="J425" s="39"/>
      <c r="K425" s="35"/>
      <c r="L425" s="107"/>
      <c r="M425" s="40"/>
      <c r="O425" s="107"/>
      <c r="P425" s="22"/>
      <c r="R425" s="107"/>
      <c r="S425" s="107"/>
      <c r="T425" s="107"/>
      <c r="U425" s="107"/>
      <c r="V425" s="107"/>
    </row>
    <row r="426" spans="4:22" s="12" customFormat="1" x14ac:dyDescent="0.2">
      <c r="D426" s="107"/>
      <c r="E426" s="35"/>
      <c r="F426" s="36"/>
      <c r="G426" s="37"/>
      <c r="H426" s="38"/>
      <c r="I426" s="39"/>
      <c r="J426" s="39"/>
      <c r="K426" s="35"/>
      <c r="L426" s="107"/>
      <c r="M426" s="40"/>
      <c r="O426" s="107"/>
      <c r="P426" s="22"/>
      <c r="R426" s="107"/>
      <c r="S426" s="107"/>
      <c r="T426" s="107"/>
      <c r="U426" s="107"/>
      <c r="V426" s="107"/>
    </row>
    <row r="427" spans="4:22" s="12" customFormat="1" x14ac:dyDescent="0.2">
      <c r="D427" s="107"/>
      <c r="E427" s="35"/>
      <c r="F427" s="36"/>
      <c r="G427" s="37"/>
      <c r="H427" s="38"/>
      <c r="I427" s="39"/>
      <c r="J427" s="39"/>
      <c r="K427" s="35"/>
      <c r="L427" s="107"/>
      <c r="M427" s="40"/>
      <c r="O427" s="107"/>
      <c r="P427" s="22"/>
      <c r="R427" s="107"/>
      <c r="S427" s="107"/>
      <c r="T427" s="107"/>
      <c r="U427" s="107"/>
      <c r="V427" s="107"/>
    </row>
    <row r="428" spans="4:22" s="12" customFormat="1" x14ac:dyDescent="0.2">
      <c r="D428" s="107"/>
      <c r="E428" s="35"/>
      <c r="F428" s="36"/>
      <c r="G428" s="37"/>
      <c r="H428" s="38"/>
      <c r="I428" s="39"/>
      <c r="J428" s="39"/>
      <c r="K428" s="35"/>
      <c r="L428" s="107"/>
      <c r="M428" s="40"/>
      <c r="O428" s="107"/>
      <c r="P428" s="22"/>
      <c r="R428" s="107"/>
      <c r="S428" s="107"/>
      <c r="T428" s="107"/>
      <c r="U428" s="107"/>
      <c r="V428" s="107"/>
    </row>
    <row r="429" spans="4:22" s="12" customFormat="1" x14ac:dyDescent="0.2">
      <c r="D429" s="107"/>
      <c r="E429" s="35"/>
      <c r="F429" s="36"/>
      <c r="G429" s="37"/>
      <c r="H429" s="38"/>
      <c r="I429" s="39"/>
      <c r="J429" s="39"/>
      <c r="K429" s="35"/>
      <c r="L429" s="107"/>
      <c r="M429" s="40"/>
      <c r="O429" s="107"/>
      <c r="P429" s="22"/>
      <c r="R429" s="107"/>
      <c r="S429" s="107"/>
      <c r="T429" s="107"/>
      <c r="U429" s="107"/>
      <c r="V429" s="107"/>
    </row>
    <row r="430" spans="4:22" s="12" customFormat="1" x14ac:dyDescent="0.2">
      <c r="D430" s="107"/>
      <c r="E430" s="35"/>
      <c r="F430" s="36"/>
      <c r="G430" s="37"/>
      <c r="H430" s="38"/>
      <c r="I430" s="39"/>
      <c r="J430" s="39"/>
      <c r="K430" s="35"/>
      <c r="L430" s="107"/>
      <c r="M430" s="40"/>
      <c r="O430" s="107"/>
      <c r="P430" s="22"/>
      <c r="R430" s="107"/>
      <c r="S430" s="107"/>
      <c r="T430" s="107"/>
      <c r="U430" s="107"/>
      <c r="V430" s="107"/>
    </row>
    <row r="431" spans="4:22" s="12" customFormat="1" x14ac:dyDescent="0.2">
      <c r="D431" s="107"/>
      <c r="E431" s="35"/>
      <c r="F431" s="36"/>
      <c r="G431" s="37"/>
      <c r="H431" s="38"/>
      <c r="I431" s="39"/>
      <c r="J431" s="39"/>
      <c r="K431" s="35"/>
      <c r="L431" s="107"/>
      <c r="M431" s="40"/>
      <c r="O431" s="107"/>
      <c r="P431" s="22"/>
      <c r="R431" s="107"/>
      <c r="S431" s="107"/>
      <c r="T431" s="107"/>
      <c r="U431" s="107"/>
      <c r="V431" s="107"/>
    </row>
    <row r="432" spans="4:22" s="12" customFormat="1" x14ac:dyDescent="0.2">
      <c r="D432" s="107"/>
      <c r="E432" s="35"/>
      <c r="F432" s="36"/>
      <c r="G432" s="37"/>
      <c r="H432" s="38"/>
      <c r="I432" s="39"/>
      <c r="J432" s="39"/>
      <c r="K432" s="35"/>
      <c r="L432" s="107"/>
      <c r="M432" s="40"/>
      <c r="O432" s="107"/>
      <c r="P432" s="22"/>
      <c r="R432" s="107"/>
      <c r="S432" s="107"/>
      <c r="T432" s="107"/>
      <c r="U432" s="107"/>
      <c r="V432" s="107"/>
    </row>
    <row r="433" spans="4:22" s="12" customFormat="1" x14ac:dyDescent="0.2">
      <c r="D433" s="107"/>
      <c r="E433" s="35"/>
      <c r="F433" s="36"/>
      <c r="G433" s="37"/>
      <c r="H433" s="38"/>
      <c r="I433" s="39"/>
      <c r="J433" s="39"/>
      <c r="K433" s="35"/>
      <c r="L433" s="107"/>
      <c r="M433" s="40"/>
      <c r="O433" s="107"/>
      <c r="P433" s="22"/>
      <c r="R433" s="107"/>
      <c r="S433" s="107"/>
      <c r="T433" s="107"/>
      <c r="U433" s="107"/>
      <c r="V433" s="107"/>
    </row>
    <row r="434" spans="4:22" s="12" customFormat="1" x14ac:dyDescent="0.2">
      <c r="D434" s="107"/>
      <c r="E434" s="35"/>
      <c r="F434" s="36"/>
      <c r="G434" s="37"/>
      <c r="H434" s="38"/>
      <c r="I434" s="39"/>
      <c r="J434" s="39"/>
      <c r="K434" s="35"/>
      <c r="L434" s="107"/>
      <c r="M434" s="40"/>
      <c r="O434" s="107"/>
      <c r="P434" s="22"/>
      <c r="R434" s="107"/>
      <c r="S434" s="107"/>
      <c r="T434" s="107"/>
      <c r="U434" s="107"/>
      <c r="V434" s="107"/>
    </row>
    <row r="435" spans="4:22" s="12" customFormat="1" x14ac:dyDescent="0.2">
      <c r="D435" s="107"/>
      <c r="E435" s="35"/>
      <c r="F435" s="36"/>
      <c r="G435" s="37"/>
      <c r="H435" s="38"/>
      <c r="I435" s="39"/>
      <c r="J435" s="39"/>
      <c r="K435" s="35"/>
      <c r="L435" s="107"/>
      <c r="M435" s="40"/>
      <c r="O435" s="107"/>
      <c r="P435" s="22"/>
      <c r="R435" s="107"/>
      <c r="S435" s="107"/>
      <c r="T435" s="107"/>
      <c r="U435" s="107"/>
      <c r="V435" s="107"/>
    </row>
    <row r="436" spans="4:22" s="12" customFormat="1" x14ac:dyDescent="0.2">
      <c r="D436" s="107"/>
      <c r="E436" s="35"/>
      <c r="F436" s="36"/>
      <c r="G436" s="37"/>
      <c r="H436" s="38"/>
      <c r="I436" s="39"/>
      <c r="J436" s="39"/>
      <c r="K436" s="35"/>
      <c r="L436" s="107"/>
      <c r="M436" s="40"/>
      <c r="O436" s="107"/>
      <c r="P436" s="22"/>
      <c r="R436" s="107"/>
      <c r="S436" s="107"/>
      <c r="T436" s="107"/>
      <c r="U436" s="107"/>
      <c r="V436" s="107"/>
    </row>
    <row r="437" spans="4:22" s="12" customFormat="1" x14ac:dyDescent="0.2">
      <c r="D437" s="107"/>
      <c r="E437" s="35"/>
      <c r="F437" s="36"/>
      <c r="G437" s="37"/>
      <c r="H437" s="38"/>
      <c r="I437" s="39"/>
      <c r="J437" s="39"/>
      <c r="K437" s="35"/>
      <c r="L437" s="107"/>
      <c r="M437" s="40"/>
      <c r="O437" s="107"/>
      <c r="P437" s="22"/>
      <c r="R437" s="107"/>
      <c r="S437" s="107"/>
      <c r="T437" s="107"/>
      <c r="U437" s="107"/>
      <c r="V437" s="107"/>
    </row>
    <row r="438" spans="4:22" s="12" customFormat="1" x14ac:dyDescent="0.2">
      <c r="D438" s="107"/>
      <c r="E438" s="35"/>
      <c r="F438" s="36"/>
      <c r="G438" s="37"/>
      <c r="H438" s="38"/>
      <c r="I438" s="39"/>
      <c r="J438" s="39"/>
      <c r="K438" s="35"/>
      <c r="L438" s="107"/>
      <c r="M438" s="40"/>
      <c r="O438" s="107"/>
      <c r="P438" s="22"/>
      <c r="R438" s="107"/>
      <c r="S438" s="107"/>
      <c r="T438" s="107"/>
      <c r="U438" s="107"/>
      <c r="V438" s="107"/>
    </row>
    <row r="439" spans="4:22" s="12" customFormat="1" x14ac:dyDescent="0.2">
      <c r="D439" s="107"/>
      <c r="E439" s="35"/>
      <c r="F439" s="36"/>
      <c r="G439" s="37"/>
      <c r="H439" s="38"/>
      <c r="I439" s="39"/>
      <c r="J439" s="39"/>
      <c r="K439" s="35"/>
      <c r="L439" s="107"/>
      <c r="M439" s="40"/>
      <c r="O439" s="107"/>
      <c r="P439" s="22"/>
      <c r="R439" s="107"/>
      <c r="S439" s="107"/>
      <c r="T439" s="107"/>
      <c r="U439" s="107"/>
      <c r="V439" s="107"/>
    </row>
    <row r="440" spans="4:22" s="12" customFormat="1" x14ac:dyDescent="0.2">
      <c r="D440" s="107"/>
      <c r="E440" s="35"/>
      <c r="F440" s="36"/>
      <c r="G440" s="37"/>
      <c r="H440" s="38"/>
      <c r="I440" s="39"/>
      <c r="J440" s="39"/>
      <c r="K440" s="35"/>
      <c r="L440" s="107"/>
      <c r="M440" s="40"/>
      <c r="O440" s="107"/>
      <c r="P440" s="22"/>
      <c r="R440" s="107"/>
      <c r="S440" s="107"/>
      <c r="T440" s="107"/>
      <c r="U440" s="107"/>
      <c r="V440" s="107"/>
    </row>
    <row r="441" spans="4:22" s="12" customFormat="1" x14ac:dyDescent="0.2">
      <c r="D441" s="107"/>
      <c r="E441" s="35"/>
      <c r="F441" s="36"/>
      <c r="G441" s="37"/>
      <c r="H441" s="38"/>
      <c r="I441" s="39"/>
      <c r="J441" s="39"/>
      <c r="K441" s="35"/>
      <c r="L441" s="107"/>
      <c r="M441" s="40"/>
      <c r="O441" s="107"/>
      <c r="P441" s="22"/>
      <c r="R441" s="107"/>
      <c r="S441" s="107"/>
      <c r="T441" s="107"/>
      <c r="U441" s="107"/>
      <c r="V441" s="107"/>
    </row>
    <row r="442" spans="4:22" s="12" customFormat="1" x14ac:dyDescent="0.2">
      <c r="D442" s="107"/>
      <c r="E442" s="35"/>
      <c r="F442" s="36"/>
      <c r="G442" s="37"/>
      <c r="H442" s="38"/>
      <c r="I442" s="39"/>
      <c r="J442" s="39"/>
      <c r="K442" s="35"/>
      <c r="L442" s="107"/>
      <c r="M442" s="40"/>
      <c r="O442" s="107"/>
      <c r="P442" s="22"/>
      <c r="R442" s="107"/>
      <c r="S442" s="107"/>
      <c r="T442" s="107"/>
      <c r="U442" s="107"/>
      <c r="V442" s="107"/>
    </row>
    <row r="443" spans="4:22" s="12" customFormat="1" x14ac:dyDescent="0.2">
      <c r="D443" s="107"/>
      <c r="E443" s="35"/>
      <c r="F443" s="36"/>
      <c r="G443" s="37"/>
      <c r="H443" s="38"/>
      <c r="I443" s="39"/>
      <c r="J443" s="39"/>
      <c r="K443" s="35"/>
      <c r="L443" s="107"/>
      <c r="M443" s="40"/>
      <c r="O443" s="107"/>
      <c r="P443" s="22"/>
      <c r="R443" s="107"/>
      <c r="S443" s="107"/>
      <c r="T443" s="107"/>
      <c r="U443" s="107"/>
      <c r="V443" s="107"/>
    </row>
    <row r="444" spans="4:22" s="12" customFormat="1" x14ac:dyDescent="0.2">
      <c r="D444" s="107"/>
      <c r="E444" s="35"/>
      <c r="F444" s="36"/>
      <c r="G444" s="37"/>
      <c r="H444" s="38"/>
      <c r="I444" s="39"/>
      <c r="J444" s="39"/>
      <c r="K444" s="35"/>
      <c r="L444" s="107"/>
      <c r="M444" s="40"/>
      <c r="O444" s="107"/>
      <c r="P444" s="22"/>
      <c r="R444" s="107"/>
      <c r="S444" s="107"/>
      <c r="T444" s="107"/>
      <c r="U444" s="107"/>
      <c r="V444" s="107"/>
    </row>
    <row r="445" spans="4:22" s="12" customFormat="1" x14ac:dyDescent="0.2">
      <c r="D445" s="107"/>
      <c r="E445" s="35"/>
      <c r="F445" s="36"/>
      <c r="G445" s="37"/>
      <c r="H445" s="38"/>
      <c r="I445" s="39"/>
      <c r="J445" s="39"/>
      <c r="K445" s="35"/>
      <c r="L445" s="107"/>
      <c r="M445" s="40"/>
      <c r="O445" s="107"/>
      <c r="P445" s="22"/>
      <c r="R445" s="107"/>
      <c r="S445" s="107"/>
      <c r="T445" s="107"/>
      <c r="U445" s="107"/>
      <c r="V445" s="107"/>
    </row>
    <row r="446" spans="4:22" s="12" customFormat="1" x14ac:dyDescent="0.2">
      <c r="D446" s="107"/>
      <c r="E446" s="35"/>
      <c r="F446" s="36"/>
      <c r="G446" s="37"/>
      <c r="H446" s="38"/>
      <c r="I446" s="39"/>
      <c r="J446" s="39"/>
      <c r="K446" s="35"/>
      <c r="L446" s="107"/>
      <c r="M446" s="40"/>
      <c r="O446" s="107"/>
      <c r="P446" s="22"/>
      <c r="R446" s="107"/>
      <c r="S446" s="107"/>
      <c r="T446" s="107"/>
      <c r="U446" s="107"/>
      <c r="V446" s="107"/>
    </row>
    <row r="447" spans="4:22" s="12" customFormat="1" x14ac:dyDescent="0.2">
      <c r="D447" s="107"/>
      <c r="E447" s="35"/>
      <c r="F447" s="36"/>
      <c r="G447" s="37"/>
      <c r="H447" s="38"/>
      <c r="I447" s="39"/>
      <c r="J447" s="39"/>
      <c r="K447" s="35"/>
      <c r="L447" s="107"/>
      <c r="M447" s="40"/>
      <c r="O447" s="107"/>
      <c r="P447" s="22"/>
      <c r="R447" s="107"/>
      <c r="S447" s="107"/>
      <c r="T447" s="107"/>
      <c r="U447" s="107"/>
      <c r="V447" s="107"/>
    </row>
    <row r="448" spans="4:22" s="12" customFormat="1" x14ac:dyDescent="0.2">
      <c r="D448" s="107"/>
      <c r="E448" s="35"/>
      <c r="F448" s="36"/>
      <c r="G448" s="37"/>
      <c r="H448" s="38"/>
      <c r="I448" s="39"/>
      <c r="J448" s="39"/>
      <c r="K448" s="35"/>
      <c r="L448" s="107"/>
      <c r="M448" s="40"/>
      <c r="O448" s="107"/>
      <c r="P448" s="22"/>
      <c r="R448" s="107"/>
      <c r="S448" s="107"/>
      <c r="T448" s="107"/>
      <c r="U448" s="107"/>
      <c r="V448" s="107"/>
    </row>
    <row r="449" spans="4:22" s="12" customFormat="1" x14ac:dyDescent="0.2">
      <c r="D449" s="107"/>
      <c r="E449" s="35"/>
      <c r="F449" s="36"/>
      <c r="G449" s="37"/>
      <c r="H449" s="38"/>
      <c r="I449" s="39"/>
      <c r="J449" s="39"/>
      <c r="K449" s="35"/>
      <c r="L449" s="107"/>
      <c r="M449" s="40"/>
      <c r="O449" s="107"/>
      <c r="P449" s="22"/>
      <c r="R449" s="107"/>
      <c r="S449" s="107"/>
      <c r="T449" s="107"/>
      <c r="U449" s="107"/>
      <c r="V449" s="107"/>
    </row>
    <row r="450" spans="4:22" s="12" customFormat="1" x14ac:dyDescent="0.2">
      <c r="D450" s="107"/>
      <c r="E450" s="35"/>
      <c r="F450" s="36"/>
      <c r="G450" s="37"/>
      <c r="H450" s="38"/>
      <c r="I450" s="39"/>
      <c r="J450" s="39"/>
      <c r="K450" s="35"/>
      <c r="L450" s="107"/>
      <c r="M450" s="40"/>
      <c r="O450" s="107"/>
      <c r="P450" s="22"/>
      <c r="R450" s="107"/>
      <c r="S450" s="107"/>
      <c r="T450" s="107"/>
      <c r="U450" s="107"/>
      <c r="V450" s="107"/>
    </row>
    <row r="451" spans="4:22" s="12" customFormat="1" x14ac:dyDescent="0.2">
      <c r="D451" s="107"/>
      <c r="E451" s="35"/>
      <c r="F451" s="36"/>
      <c r="G451" s="37"/>
      <c r="H451" s="38"/>
      <c r="I451" s="39"/>
      <c r="J451" s="39"/>
      <c r="K451" s="35"/>
      <c r="L451" s="107"/>
      <c r="M451" s="40"/>
      <c r="O451" s="107"/>
      <c r="P451" s="22"/>
      <c r="R451" s="107"/>
      <c r="S451" s="107"/>
      <c r="T451" s="107"/>
      <c r="U451" s="107"/>
      <c r="V451" s="107"/>
    </row>
    <row r="452" spans="4:22" s="12" customFormat="1" x14ac:dyDescent="0.2">
      <c r="D452" s="107"/>
      <c r="E452" s="35"/>
      <c r="F452" s="36"/>
      <c r="G452" s="37"/>
      <c r="H452" s="38"/>
      <c r="I452" s="39"/>
      <c r="J452" s="39"/>
      <c r="K452" s="35"/>
      <c r="L452" s="107"/>
      <c r="M452" s="40"/>
      <c r="O452" s="107"/>
      <c r="P452" s="22"/>
      <c r="R452" s="107"/>
      <c r="S452" s="107"/>
      <c r="T452" s="107"/>
      <c r="U452" s="107"/>
      <c r="V452" s="107"/>
    </row>
    <row r="453" spans="4:22" s="12" customFormat="1" x14ac:dyDescent="0.2">
      <c r="D453" s="107"/>
      <c r="E453" s="35"/>
      <c r="F453" s="36"/>
      <c r="G453" s="37"/>
      <c r="H453" s="38"/>
      <c r="I453" s="39"/>
      <c r="J453" s="39"/>
      <c r="K453" s="35"/>
      <c r="L453" s="107"/>
      <c r="M453" s="40"/>
      <c r="O453" s="107"/>
      <c r="P453" s="22"/>
      <c r="R453" s="107"/>
      <c r="S453" s="107"/>
      <c r="T453" s="107"/>
      <c r="U453" s="107"/>
      <c r="V453" s="107"/>
    </row>
    <row r="454" spans="4:22" s="12" customFormat="1" x14ac:dyDescent="0.2">
      <c r="D454" s="107"/>
      <c r="E454" s="35"/>
      <c r="F454" s="36"/>
      <c r="G454" s="37"/>
      <c r="H454" s="38"/>
      <c r="I454" s="39"/>
      <c r="J454" s="39"/>
      <c r="K454" s="35"/>
      <c r="L454" s="107"/>
      <c r="M454" s="40"/>
      <c r="O454" s="107"/>
      <c r="P454" s="22"/>
      <c r="R454" s="107"/>
      <c r="S454" s="107"/>
      <c r="T454" s="107"/>
      <c r="U454" s="107"/>
      <c r="V454" s="107"/>
    </row>
    <row r="455" spans="4:22" s="12" customFormat="1" x14ac:dyDescent="0.2">
      <c r="D455" s="107"/>
      <c r="E455" s="35"/>
      <c r="F455" s="36"/>
      <c r="G455" s="37"/>
      <c r="H455" s="38"/>
      <c r="I455" s="39"/>
      <c r="J455" s="39"/>
      <c r="K455" s="35"/>
      <c r="L455" s="107"/>
      <c r="M455" s="40"/>
      <c r="O455" s="107"/>
      <c r="P455" s="22"/>
      <c r="R455" s="107"/>
      <c r="S455" s="107"/>
      <c r="T455" s="107"/>
      <c r="U455" s="107"/>
      <c r="V455" s="107"/>
    </row>
    <row r="456" spans="4:22" s="12" customFormat="1" x14ac:dyDescent="0.2">
      <c r="D456" s="107"/>
      <c r="E456" s="35"/>
      <c r="F456" s="36"/>
      <c r="G456" s="37"/>
      <c r="H456" s="38"/>
      <c r="I456" s="39"/>
      <c r="J456" s="39"/>
      <c r="K456" s="35"/>
      <c r="L456" s="107"/>
      <c r="M456" s="40"/>
      <c r="O456" s="107"/>
      <c r="P456" s="22"/>
      <c r="R456" s="107"/>
      <c r="S456" s="107"/>
      <c r="T456" s="107"/>
      <c r="U456" s="107"/>
      <c r="V456" s="107"/>
    </row>
    <row r="457" spans="4:22" s="12" customFormat="1" x14ac:dyDescent="0.2">
      <c r="D457" s="107"/>
      <c r="E457" s="35"/>
      <c r="F457" s="36"/>
      <c r="G457" s="37"/>
      <c r="H457" s="38"/>
      <c r="I457" s="39"/>
      <c r="J457" s="39"/>
      <c r="K457" s="35"/>
      <c r="L457" s="107"/>
      <c r="M457" s="40"/>
      <c r="O457" s="107"/>
      <c r="P457" s="22"/>
      <c r="R457" s="107"/>
      <c r="S457" s="107"/>
      <c r="T457" s="107"/>
      <c r="U457" s="107"/>
      <c r="V457" s="107"/>
    </row>
    <row r="458" spans="4:22" s="12" customFormat="1" x14ac:dyDescent="0.2">
      <c r="D458" s="107"/>
      <c r="E458" s="35"/>
      <c r="F458" s="36"/>
      <c r="G458" s="37"/>
      <c r="H458" s="38"/>
      <c r="I458" s="39"/>
      <c r="J458" s="39"/>
      <c r="K458" s="35"/>
      <c r="L458" s="107"/>
      <c r="M458" s="40"/>
      <c r="O458" s="107"/>
      <c r="P458" s="22"/>
      <c r="R458" s="107"/>
      <c r="S458" s="107"/>
      <c r="T458" s="107"/>
      <c r="U458" s="107"/>
      <c r="V458" s="107"/>
    </row>
    <row r="459" spans="4:22" s="12" customFormat="1" x14ac:dyDescent="0.2">
      <c r="D459" s="107"/>
      <c r="E459" s="35"/>
      <c r="F459" s="36"/>
      <c r="G459" s="37"/>
      <c r="H459" s="38"/>
      <c r="I459" s="39"/>
      <c r="J459" s="39"/>
      <c r="K459" s="35"/>
      <c r="L459" s="107"/>
      <c r="M459" s="40"/>
      <c r="O459" s="107"/>
      <c r="P459" s="22"/>
      <c r="R459" s="107"/>
      <c r="S459" s="107"/>
      <c r="T459" s="107"/>
      <c r="U459" s="107"/>
      <c r="V459" s="107"/>
    </row>
    <row r="460" spans="4:22" s="12" customFormat="1" x14ac:dyDescent="0.2">
      <c r="D460" s="107"/>
      <c r="E460" s="35"/>
      <c r="F460" s="36"/>
      <c r="G460" s="37"/>
      <c r="H460" s="38"/>
      <c r="I460" s="39"/>
      <c r="J460" s="39"/>
      <c r="K460" s="35"/>
      <c r="L460" s="107"/>
      <c r="M460" s="40"/>
      <c r="O460" s="107"/>
      <c r="P460" s="22"/>
      <c r="R460" s="107"/>
      <c r="S460" s="107"/>
      <c r="T460" s="107"/>
      <c r="U460" s="107"/>
      <c r="V460" s="107"/>
    </row>
    <row r="461" spans="4:22" s="12" customFormat="1" x14ac:dyDescent="0.2">
      <c r="D461" s="107"/>
      <c r="E461" s="35"/>
      <c r="F461" s="36"/>
      <c r="G461" s="37"/>
      <c r="H461" s="38"/>
      <c r="I461" s="39"/>
      <c r="J461" s="39"/>
      <c r="K461" s="35"/>
      <c r="L461" s="107"/>
      <c r="M461" s="40"/>
      <c r="O461" s="107"/>
      <c r="P461" s="22"/>
      <c r="R461" s="107"/>
      <c r="S461" s="107"/>
      <c r="T461" s="107"/>
      <c r="U461" s="107"/>
      <c r="V461" s="107"/>
    </row>
    <row r="462" spans="4:22" s="12" customFormat="1" x14ac:dyDescent="0.2">
      <c r="D462" s="107"/>
      <c r="E462" s="35"/>
      <c r="F462" s="36"/>
      <c r="G462" s="37"/>
      <c r="H462" s="38"/>
      <c r="I462" s="39"/>
      <c r="J462" s="39"/>
      <c r="K462" s="35"/>
      <c r="L462" s="107"/>
      <c r="M462" s="40"/>
      <c r="O462" s="107"/>
      <c r="P462" s="22"/>
      <c r="R462" s="107"/>
      <c r="S462" s="107"/>
      <c r="T462" s="107"/>
      <c r="U462" s="107"/>
      <c r="V462" s="107"/>
    </row>
    <row r="463" spans="4:22" s="12" customFormat="1" x14ac:dyDescent="0.2">
      <c r="D463" s="107"/>
      <c r="E463" s="35"/>
      <c r="F463" s="36"/>
      <c r="G463" s="37"/>
      <c r="H463" s="38"/>
      <c r="I463" s="39"/>
      <c r="J463" s="39"/>
      <c r="K463" s="35"/>
      <c r="L463" s="107"/>
      <c r="M463" s="40"/>
      <c r="O463" s="107"/>
      <c r="P463" s="22"/>
      <c r="R463" s="107"/>
      <c r="S463" s="107"/>
      <c r="T463" s="107"/>
      <c r="U463" s="107"/>
      <c r="V463" s="107"/>
    </row>
    <row r="464" spans="4:22" s="12" customFormat="1" x14ac:dyDescent="0.2">
      <c r="D464" s="107"/>
      <c r="E464" s="35"/>
      <c r="F464" s="36"/>
      <c r="G464" s="37"/>
      <c r="H464" s="38"/>
      <c r="I464" s="39"/>
      <c r="J464" s="39"/>
      <c r="K464" s="35"/>
      <c r="L464" s="107"/>
      <c r="M464" s="40"/>
      <c r="O464" s="107"/>
      <c r="P464" s="22"/>
      <c r="R464" s="107"/>
      <c r="S464" s="107"/>
      <c r="T464" s="107"/>
      <c r="U464" s="107"/>
      <c r="V464" s="107"/>
    </row>
    <row r="465" spans="4:22" s="12" customFormat="1" x14ac:dyDescent="0.2">
      <c r="D465" s="107"/>
      <c r="E465" s="35"/>
      <c r="F465" s="36"/>
      <c r="G465" s="37"/>
      <c r="H465" s="38"/>
      <c r="I465" s="39"/>
      <c r="J465" s="39"/>
      <c r="K465" s="35"/>
      <c r="L465" s="107"/>
      <c r="M465" s="40"/>
      <c r="O465" s="107"/>
      <c r="P465" s="22"/>
      <c r="R465" s="107"/>
      <c r="S465" s="107"/>
      <c r="T465" s="107"/>
      <c r="U465" s="107"/>
      <c r="V465" s="107"/>
    </row>
    <row r="466" spans="4:22" s="12" customFormat="1" x14ac:dyDescent="0.2">
      <c r="D466" s="107"/>
      <c r="E466" s="35"/>
      <c r="F466" s="36"/>
      <c r="G466" s="37"/>
      <c r="H466" s="38"/>
      <c r="I466" s="39"/>
      <c r="J466" s="39"/>
      <c r="K466" s="35"/>
      <c r="L466" s="107"/>
      <c r="M466" s="40"/>
      <c r="O466" s="107"/>
      <c r="P466" s="22"/>
      <c r="R466" s="107"/>
      <c r="S466" s="107"/>
      <c r="T466" s="107"/>
      <c r="U466" s="107"/>
      <c r="V466" s="107"/>
    </row>
    <row r="467" spans="4:22" s="12" customFormat="1" x14ac:dyDescent="0.2">
      <c r="D467" s="107"/>
      <c r="E467" s="35"/>
      <c r="F467" s="36"/>
      <c r="G467" s="37"/>
      <c r="H467" s="38"/>
      <c r="I467" s="39"/>
      <c r="J467" s="39"/>
      <c r="K467" s="35"/>
      <c r="L467" s="107"/>
      <c r="M467" s="40"/>
      <c r="O467" s="107"/>
      <c r="P467" s="22"/>
      <c r="R467" s="107"/>
      <c r="S467" s="107"/>
      <c r="T467" s="107"/>
      <c r="U467" s="107"/>
      <c r="V467" s="107"/>
    </row>
    <row r="468" spans="4:22" s="12" customFormat="1" x14ac:dyDescent="0.2">
      <c r="D468" s="107"/>
      <c r="E468" s="35"/>
      <c r="F468" s="36"/>
      <c r="G468" s="37"/>
      <c r="H468" s="38"/>
      <c r="I468" s="39"/>
      <c r="J468" s="39"/>
      <c r="K468" s="35"/>
      <c r="L468" s="107"/>
      <c r="M468" s="40"/>
      <c r="O468" s="107"/>
      <c r="P468" s="22"/>
      <c r="R468" s="107"/>
      <c r="S468" s="107"/>
      <c r="T468" s="107"/>
      <c r="U468" s="107"/>
      <c r="V468" s="107"/>
    </row>
    <row r="469" spans="4:22" s="12" customFormat="1" x14ac:dyDescent="0.2">
      <c r="D469" s="107"/>
      <c r="E469" s="35"/>
      <c r="F469" s="36"/>
      <c r="G469" s="37"/>
      <c r="H469" s="38"/>
      <c r="I469" s="39"/>
      <c r="J469" s="39"/>
      <c r="K469" s="35"/>
      <c r="L469" s="107"/>
      <c r="M469" s="40"/>
      <c r="O469" s="107"/>
      <c r="P469" s="22"/>
      <c r="R469" s="107"/>
      <c r="S469" s="107"/>
      <c r="T469" s="107"/>
      <c r="U469" s="107"/>
      <c r="V469" s="107"/>
    </row>
    <row r="470" spans="4:22" s="12" customFormat="1" x14ac:dyDescent="0.2">
      <c r="D470" s="107"/>
      <c r="E470" s="35"/>
      <c r="F470" s="36"/>
      <c r="G470" s="37"/>
      <c r="H470" s="38"/>
      <c r="I470" s="39"/>
      <c r="J470" s="39"/>
      <c r="K470" s="35"/>
      <c r="L470" s="107"/>
      <c r="M470" s="40"/>
      <c r="O470" s="107"/>
      <c r="P470" s="22"/>
      <c r="R470" s="107"/>
      <c r="S470" s="107"/>
      <c r="T470" s="107"/>
      <c r="U470" s="107"/>
      <c r="V470" s="107"/>
    </row>
    <row r="471" spans="4:22" s="12" customFormat="1" x14ac:dyDescent="0.2">
      <c r="D471" s="107"/>
      <c r="E471" s="35"/>
      <c r="F471" s="36"/>
      <c r="G471" s="37"/>
      <c r="H471" s="38"/>
      <c r="I471" s="39"/>
      <c r="J471" s="39"/>
      <c r="K471" s="35"/>
      <c r="L471" s="107"/>
      <c r="M471" s="40"/>
      <c r="O471" s="107"/>
      <c r="P471" s="22"/>
      <c r="R471" s="107"/>
      <c r="S471" s="107"/>
      <c r="T471" s="107"/>
      <c r="U471" s="107"/>
      <c r="V471" s="107"/>
    </row>
    <row r="472" spans="4:22" s="12" customFormat="1" x14ac:dyDescent="0.2">
      <c r="D472" s="107"/>
      <c r="E472" s="35"/>
      <c r="F472" s="36"/>
      <c r="G472" s="37"/>
      <c r="H472" s="38"/>
      <c r="I472" s="39"/>
      <c r="J472" s="39"/>
      <c r="K472" s="35"/>
      <c r="L472" s="107"/>
      <c r="M472" s="40"/>
      <c r="O472" s="107"/>
      <c r="P472" s="22"/>
      <c r="R472" s="107"/>
      <c r="S472" s="107"/>
      <c r="T472" s="107"/>
      <c r="U472" s="107"/>
      <c r="V472" s="107"/>
    </row>
    <row r="473" spans="4:22" s="12" customFormat="1" x14ac:dyDescent="0.2">
      <c r="D473" s="107"/>
      <c r="E473" s="35"/>
      <c r="F473" s="36"/>
      <c r="G473" s="37"/>
      <c r="H473" s="38"/>
      <c r="I473" s="39"/>
      <c r="J473" s="39"/>
      <c r="K473" s="35"/>
      <c r="L473" s="107"/>
      <c r="M473" s="40"/>
      <c r="O473" s="107"/>
      <c r="P473" s="22"/>
      <c r="R473" s="107"/>
      <c r="S473" s="107"/>
      <c r="T473" s="107"/>
      <c r="U473" s="107"/>
      <c r="V473" s="107"/>
    </row>
    <row r="474" spans="4:22" s="12" customFormat="1" x14ac:dyDescent="0.2">
      <c r="D474" s="107"/>
      <c r="E474" s="35"/>
      <c r="F474" s="36"/>
      <c r="G474" s="37"/>
      <c r="H474" s="38"/>
      <c r="I474" s="39"/>
      <c r="J474" s="39"/>
      <c r="K474" s="35"/>
      <c r="L474" s="107"/>
      <c r="M474" s="40"/>
      <c r="O474" s="107"/>
      <c r="P474" s="22"/>
      <c r="R474" s="107"/>
      <c r="S474" s="107"/>
      <c r="T474" s="107"/>
      <c r="U474" s="107"/>
      <c r="V474" s="107"/>
    </row>
    <row r="475" spans="4:22" s="12" customFormat="1" x14ac:dyDescent="0.2">
      <c r="D475" s="107"/>
      <c r="E475" s="35"/>
      <c r="F475" s="36"/>
      <c r="G475" s="37"/>
      <c r="H475" s="38"/>
      <c r="I475" s="39"/>
      <c r="J475" s="39"/>
      <c r="K475" s="35"/>
      <c r="L475" s="107"/>
      <c r="M475" s="40"/>
      <c r="O475" s="107"/>
      <c r="P475" s="22"/>
      <c r="R475" s="107"/>
      <c r="S475" s="107"/>
      <c r="T475" s="107"/>
      <c r="U475" s="107"/>
      <c r="V475" s="107"/>
    </row>
    <row r="476" spans="4:22" s="12" customFormat="1" x14ac:dyDescent="0.2">
      <c r="D476" s="107"/>
      <c r="E476" s="35"/>
      <c r="F476" s="36"/>
      <c r="G476" s="37"/>
      <c r="H476" s="38"/>
      <c r="I476" s="39"/>
      <c r="J476" s="39"/>
      <c r="K476" s="35"/>
      <c r="L476" s="107"/>
      <c r="M476" s="40"/>
      <c r="O476" s="107"/>
      <c r="P476" s="22"/>
      <c r="R476" s="107"/>
      <c r="S476" s="107"/>
      <c r="T476" s="107"/>
      <c r="U476" s="107"/>
      <c r="V476" s="107"/>
    </row>
    <row r="477" spans="4:22" s="12" customFormat="1" x14ac:dyDescent="0.2">
      <c r="D477" s="107"/>
      <c r="E477" s="35"/>
      <c r="F477" s="36"/>
      <c r="G477" s="37"/>
      <c r="H477" s="38"/>
      <c r="I477" s="39"/>
      <c r="J477" s="39"/>
      <c r="K477" s="35"/>
      <c r="L477" s="107"/>
      <c r="M477" s="40"/>
      <c r="O477" s="107"/>
      <c r="P477" s="22"/>
      <c r="R477" s="107"/>
      <c r="S477" s="107"/>
      <c r="T477" s="107"/>
      <c r="U477" s="107"/>
      <c r="V477" s="107"/>
    </row>
    <row r="478" spans="4:22" s="12" customFormat="1" x14ac:dyDescent="0.2">
      <c r="D478" s="107"/>
      <c r="E478" s="35"/>
      <c r="F478" s="36"/>
      <c r="G478" s="37"/>
      <c r="H478" s="38"/>
      <c r="I478" s="39"/>
      <c r="J478" s="39"/>
      <c r="K478" s="35"/>
      <c r="L478" s="107"/>
      <c r="M478" s="40"/>
      <c r="O478" s="107"/>
      <c r="P478" s="22"/>
      <c r="R478" s="107"/>
      <c r="S478" s="107"/>
      <c r="T478" s="107"/>
      <c r="U478" s="107"/>
      <c r="V478" s="107"/>
    </row>
    <row r="479" spans="4:22" s="12" customFormat="1" x14ac:dyDescent="0.2">
      <c r="D479" s="107"/>
      <c r="E479" s="35"/>
      <c r="F479" s="36"/>
      <c r="G479" s="37"/>
      <c r="H479" s="38"/>
      <c r="I479" s="39"/>
      <c r="J479" s="39"/>
      <c r="K479" s="35"/>
      <c r="L479" s="107"/>
      <c r="M479" s="40"/>
      <c r="O479" s="107"/>
      <c r="P479" s="22"/>
      <c r="R479" s="107"/>
      <c r="S479" s="107"/>
      <c r="T479" s="107"/>
      <c r="U479" s="107"/>
      <c r="V479" s="107"/>
    </row>
    <row r="480" spans="4:22" s="12" customFormat="1" x14ac:dyDescent="0.2">
      <c r="D480" s="107"/>
      <c r="E480" s="35"/>
      <c r="F480" s="36"/>
      <c r="G480" s="37"/>
      <c r="H480" s="38"/>
      <c r="I480" s="39"/>
      <c r="J480" s="39"/>
      <c r="K480" s="35"/>
      <c r="L480" s="107"/>
      <c r="M480" s="40"/>
      <c r="O480" s="107"/>
      <c r="P480" s="22"/>
      <c r="R480" s="107"/>
      <c r="S480" s="107"/>
      <c r="T480" s="107"/>
      <c r="U480" s="107"/>
      <c r="V480" s="107"/>
    </row>
    <row r="481" spans="4:22" s="12" customFormat="1" x14ac:dyDescent="0.2">
      <c r="D481" s="107"/>
      <c r="E481" s="35"/>
      <c r="F481" s="36"/>
      <c r="G481" s="37"/>
      <c r="H481" s="38"/>
      <c r="I481" s="39"/>
      <c r="J481" s="39"/>
      <c r="K481" s="35"/>
      <c r="L481" s="107"/>
      <c r="M481" s="40"/>
      <c r="O481" s="107"/>
      <c r="P481" s="22"/>
      <c r="R481" s="107"/>
      <c r="S481" s="107"/>
      <c r="T481" s="107"/>
      <c r="U481" s="107"/>
      <c r="V481" s="107"/>
    </row>
    <row r="482" spans="4:22" s="12" customFormat="1" x14ac:dyDescent="0.2">
      <c r="D482" s="107"/>
      <c r="E482" s="35"/>
      <c r="F482" s="36"/>
      <c r="G482" s="37"/>
      <c r="H482" s="38"/>
      <c r="I482" s="39"/>
      <c r="J482" s="39"/>
      <c r="K482" s="35"/>
      <c r="L482" s="107"/>
      <c r="M482" s="40"/>
      <c r="O482" s="107"/>
      <c r="P482" s="22"/>
      <c r="R482" s="107"/>
      <c r="S482" s="107"/>
      <c r="T482" s="107"/>
      <c r="U482" s="107"/>
      <c r="V482" s="107"/>
    </row>
    <row r="483" spans="4:22" s="12" customFormat="1" x14ac:dyDescent="0.2">
      <c r="D483" s="107"/>
      <c r="E483" s="35"/>
      <c r="F483" s="36"/>
      <c r="G483" s="37"/>
      <c r="H483" s="38"/>
      <c r="I483" s="39"/>
      <c r="J483" s="39"/>
      <c r="K483" s="35"/>
      <c r="L483" s="107"/>
      <c r="M483" s="40"/>
      <c r="O483" s="107"/>
      <c r="P483" s="22"/>
      <c r="R483" s="107"/>
      <c r="S483" s="107"/>
      <c r="T483" s="107"/>
      <c r="U483" s="107"/>
      <c r="V483" s="107"/>
    </row>
    <row r="484" spans="4:22" s="12" customFormat="1" x14ac:dyDescent="0.2">
      <c r="D484" s="107"/>
      <c r="E484" s="35"/>
      <c r="F484" s="36"/>
      <c r="G484" s="37"/>
      <c r="H484" s="38"/>
      <c r="I484" s="39"/>
      <c r="J484" s="39"/>
      <c r="K484" s="35"/>
      <c r="L484" s="107"/>
      <c r="M484" s="40"/>
      <c r="O484" s="107"/>
      <c r="P484" s="22"/>
      <c r="R484" s="107"/>
      <c r="S484" s="107"/>
      <c r="T484" s="107"/>
      <c r="U484" s="107"/>
      <c r="V484" s="107"/>
    </row>
    <row r="485" spans="4:22" s="12" customFormat="1" x14ac:dyDescent="0.2">
      <c r="D485" s="107"/>
      <c r="E485" s="35"/>
      <c r="F485" s="36"/>
      <c r="G485" s="37"/>
      <c r="H485" s="38"/>
      <c r="I485" s="39"/>
      <c r="J485" s="39"/>
      <c r="K485" s="35"/>
      <c r="L485" s="107"/>
      <c r="M485" s="40"/>
      <c r="O485" s="107"/>
      <c r="P485" s="22"/>
      <c r="R485" s="107"/>
      <c r="S485" s="107"/>
      <c r="T485" s="107"/>
      <c r="U485" s="107"/>
      <c r="V485" s="107"/>
    </row>
    <row r="486" spans="4:22" s="12" customFormat="1" x14ac:dyDescent="0.2">
      <c r="D486" s="107"/>
      <c r="E486" s="35"/>
      <c r="F486" s="36"/>
      <c r="G486" s="37"/>
      <c r="H486" s="38"/>
      <c r="I486" s="39"/>
      <c r="J486" s="39"/>
      <c r="K486" s="35"/>
      <c r="L486" s="107"/>
      <c r="M486" s="40"/>
      <c r="O486" s="107"/>
      <c r="P486" s="22"/>
      <c r="R486" s="107"/>
      <c r="S486" s="107"/>
      <c r="T486" s="107"/>
      <c r="U486" s="107"/>
      <c r="V486" s="107"/>
    </row>
    <row r="487" spans="4:22" s="12" customFormat="1" x14ac:dyDescent="0.2">
      <c r="D487" s="107"/>
      <c r="E487" s="35"/>
      <c r="F487" s="36"/>
      <c r="G487" s="37"/>
      <c r="H487" s="38"/>
      <c r="I487" s="39"/>
      <c r="J487" s="39"/>
      <c r="K487" s="35"/>
      <c r="L487" s="107"/>
      <c r="M487" s="40"/>
      <c r="O487" s="107"/>
      <c r="P487" s="22"/>
      <c r="R487" s="107"/>
      <c r="S487" s="107"/>
      <c r="T487" s="107"/>
      <c r="U487" s="107"/>
      <c r="V487" s="107"/>
    </row>
    <row r="488" spans="4:22" s="12" customFormat="1" x14ac:dyDescent="0.2">
      <c r="D488" s="107"/>
      <c r="E488" s="35"/>
      <c r="F488" s="36"/>
      <c r="G488" s="37"/>
      <c r="H488" s="38"/>
      <c r="I488" s="39"/>
      <c r="J488" s="39"/>
      <c r="K488" s="35"/>
      <c r="L488" s="107"/>
      <c r="M488" s="40"/>
      <c r="O488" s="107"/>
      <c r="P488" s="22"/>
      <c r="R488" s="107"/>
      <c r="S488" s="107"/>
      <c r="T488" s="107"/>
      <c r="U488" s="107"/>
      <c r="V488" s="107"/>
    </row>
    <row r="489" spans="4:22" s="12" customFormat="1" x14ac:dyDescent="0.2">
      <c r="D489" s="107"/>
      <c r="E489" s="35"/>
      <c r="F489" s="36"/>
      <c r="G489" s="37"/>
      <c r="H489" s="38"/>
      <c r="I489" s="39"/>
      <c r="J489" s="39"/>
      <c r="K489" s="35"/>
      <c r="L489" s="107"/>
      <c r="M489" s="40"/>
      <c r="O489" s="107"/>
      <c r="P489" s="22"/>
      <c r="R489" s="107"/>
      <c r="S489" s="107"/>
      <c r="T489" s="107"/>
      <c r="U489" s="107"/>
      <c r="V489" s="107"/>
    </row>
    <row r="490" spans="4:22" s="12" customFormat="1" x14ac:dyDescent="0.2">
      <c r="D490" s="107"/>
      <c r="E490" s="35"/>
      <c r="F490" s="36"/>
      <c r="G490" s="37"/>
      <c r="H490" s="38"/>
      <c r="I490" s="39"/>
      <c r="J490" s="39"/>
      <c r="K490" s="35"/>
      <c r="L490" s="107"/>
      <c r="M490" s="40"/>
      <c r="O490" s="107"/>
      <c r="P490" s="22"/>
      <c r="R490" s="107"/>
      <c r="S490" s="107"/>
      <c r="T490" s="107"/>
      <c r="U490" s="107"/>
      <c r="V490" s="107"/>
    </row>
    <row r="491" spans="4:22" s="12" customFormat="1" x14ac:dyDescent="0.2">
      <c r="D491" s="107"/>
      <c r="E491" s="35"/>
      <c r="F491" s="36"/>
      <c r="G491" s="37"/>
      <c r="H491" s="38"/>
      <c r="I491" s="39"/>
      <c r="J491" s="39"/>
      <c r="K491" s="35"/>
      <c r="L491" s="107"/>
      <c r="M491" s="40"/>
      <c r="O491" s="107"/>
      <c r="P491" s="22"/>
      <c r="R491" s="107"/>
      <c r="S491" s="107"/>
      <c r="T491" s="107"/>
      <c r="U491" s="107"/>
      <c r="V491" s="107"/>
    </row>
    <row r="492" spans="4:22" s="12" customFormat="1" x14ac:dyDescent="0.2">
      <c r="D492" s="107"/>
      <c r="E492" s="35"/>
      <c r="F492" s="36"/>
      <c r="G492" s="37"/>
      <c r="H492" s="38"/>
      <c r="I492" s="39"/>
      <c r="J492" s="39"/>
      <c r="K492" s="35"/>
      <c r="L492" s="107"/>
      <c r="M492" s="40"/>
      <c r="O492" s="107"/>
      <c r="P492" s="22"/>
      <c r="R492" s="107"/>
      <c r="S492" s="107"/>
      <c r="T492" s="107"/>
      <c r="U492" s="107"/>
      <c r="V492" s="107"/>
    </row>
    <row r="493" spans="4:22" s="12" customFormat="1" x14ac:dyDescent="0.2">
      <c r="D493" s="107"/>
      <c r="E493" s="35"/>
      <c r="F493" s="36"/>
      <c r="G493" s="37"/>
      <c r="H493" s="38"/>
      <c r="I493" s="39"/>
      <c r="J493" s="39"/>
      <c r="K493" s="35"/>
      <c r="L493" s="107"/>
      <c r="M493" s="40"/>
      <c r="O493" s="107"/>
      <c r="P493" s="22"/>
      <c r="R493" s="107"/>
      <c r="S493" s="107"/>
      <c r="T493" s="107"/>
      <c r="U493" s="107"/>
      <c r="V493" s="107"/>
    </row>
    <row r="494" spans="4:22" s="12" customFormat="1" x14ac:dyDescent="0.2">
      <c r="D494" s="107"/>
      <c r="E494" s="35"/>
      <c r="F494" s="36"/>
      <c r="G494" s="37"/>
      <c r="H494" s="38"/>
      <c r="I494" s="39"/>
      <c r="J494" s="39"/>
      <c r="K494" s="35"/>
      <c r="L494" s="107"/>
      <c r="M494" s="40"/>
      <c r="O494" s="107"/>
      <c r="P494" s="22"/>
      <c r="R494" s="107"/>
      <c r="S494" s="107"/>
      <c r="T494" s="107"/>
      <c r="U494" s="107"/>
      <c r="V494" s="107"/>
    </row>
    <row r="495" spans="4:22" s="12" customFormat="1" x14ac:dyDescent="0.2">
      <c r="D495" s="107"/>
      <c r="E495" s="35"/>
      <c r="F495" s="36"/>
      <c r="G495" s="37"/>
      <c r="H495" s="38"/>
      <c r="I495" s="39"/>
      <c r="J495" s="39"/>
      <c r="K495" s="35"/>
      <c r="L495" s="107"/>
      <c r="M495" s="40"/>
      <c r="O495" s="107"/>
      <c r="P495" s="22"/>
      <c r="R495" s="107"/>
      <c r="S495" s="107"/>
      <c r="T495" s="107"/>
      <c r="U495" s="107"/>
      <c r="V495" s="107"/>
    </row>
    <row r="496" spans="4:22" s="12" customFormat="1" x14ac:dyDescent="0.2">
      <c r="D496" s="107"/>
      <c r="E496" s="35"/>
      <c r="F496" s="36"/>
      <c r="G496" s="37"/>
      <c r="H496" s="38"/>
      <c r="I496" s="39"/>
      <c r="J496" s="39"/>
      <c r="K496" s="35"/>
      <c r="L496" s="107"/>
      <c r="M496" s="40"/>
      <c r="O496" s="107"/>
      <c r="P496" s="22"/>
      <c r="R496" s="107"/>
      <c r="S496" s="107"/>
      <c r="T496" s="107"/>
      <c r="U496" s="107"/>
      <c r="V496" s="107"/>
    </row>
    <row r="497" spans="4:22" s="12" customFormat="1" x14ac:dyDescent="0.2">
      <c r="D497" s="107"/>
      <c r="E497" s="35"/>
      <c r="F497" s="36"/>
      <c r="G497" s="37"/>
      <c r="H497" s="38"/>
      <c r="I497" s="39"/>
      <c r="J497" s="39"/>
      <c r="K497" s="35"/>
      <c r="L497" s="107"/>
      <c r="M497" s="40"/>
      <c r="O497" s="107"/>
      <c r="P497" s="22"/>
      <c r="R497" s="107"/>
      <c r="S497" s="107"/>
      <c r="T497" s="107"/>
      <c r="U497" s="107"/>
      <c r="V497" s="107"/>
    </row>
    <row r="498" spans="4:22" s="12" customFormat="1" x14ac:dyDescent="0.2">
      <c r="D498" s="107"/>
      <c r="E498" s="35"/>
      <c r="F498" s="36"/>
      <c r="G498" s="37"/>
      <c r="H498" s="38"/>
      <c r="I498" s="39"/>
      <c r="J498" s="39"/>
      <c r="K498" s="35"/>
      <c r="L498" s="107"/>
      <c r="M498" s="40"/>
      <c r="O498" s="107"/>
      <c r="P498" s="22"/>
      <c r="R498" s="107"/>
      <c r="S498" s="107"/>
      <c r="T498" s="107"/>
      <c r="U498" s="107"/>
      <c r="V498" s="107"/>
    </row>
    <row r="499" spans="4:22" s="12" customFormat="1" x14ac:dyDescent="0.2">
      <c r="D499" s="107"/>
      <c r="E499" s="35"/>
      <c r="F499" s="36"/>
      <c r="G499" s="37"/>
      <c r="H499" s="38"/>
      <c r="I499" s="39"/>
      <c r="J499" s="39"/>
      <c r="K499" s="35"/>
      <c r="L499" s="107"/>
      <c r="M499" s="40"/>
      <c r="O499" s="107"/>
      <c r="P499" s="22"/>
      <c r="R499" s="107"/>
      <c r="S499" s="107"/>
      <c r="T499" s="107"/>
      <c r="U499" s="107"/>
      <c r="V499" s="107"/>
    </row>
    <row r="500" spans="4:22" s="12" customFormat="1" x14ac:dyDescent="0.2">
      <c r="D500" s="107"/>
      <c r="E500" s="35"/>
      <c r="F500" s="36"/>
      <c r="G500" s="37"/>
      <c r="H500" s="38"/>
      <c r="I500" s="39"/>
      <c r="J500" s="39"/>
      <c r="K500" s="35"/>
      <c r="L500" s="107"/>
      <c r="M500" s="40"/>
      <c r="O500" s="107"/>
      <c r="P500" s="22"/>
      <c r="R500" s="107"/>
      <c r="S500" s="107"/>
      <c r="T500" s="107"/>
      <c r="U500" s="107"/>
      <c r="V500" s="107"/>
    </row>
  </sheetData>
  <mergeCells count="55">
    <mergeCell ref="A52:C52"/>
    <mergeCell ref="A46:C46"/>
    <mergeCell ref="A47:C47"/>
    <mergeCell ref="A48:C48"/>
    <mergeCell ref="A49:C49"/>
    <mergeCell ref="A50:C50"/>
    <mergeCell ref="A51:C51"/>
    <mergeCell ref="A45:C45"/>
    <mergeCell ref="A1:B1"/>
    <mergeCell ref="A2:B2"/>
    <mergeCell ref="A3:C3"/>
    <mergeCell ref="A21:C21"/>
    <mergeCell ref="A38:C38"/>
    <mergeCell ref="A4:C4"/>
    <mergeCell ref="A32:C32"/>
    <mergeCell ref="A33:C33"/>
    <mergeCell ref="A34:C34"/>
    <mergeCell ref="A35:C35"/>
    <mergeCell ref="A36:C36"/>
    <mergeCell ref="A37:C37"/>
    <mergeCell ref="A39:C39"/>
    <mergeCell ref="A40:C40"/>
    <mergeCell ref="A41:C41"/>
    <mergeCell ref="R1:T1"/>
    <mergeCell ref="R2:T2"/>
    <mergeCell ref="R3:T3"/>
    <mergeCell ref="R4:T4"/>
    <mergeCell ref="R5:T5"/>
    <mergeCell ref="R6:T6"/>
    <mergeCell ref="R7:T7"/>
    <mergeCell ref="R8:T8"/>
    <mergeCell ref="R9:T9"/>
    <mergeCell ref="R10:T10"/>
    <mergeCell ref="A42:C42"/>
    <mergeCell ref="R16:T16"/>
    <mergeCell ref="R17:T17"/>
    <mergeCell ref="R11:T11"/>
    <mergeCell ref="R12:T12"/>
    <mergeCell ref="R13:T13"/>
    <mergeCell ref="R14:T14"/>
    <mergeCell ref="R15:T15"/>
    <mergeCell ref="A12:C12"/>
    <mergeCell ref="A13:C13"/>
    <mergeCell ref="A17:C17"/>
    <mergeCell ref="A18:C18"/>
    <mergeCell ref="A5:C5"/>
    <mergeCell ref="A6:C6"/>
    <mergeCell ref="A7:C7"/>
    <mergeCell ref="A8:C8"/>
    <mergeCell ref="A9:C9"/>
    <mergeCell ref="A10:C10"/>
    <mergeCell ref="A11:C11"/>
    <mergeCell ref="A14:C14"/>
    <mergeCell ref="A15:C15"/>
    <mergeCell ref="A16:C16"/>
  </mergeCells>
  <conditionalFormatting sqref="L2:L4">
    <cfRule type="cellIs" dxfId="35" priority="4" operator="equal">
      <formula>"EARLY"</formula>
    </cfRule>
    <cfRule type="cellIs" dxfId="34" priority="5" operator="equal">
      <formula>"DEF"</formula>
    </cfRule>
    <cfRule type="cellIs" dxfId="33" priority="6" operator="equal">
      <formula>"LATE"</formula>
    </cfRule>
  </conditionalFormatting>
  <conditionalFormatting sqref="L2:L123">
    <cfRule type="expression" dxfId="32" priority="1">
      <formula>K2="Paid"</formula>
    </cfRule>
    <cfRule type="expression" dxfId="31" priority="2">
      <formula>K2="Check!"</formula>
    </cfRule>
    <cfRule type="expression" dxfId="30" priority="3">
      <formula>K2="Waiting"</formula>
    </cfRule>
  </conditionalFormatting>
  <conditionalFormatting sqref="L5:L300">
    <cfRule type="cellIs" dxfId="29" priority="19" operator="equal">
      <formula>"EARLY"</formula>
    </cfRule>
    <cfRule type="cellIs" dxfId="28" priority="20" operator="equal">
      <formula>"DEF"</formula>
    </cfRule>
    <cfRule type="cellIs" dxfId="27" priority="21" operator="equal">
      <formula>"LATE"</formula>
    </cfRule>
  </conditionalFormatting>
  <conditionalFormatting sqref="L134:L578">
    <cfRule type="expression" dxfId="26" priority="25">
      <formula>K134="Paid"</formula>
    </cfRule>
    <cfRule type="expression" dxfId="25" priority="26">
      <formula>K134="Check!"</formula>
    </cfRule>
    <cfRule type="expression" dxfId="24" priority="27">
      <formula>K134="Waiting"</formula>
    </cfRule>
  </conditionalFormatting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20AE3-A470-41FC-8232-1821062D5AE8}">
  <sheetPr>
    <tabColor theme="1" tint="4.9989318521683403E-2"/>
  </sheetPr>
  <dimension ref="A1:V500"/>
  <sheetViews>
    <sheetView zoomScaleNormal="100" workbookViewId="0">
      <selection activeCell="A17" sqref="A17:C17"/>
    </sheetView>
  </sheetViews>
  <sheetFormatPr defaultColWidth="8.7421875" defaultRowHeight="15" x14ac:dyDescent="0.2"/>
  <cols>
    <col min="1" max="3" width="15.6015625" style="41" customWidth="1"/>
    <col min="4" max="4" width="2.6875" style="42" customWidth="1"/>
    <col min="5" max="5" width="5.6484375" style="7" customWidth="1"/>
    <col min="6" max="6" width="12.64453125" style="43" customWidth="1"/>
    <col min="7" max="7" width="12.64453125" style="44" customWidth="1"/>
    <col min="8" max="8" width="15.6015625" style="45" customWidth="1"/>
    <col min="9" max="10" width="15.6015625" style="46" customWidth="1"/>
    <col min="11" max="11" width="7.6640625" style="7" customWidth="1"/>
    <col min="12" max="12" width="5.6484375" style="42" customWidth="1"/>
    <col min="13" max="13" width="15.6015625" style="47" customWidth="1"/>
    <col min="14" max="14" width="10.35546875" style="41" customWidth="1"/>
    <col min="15" max="15" width="2.6875" style="42" customWidth="1"/>
    <col min="16" max="16" width="10.35546875" style="48" customWidth="1"/>
    <col min="17" max="17" width="10.35546875" style="12" customWidth="1"/>
    <col min="18" max="20" width="11.8359375" style="42" customWidth="1"/>
    <col min="21" max="22" width="8.47265625" style="42" customWidth="1"/>
    <col min="23" max="24" width="8.47265625" style="41" customWidth="1"/>
    <col min="25" max="16384" width="8.7421875" style="41"/>
  </cols>
  <sheetData>
    <row r="1" spans="1:22" s="12" customFormat="1" ht="23.1" customHeight="1" x14ac:dyDescent="0.2">
      <c r="A1" s="236" t="s">
        <v>17</v>
      </c>
      <c r="B1" s="237"/>
      <c r="C1" s="179" t="s">
        <v>18</v>
      </c>
      <c r="D1" s="99"/>
      <c r="E1" s="91" t="s">
        <v>19</v>
      </c>
      <c r="F1" s="92" t="s">
        <v>20</v>
      </c>
      <c r="G1" s="93" t="s">
        <v>21</v>
      </c>
      <c r="H1" s="94" t="s">
        <v>22</v>
      </c>
      <c r="I1" s="95" t="s">
        <v>23</v>
      </c>
      <c r="J1" s="95" t="s">
        <v>24</v>
      </c>
      <c r="K1" s="95" t="s">
        <v>25</v>
      </c>
      <c r="L1" s="95" t="s">
        <v>26</v>
      </c>
      <c r="M1" s="96" t="s">
        <v>110</v>
      </c>
      <c r="N1" s="95" t="s">
        <v>111</v>
      </c>
      <c r="O1" s="89"/>
      <c r="P1" s="98" t="s">
        <v>28</v>
      </c>
      <c r="Q1" s="90" t="s">
        <v>29</v>
      </c>
      <c r="R1" s="226" t="s">
        <v>112</v>
      </c>
      <c r="S1" s="226"/>
      <c r="T1" s="226"/>
      <c r="U1" s="107"/>
      <c r="V1" s="107"/>
    </row>
    <row r="2" spans="1:22" s="12" customFormat="1" ht="19.149999999999999" customHeight="1" x14ac:dyDescent="0.2">
      <c r="A2" s="238">
        <f>SUMIFS(J2:J300,F2:F300,"&lt;&gt;")+B19+A19+C2</f>
        <v>0</v>
      </c>
      <c r="B2" s="239"/>
      <c r="C2" s="13">
        <v>0</v>
      </c>
      <c r="D2" s="107"/>
      <c r="E2" s="14"/>
      <c r="F2" s="108"/>
      <c r="G2" s="16"/>
      <c r="H2" s="17"/>
      <c r="I2" s="18"/>
      <c r="J2" s="19"/>
      <c r="K2" s="14"/>
      <c r="L2" s="100"/>
      <c r="M2" s="20"/>
      <c r="N2" s="21"/>
      <c r="O2" s="107"/>
      <c r="P2" s="22">
        <v>45778</v>
      </c>
      <c r="Q2" s="105">
        <f t="shared" ref="Q2:Q65" si="0">SUMIFS(J$2:J$1000, F$2:F$1000, "&gt;=" &amp; DATE(YEAR(P2), MONTH(P2), 1), F$2:F$1000, "&lt;=" &amp; EOMONTH(P2, 0))</f>
        <v>0</v>
      </c>
      <c r="R2" s="222"/>
      <c r="S2" s="222"/>
      <c r="T2" s="222"/>
      <c r="U2" s="107"/>
      <c r="V2" s="107"/>
    </row>
    <row r="3" spans="1:22" s="12" customFormat="1" ht="19.149999999999999" customHeight="1" thickBot="1" x14ac:dyDescent="0.25">
      <c r="A3" s="234"/>
      <c r="B3" s="234"/>
      <c r="C3" s="234"/>
      <c r="D3" s="107"/>
      <c r="E3" s="14"/>
      <c r="F3" s="24"/>
      <c r="G3" s="25"/>
      <c r="H3" s="17"/>
      <c r="I3" s="18"/>
      <c r="J3" s="19"/>
      <c r="K3" s="14"/>
      <c r="L3" s="100"/>
      <c r="M3" s="20"/>
      <c r="N3" s="21"/>
      <c r="O3" s="107"/>
      <c r="P3" s="22">
        <v>45809</v>
      </c>
      <c r="Q3" s="105">
        <f t="shared" si="0"/>
        <v>0</v>
      </c>
      <c r="R3" s="225" t="s">
        <v>115</v>
      </c>
      <c r="S3" s="225"/>
      <c r="T3" s="225"/>
      <c r="U3" s="107"/>
      <c r="V3" s="107"/>
    </row>
    <row r="4" spans="1:22" s="12" customFormat="1" ht="19.149999999999999" customHeight="1" x14ac:dyDescent="0.2">
      <c r="A4" s="205" t="s">
        <v>116</v>
      </c>
      <c r="B4" s="206"/>
      <c r="C4" s="207"/>
      <c r="D4" s="107"/>
      <c r="E4" s="14"/>
      <c r="F4" s="24"/>
      <c r="G4" s="25"/>
      <c r="H4" s="17"/>
      <c r="I4" s="18"/>
      <c r="J4" s="19"/>
      <c r="K4" s="14"/>
      <c r="L4" s="100"/>
      <c r="M4" s="20"/>
      <c r="N4" s="21"/>
      <c r="O4" s="107"/>
      <c r="P4" s="22">
        <v>45839</v>
      </c>
      <c r="Q4" s="105">
        <f t="shared" si="0"/>
        <v>0</v>
      </c>
      <c r="R4" s="222" t="s">
        <v>118</v>
      </c>
      <c r="S4" s="222"/>
      <c r="T4" s="222"/>
      <c r="U4" s="107"/>
      <c r="V4" s="107"/>
    </row>
    <row r="5" spans="1:22" s="12" customFormat="1" ht="19.149999999999999" customHeight="1" x14ac:dyDescent="0.2">
      <c r="A5" s="216"/>
      <c r="B5" s="217"/>
      <c r="C5" s="217"/>
      <c r="D5" s="107"/>
      <c r="E5" s="14"/>
      <c r="F5" s="24"/>
      <c r="G5" s="25"/>
      <c r="H5" s="17"/>
      <c r="I5" s="18"/>
      <c r="J5" s="19"/>
      <c r="K5" s="14"/>
      <c r="L5" s="100"/>
      <c r="M5" s="20"/>
      <c r="N5" s="21"/>
      <c r="O5" s="107"/>
      <c r="P5" s="22">
        <v>45870</v>
      </c>
      <c r="Q5" s="105">
        <f t="shared" si="0"/>
        <v>0</v>
      </c>
      <c r="R5" s="222" t="s">
        <v>120</v>
      </c>
      <c r="S5" s="222"/>
      <c r="T5" s="222"/>
      <c r="U5" s="107"/>
      <c r="V5" s="107"/>
    </row>
    <row r="6" spans="1:22" s="12" customFormat="1" ht="19.149999999999999" customHeight="1" x14ac:dyDescent="0.2">
      <c r="A6" s="214"/>
      <c r="B6" s="215"/>
      <c r="C6" s="215"/>
      <c r="D6" s="107"/>
      <c r="E6" s="14"/>
      <c r="F6" s="24"/>
      <c r="G6" s="25"/>
      <c r="H6" s="17"/>
      <c r="I6" s="18"/>
      <c r="J6" s="19"/>
      <c r="K6" s="14"/>
      <c r="L6" s="100"/>
      <c r="M6" s="20"/>
      <c r="N6" s="21"/>
      <c r="O6" s="107"/>
      <c r="P6" s="22">
        <v>45901</v>
      </c>
      <c r="Q6" s="105">
        <f t="shared" si="0"/>
        <v>0</v>
      </c>
      <c r="R6" s="222" t="s">
        <v>123</v>
      </c>
      <c r="S6" s="222"/>
      <c r="T6" s="222"/>
      <c r="U6" s="107"/>
      <c r="V6" s="107"/>
    </row>
    <row r="7" spans="1:22" s="12" customFormat="1" ht="19.149999999999999" customHeight="1" x14ac:dyDescent="0.2">
      <c r="A7" s="214" t="s">
        <v>253</v>
      </c>
      <c r="B7" s="215"/>
      <c r="C7" s="215"/>
      <c r="D7" s="107"/>
      <c r="E7" s="14"/>
      <c r="F7" s="24"/>
      <c r="G7" s="25"/>
      <c r="H7" s="17"/>
      <c r="I7" s="18"/>
      <c r="J7" s="19"/>
      <c r="K7" s="14"/>
      <c r="L7" s="100"/>
      <c r="M7" s="20"/>
      <c r="N7" s="21"/>
      <c r="O7" s="107"/>
      <c r="P7" s="22">
        <v>45931</v>
      </c>
      <c r="Q7" s="105">
        <f t="shared" si="0"/>
        <v>0</v>
      </c>
      <c r="R7" s="222" t="s">
        <v>125</v>
      </c>
      <c r="S7" s="222"/>
      <c r="T7" s="222"/>
      <c r="U7" s="107"/>
      <c r="V7" s="107"/>
    </row>
    <row r="8" spans="1:22" s="12" customFormat="1" ht="19.149999999999999" customHeight="1" x14ac:dyDescent="0.2">
      <c r="A8" s="216"/>
      <c r="B8" s="217"/>
      <c r="C8" s="217"/>
      <c r="D8" s="107"/>
      <c r="E8" s="14"/>
      <c r="F8" s="24"/>
      <c r="G8" s="25"/>
      <c r="H8" s="17"/>
      <c r="I8" s="18"/>
      <c r="J8" s="19"/>
      <c r="K8" s="14"/>
      <c r="L8" s="100"/>
      <c r="M8" s="20"/>
      <c r="N8" s="21"/>
      <c r="O8" s="107"/>
      <c r="P8" s="22">
        <v>45962</v>
      </c>
      <c r="Q8" s="105">
        <f t="shared" si="0"/>
        <v>0</v>
      </c>
      <c r="R8" s="223"/>
      <c r="S8" s="223"/>
      <c r="T8" s="223"/>
      <c r="U8" s="107"/>
      <c r="V8" s="107"/>
    </row>
    <row r="9" spans="1:22" s="12" customFormat="1" ht="19.149999999999999" customHeight="1" x14ac:dyDescent="0.2">
      <c r="A9" s="216"/>
      <c r="B9" s="217"/>
      <c r="C9" s="217"/>
      <c r="D9" s="107"/>
      <c r="E9" s="14"/>
      <c r="F9" s="24"/>
      <c r="G9" s="25"/>
      <c r="H9" s="17"/>
      <c r="I9" s="18"/>
      <c r="J9" s="19"/>
      <c r="K9" s="14"/>
      <c r="L9" s="100"/>
      <c r="M9" s="20"/>
      <c r="N9" s="21"/>
      <c r="O9" s="107"/>
      <c r="P9" s="22">
        <v>45992</v>
      </c>
      <c r="Q9" s="105">
        <f t="shared" si="0"/>
        <v>0</v>
      </c>
      <c r="R9" s="224"/>
      <c r="S9" s="224"/>
      <c r="T9" s="224"/>
      <c r="U9" s="107"/>
      <c r="V9" s="107"/>
    </row>
    <row r="10" spans="1:22" s="12" customFormat="1" ht="19.149999999999999" customHeight="1" x14ac:dyDescent="0.2">
      <c r="A10" s="216"/>
      <c r="B10" s="217"/>
      <c r="C10" s="217"/>
      <c r="D10" s="107"/>
      <c r="E10" s="14"/>
      <c r="F10" s="24"/>
      <c r="G10" s="25"/>
      <c r="H10" s="17"/>
      <c r="I10" s="18"/>
      <c r="J10" s="19"/>
      <c r="K10" s="14"/>
      <c r="L10" s="100"/>
      <c r="M10" s="20"/>
      <c r="N10" s="21"/>
      <c r="O10" s="107"/>
      <c r="P10" s="22">
        <v>46023</v>
      </c>
      <c r="Q10" s="105">
        <f t="shared" si="0"/>
        <v>0</v>
      </c>
      <c r="R10" s="225" t="s">
        <v>130</v>
      </c>
      <c r="S10" s="225"/>
      <c r="T10" s="225"/>
      <c r="U10" s="107"/>
      <c r="V10" s="107"/>
    </row>
    <row r="11" spans="1:22" s="12" customFormat="1" ht="19.149999999999999" customHeight="1" x14ac:dyDescent="0.2">
      <c r="A11" s="218"/>
      <c r="B11" s="219"/>
      <c r="C11" s="219"/>
      <c r="D11" s="107"/>
      <c r="E11" s="14"/>
      <c r="F11" s="24"/>
      <c r="G11" s="25"/>
      <c r="H11" s="17"/>
      <c r="I11" s="18"/>
      <c r="J11" s="19"/>
      <c r="K11" s="14"/>
      <c r="L11" s="100"/>
      <c r="M11" s="20"/>
      <c r="N11" s="21"/>
      <c r="O11" s="107"/>
      <c r="P11" s="22">
        <v>46054</v>
      </c>
      <c r="Q11" s="105">
        <f t="shared" si="0"/>
        <v>0</v>
      </c>
      <c r="R11" s="222" t="s">
        <v>133</v>
      </c>
      <c r="S11" s="222"/>
      <c r="T11" s="222"/>
      <c r="U11" s="107"/>
      <c r="V11" s="107"/>
    </row>
    <row r="12" spans="1:22" s="12" customFormat="1" ht="19.149999999999999" customHeight="1" x14ac:dyDescent="0.2">
      <c r="A12" s="216"/>
      <c r="B12" s="217"/>
      <c r="C12" s="217"/>
      <c r="D12" s="107"/>
      <c r="E12" s="14"/>
      <c r="F12" s="24"/>
      <c r="G12" s="25"/>
      <c r="H12" s="17"/>
      <c r="I12" s="18"/>
      <c r="J12" s="19"/>
      <c r="K12" s="14"/>
      <c r="L12" s="100"/>
      <c r="M12" s="20"/>
      <c r="N12" s="21"/>
      <c r="O12" s="107"/>
      <c r="P12" s="22">
        <v>46082</v>
      </c>
      <c r="Q12" s="105">
        <f t="shared" si="0"/>
        <v>0</v>
      </c>
      <c r="R12" s="222" t="s">
        <v>136</v>
      </c>
      <c r="S12" s="222"/>
      <c r="T12" s="222"/>
      <c r="U12" s="107"/>
      <c r="V12" s="107"/>
    </row>
    <row r="13" spans="1:22" s="12" customFormat="1" ht="19.149999999999999" customHeight="1" x14ac:dyDescent="0.2">
      <c r="A13" s="218"/>
      <c r="B13" s="219"/>
      <c r="C13" s="219"/>
      <c r="D13" s="107"/>
      <c r="E13" s="14"/>
      <c r="F13" s="24"/>
      <c r="G13" s="25"/>
      <c r="H13" s="17"/>
      <c r="I13" s="18"/>
      <c r="J13" s="19"/>
      <c r="K13" s="14"/>
      <c r="L13" s="100"/>
      <c r="M13" s="20"/>
      <c r="N13" s="21"/>
      <c r="O13" s="107"/>
      <c r="P13" s="22">
        <v>46113</v>
      </c>
      <c r="Q13" s="105">
        <f t="shared" si="0"/>
        <v>0</v>
      </c>
      <c r="R13" s="222" t="s">
        <v>138</v>
      </c>
      <c r="S13" s="222"/>
      <c r="T13" s="222"/>
      <c r="U13" s="107"/>
      <c r="V13" s="107"/>
    </row>
    <row r="14" spans="1:22" s="12" customFormat="1" ht="19.149999999999999" customHeight="1" x14ac:dyDescent="0.2">
      <c r="A14" s="216"/>
      <c r="B14" s="217"/>
      <c r="C14" s="217"/>
      <c r="D14" s="107"/>
      <c r="E14" s="14"/>
      <c r="F14" s="24"/>
      <c r="G14" s="25"/>
      <c r="H14" s="17"/>
      <c r="I14" s="18"/>
      <c r="J14" s="19"/>
      <c r="K14" s="14"/>
      <c r="L14" s="100"/>
      <c r="M14" s="20"/>
      <c r="N14" s="21"/>
      <c r="O14" s="107"/>
      <c r="P14" s="22">
        <v>46143</v>
      </c>
      <c r="Q14" s="105">
        <f t="shared" si="0"/>
        <v>0</v>
      </c>
      <c r="R14" s="222" t="s">
        <v>140</v>
      </c>
      <c r="S14" s="222"/>
      <c r="T14" s="222"/>
      <c r="U14" s="107"/>
      <c r="V14" s="107"/>
    </row>
    <row r="15" spans="1:22" s="12" customFormat="1" ht="19.149999999999999" customHeight="1" x14ac:dyDescent="0.2">
      <c r="A15" s="216"/>
      <c r="B15" s="217"/>
      <c r="C15" s="217"/>
      <c r="D15" s="107"/>
      <c r="E15" s="14"/>
      <c r="F15" s="24"/>
      <c r="G15" s="25"/>
      <c r="H15" s="17"/>
      <c r="I15" s="18"/>
      <c r="J15" s="19"/>
      <c r="K15" s="14"/>
      <c r="L15" s="100"/>
      <c r="M15" s="20"/>
      <c r="N15" s="21"/>
      <c r="O15" s="107"/>
      <c r="P15" s="22">
        <v>46174</v>
      </c>
      <c r="Q15" s="105">
        <f t="shared" si="0"/>
        <v>0</v>
      </c>
      <c r="R15" s="222" t="s">
        <v>142</v>
      </c>
      <c r="S15" s="222"/>
      <c r="T15" s="222"/>
      <c r="U15" s="107"/>
      <c r="V15" s="107"/>
    </row>
    <row r="16" spans="1:22" s="12" customFormat="1" ht="19.149999999999999" customHeight="1" x14ac:dyDescent="0.2">
      <c r="A16" s="216"/>
      <c r="B16" s="217"/>
      <c r="C16" s="217"/>
      <c r="D16" s="107"/>
      <c r="E16" s="14"/>
      <c r="F16" s="24"/>
      <c r="G16" s="25"/>
      <c r="H16" s="17"/>
      <c r="I16" s="18"/>
      <c r="J16" s="19"/>
      <c r="K16" s="14"/>
      <c r="L16" s="100"/>
      <c r="M16" s="20"/>
      <c r="N16" s="21"/>
      <c r="O16" s="107"/>
      <c r="P16" s="22">
        <v>46204</v>
      </c>
      <c r="Q16" s="105">
        <f t="shared" si="0"/>
        <v>0</v>
      </c>
      <c r="R16" s="222" t="s">
        <v>144</v>
      </c>
      <c r="S16" s="222"/>
      <c r="T16" s="222"/>
      <c r="U16" s="107"/>
      <c r="V16" s="107"/>
    </row>
    <row r="17" spans="1:22" s="12" customFormat="1" ht="19.149999999999999" customHeight="1" x14ac:dyDescent="0.2">
      <c r="A17" s="214" t="s">
        <v>252</v>
      </c>
      <c r="B17" s="215"/>
      <c r="C17" s="215"/>
      <c r="D17" s="107"/>
      <c r="E17" s="14"/>
      <c r="F17" s="24"/>
      <c r="G17" s="25"/>
      <c r="H17" s="17"/>
      <c r="I17" s="18"/>
      <c r="J17" s="19"/>
      <c r="K17" s="14"/>
      <c r="L17" s="100"/>
      <c r="M17" s="20"/>
      <c r="N17" s="21"/>
      <c r="O17" s="107"/>
      <c r="P17" s="22">
        <v>46235</v>
      </c>
      <c r="Q17" s="105">
        <f t="shared" si="0"/>
        <v>0</v>
      </c>
      <c r="R17" s="223"/>
      <c r="S17" s="223"/>
      <c r="T17" s="223"/>
      <c r="U17" s="107"/>
      <c r="V17" s="107"/>
    </row>
    <row r="18" spans="1:22" s="12" customFormat="1" ht="19.149999999999999" customHeight="1" thickBot="1" x14ac:dyDescent="0.25">
      <c r="A18" s="214"/>
      <c r="B18" s="215"/>
      <c r="C18" s="215"/>
      <c r="D18" s="107"/>
      <c r="E18" s="14"/>
      <c r="F18" s="24"/>
      <c r="G18" s="25"/>
      <c r="H18" s="17"/>
      <c r="I18" s="18"/>
      <c r="J18" s="19"/>
      <c r="K18" s="14"/>
      <c r="L18" s="100"/>
      <c r="M18" s="20"/>
      <c r="N18" s="21"/>
      <c r="O18" s="107"/>
      <c r="P18" s="22">
        <v>46266</v>
      </c>
      <c r="Q18" s="105">
        <f t="shared" si="0"/>
        <v>0</v>
      </c>
      <c r="R18" s="107"/>
      <c r="S18" s="107"/>
      <c r="T18" s="107"/>
      <c r="U18" s="107"/>
      <c r="V18" s="107"/>
    </row>
    <row r="19" spans="1:22" s="12" customFormat="1" ht="19.149999999999999" customHeight="1" x14ac:dyDescent="0.2">
      <c r="A19" s="115">
        <v>0</v>
      </c>
      <c r="B19" s="115">
        <v>0</v>
      </c>
      <c r="C19" s="64" t="s">
        <v>148</v>
      </c>
      <c r="D19" s="107"/>
      <c r="E19" s="14"/>
      <c r="F19" s="24"/>
      <c r="G19" s="25"/>
      <c r="H19" s="17"/>
      <c r="I19" s="18"/>
      <c r="J19" s="19"/>
      <c r="K19" s="14"/>
      <c r="L19" s="100"/>
      <c r="M19" s="20"/>
      <c r="N19" s="21"/>
      <c r="O19" s="107"/>
      <c r="P19" s="22">
        <v>46296</v>
      </c>
      <c r="Q19" s="105">
        <f t="shared" si="0"/>
        <v>0</v>
      </c>
      <c r="R19" s="107"/>
      <c r="S19" s="107"/>
      <c r="T19" s="107"/>
      <c r="U19" s="107"/>
      <c r="V19" s="107"/>
    </row>
    <row r="20" spans="1:22" s="12" customFormat="1" ht="19.149999999999999" customHeight="1" thickBot="1" x14ac:dyDescent="0.25">
      <c r="A20" s="177"/>
      <c r="B20" s="177"/>
      <c r="C20" s="177"/>
      <c r="D20" s="107"/>
      <c r="E20" s="14"/>
      <c r="F20" s="24"/>
      <c r="G20" s="25"/>
      <c r="H20" s="17"/>
      <c r="I20" s="18"/>
      <c r="J20" s="19"/>
      <c r="K20" s="14"/>
      <c r="L20" s="100"/>
      <c r="M20" s="20"/>
      <c r="N20" s="21"/>
      <c r="O20" s="107"/>
      <c r="P20" s="22">
        <v>46327</v>
      </c>
      <c r="Q20" s="105">
        <f t="shared" si="0"/>
        <v>0</v>
      </c>
      <c r="R20" s="107"/>
      <c r="S20" s="107"/>
      <c r="T20" s="107"/>
      <c r="U20" s="107"/>
      <c r="V20" s="107"/>
    </row>
    <row r="21" spans="1:22" s="12" customFormat="1" ht="19.149999999999999" customHeight="1" thickBot="1" x14ac:dyDescent="0.25">
      <c r="A21" s="205" t="s">
        <v>47</v>
      </c>
      <c r="B21" s="206"/>
      <c r="C21" s="207"/>
      <c r="D21" s="107"/>
      <c r="E21" s="14"/>
      <c r="F21" s="24"/>
      <c r="G21" s="25"/>
      <c r="H21" s="17"/>
      <c r="I21" s="18"/>
      <c r="J21" s="19"/>
      <c r="K21" s="14"/>
      <c r="L21" s="100"/>
      <c r="M21" s="20"/>
      <c r="N21" s="21"/>
      <c r="O21" s="107"/>
      <c r="P21" s="22">
        <v>46357</v>
      </c>
      <c r="Q21" s="105">
        <f t="shared" si="0"/>
        <v>0</v>
      </c>
      <c r="R21" s="107"/>
      <c r="S21" s="107"/>
      <c r="T21" s="107"/>
      <c r="U21" s="107"/>
      <c r="V21" s="107"/>
    </row>
    <row r="22" spans="1:22" s="12" customFormat="1" ht="19.149999999999999" customHeight="1" x14ac:dyDescent="0.2">
      <c r="A22" s="66" t="s">
        <v>22</v>
      </c>
      <c r="B22" s="65" t="s">
        <v>48</v>
      </c>
      <c r="C22" s="67" t="s">
        <v>49</v>
      </c>
      <c r="D22" s="107"/>
      <c r="E22" s="14"/>
      <c r="F22" s="24"/>
      <c r="G22" s="25"/>
      <c r="H22" s="17"/>
      <c r="I22" s="18"/>
      <c r="J22" s="19"/>
      <c r="K22" s="14"/>
      <c r="L22" s="100"/>
      <c r="M22" s="20"/>
      <c r="N22" s="21"/>
      <c r="O22" s="107"/>
      <c r="P22" s="22">
        <v>46388</v>
      </c>
      <c r="Q22" s="105">
        <f t="shared" si="0"/>
        <v>0</v>
      </c>
      <c r="R22" s="107"/>
      <c r="S22" s="107"/>
      <c r="T22" s="107"/>
      <c r="U22" s="107"/>
      <c r="V22" s="107"/>
    </row>
    <row r="23" spans="1:22" s="12" customFormat="1" ht="19.149999999999999" customHeight="1" thickBot="1" x14ac:dyDescent="0.25">
      <c r="A23" s="68">
        <f>SUMIFS(H2:H167,F2:F167,"&lt;&gt;")</f>
        <v>0</v>
      </c>
      <c r="B23" s="69">
        <f>SUMIFS(I2:I167,F2:F167,"&lt;&gt;")</f>
        <v>0</v>
      </c>
      <c r="C23" s="70">
        <f>COUNT(N2:N300, "?*")</f>
        <v>0</v>
      </c>
      <c r="D23" s="107"/>
      <c r="E23" s="14"/>
      <c r="F23" s="24"/>
      <c r="G23" s="25"/>
      <c r="H23" s="17"/>
      <c r="I23" s="18"/>
      <c r="J23" s="19"/>
      <c r="K23" s="14"/>
      <c r="L23" s="100"/>
      <c r="M23" s="20"/>
      <c r="N23" s="21"/>
      <c r="O23" s="107"/>
      <c r="P23" s="22">
        <v>46419</v>
      </c>
      <c r="Q23" s="105">
        <f t="shared" si="0"/>
        <v>0</v>
      </c>
      <c r="R23" s="107"/>
      <c r="S23" s="107"/>
      <c r="T23" s="107"/>
      <c r="U23" s="107"/>
      <c r="V23" s="107"/>
    </row>
    <row r="24" spans="1:22" s="12" customFormat="1" ht="19.149999999999999" customHeight="1" x14ac:dyDescent="0.2">
      <c r="A24" s="66" t="s">
        <v>154</v>
      </c>
      <c r="B24" s="65" t="s">
        <v>51</v>
      </c>
      <c r="C24" s="67" t="s">
        <v>52</v>
      </c>
      <c r="D24" s="107"/>
      <c r="E24" s="14"/>
      <c r="F24" s="24"/>
      <c r="G24" s="25"/>
      <c r="H24" s="17"/>
      <c r="I24" s="18"/>
      <c r="J24" s="19"/>
      <c r="K24" s="14"/>
      <c r="L24" s="100"/>
      <c r="M24" s="20"/>
      <c r="N24" s="21"/>
      <c r="O24" s="107"/>
      <c r="P24" s="22">
        <v>46447</v>
      </c>
      <c r="Q24" s="105">
        <f t="shared" si="0"/>
        <v>0</v>
      </c>
      <c r="R24" s="107"/>
      <c r="S24" s="107"/>
      <c r="T24" s="107"/>
      <c r="U24" s="107"/>
      <c r="V24" s="107"/>
    </row>
    <row r="25" spans="1:22" s="12" customFormat="1" ht="19.149999999999999" customHeight="1" thickBot="1" x14ac:dyDescent="0.25">
      <c r="A25" s="141" t="e">
        <f>AVERAGE(N2:N500)</f>
        <v>#DIV/0!</v>
      </c>
      <c r="B25" s="139" t="e">
        <f>TEXT(B23/A23, "0.00%")</f>
        <v>#DIV/0!</v>
      </c>
      <c r="C25" s="142" t="e">
        <f>SUMPRODUCT(H2:H500, E2:E500) / SUM(H2:H500)</f>
        <v>#DIV/0!</v>
      </c>
      <c r="D25" s="107"/>
      <c r="E25" s="14"/>
      <c r="F25" s="24"/>
      <c r="G25" s="25"/>
      <c r="H25" s="17"/>
      <c r="I25" s="18"/>
      <c r="J25" s="19"/>
      <c r="K25" s="14"/>
      <c r="L25" s="100"/>
      <c r="M25" s="20"/>
      <c r="N25" s="21"/>
      <c r="O25" s="107"/>
      <c r="P25" s="22">
        <v>46478</v>
      </c>
      <c r="Q25" s="105">
        <f t="shared" si="0"/>
        <v>0</v>
      </c>
      <c r="R25" s="107"/>
      <c r="S25" s="107"/>
      <c r="T25" s="107"/>
      <c r="U25" s="107"/>
      <c r="V25" s="107"/>
    </row>
    <row r="26" spans="1:22" s="12" customFormat="1" ht="19.149999999999999" customHeight="1" x14ac:dyDescent="0.2">
      <c r="A26" s="111" t="s">
        <v>53</v>
      </c>
      <c r="B26" s="110" t="s">
        <v>54</v>
      </c>
      <c r="C26" s="66" t="s">
        <v>55</v>
      </c>
      <c r="D26" s="107"/>
      <c r="E26" s="14"/>
      <c r="F26" s="24"/>
      <c r="G26" s="25"/>
      <c r="H26" s="17"/>
      <c r="I26" s="18"/>
      <c r="J26" s="19"/>
      <c r="K26" s="14"/>
      <c r="L26" s="100"/>
      <c r="M26" s="20"/>
      <c r="N26" s="21"/>
      <c r="O26" s="107"/>
      <c r="P26" s="22">
        <v>46508</v>
      </c>
      <c r="Q26" s="105">
        <f t="shared" si="0"/>
        <v>0</v>
      </c>
      <c r="R26" s="107"/>
      <c r="S26" s="107"/>
      <c r="T26" s="107"/>
      <c r="U26" s="107"/>
      <c r="V26" s="107"/>
    </row>
    <row r="27" spans="1:22" s="12" customFormat="1" ht="19.149999999999999" customHeight="1" x14ac:dyDescent="0.2">
      <c r="A27" s="73">
        <f>COUNTIF(K2:K300, "CHECK!")</f>
        <v>0</v>
      </c>
      <c r="B27" s="73">
        <f>COUNTIF(K2:K300, "WAITING")</f>
        <v>0</v>
      </c>
      <c r="C27" s="73">
        <f>COUNTIF(K2:K300, "Paid")</f>
        <v>0</v>
      </c>
      <c r="D27" s="107"/>
      <c r="E27" s="14"/>
      <c r="F27" s="24"/>
      <c r="G27" s="25"/>
      <c r="H27" s="17"/>
      <c r="I27" s="18"/>
      <c r="J27" s="19"/>
      <c r="K27" s="14"/>
      <c r="L27" s="100"/>
      <c r="M27" s="20"/>
      <c r="N27" s="21"/>
      <c r="O27" s="107"/>
      <c r="P27" s="22">
        <v>46539</v>
      </c>
      <c r="Q27" s="105">
        <f t="shared" si="0"/>
        <v>0</v>
      </c>
      <c r="R27" s="107"/>
      <c r="S27" s="107"/>
      <c r="T27" s="107"/>
      <c r="U27" s="107"/>
      <c r="V27" s="107"/>
    </row>
    <row r="28" spans="1:22" s="12" customFormat="1" ht="19.149999999999999" customHeight="1" x14ac:dyDescent="0.2">
      <c r="A28" s="177"/>
      <c r="B28" s="177"/>
      <c r="C28" s="177"/>
      <c r="D28" s="107"/>
      <c r="E28" s="14"/>
      <c r="F28" s="24"/>
      <c r="G28" s="25"/>
      <c r="H28" s="17"/>
      <c r="I28" s="18"/>
      <c r="J28" s="19"/>
      <c r="K28" s="14"/>
      <c r="L28" s="100"/>
      <c r="M28" s="20"/>
      <c r="N28" s="21"/>
      <c r="O28" s="107"/>
      <c r="P28" s="22">
        <v>46569</v>
      </c>
      <c r="Q28" s="105">
        <f t="shared" si="0"/>
        <v>0</v>
      </c>
      <c r="R28" s="107"/>
      <c r="S28" s="107"/>
      <c r="T28" s="107"/>
      <c r="U28" s="107"/>
      <c r="V28" s="107"/>
    </row>
    <row r="29" spans="1:22" s="12" customFormat="1" ht="19.149999999999999" customHeight="1" thickBot="1" x14ac:dyDescent="0.25">
      <c r="A29" s="177"/>
      <c r="B29" s="177"/>
      <c r="C29" s="177"/>
      <c r="D29" s="107"/>
      <c r="E29" s="14"/>
      <c r="F29" s="24"/>
      <c r="G29" s="25"/>
      <c r="H29" s="17"/>
      <c r="I29" s="18"/>
      <c r="J29" s="19"/>
      <c r="K29" s="14"/>
      <c r="L29" s="100"/>
      <c r="M29" s="20"/>
      <c r="N29" s="21"/>
      <c r="O29" s="107"/>
      <c r="P29" s="22">
        <v>46600</v>
      </c>
      <c r="Q29" s="105">
        <f t="shared" si="0"/>
        <v>0</v>
      </c>
      <c r="R29" s="107"/>
      <c r="S29" s="107"/>
      <c r="T29" s="107"/>
      <c r="U29" s="107"/>
      <c r="V29" s="107"/>
    </row>
    <row r="30" spans="1:22" s="12" customFormat="1" ht="19.149999999999999" customHeight="1" x14ac:dyDescent="0.2">
      <c r="A30" s="71" t="s">
        <v>161</v>
      </c>
      <c r="B30" s="109" t="s">
        <v>162</v>
      </c>
      <c r="C30" s="109" t="s">
        <v>163</v>
      </c>
      <c r="D30" s="107"/>
      <c r="E30" s="14"/>
      <c r="F30" s="24"/>
      <c r="G30" s="25"/>
      <c r="H30" s="17"/>
      <c r="I30" s="18"/>
      <c r="J30" s="19"/>
      <c r="K30" s="14"/>
      <c r="L30" s="100"/>
      <c r="M30" s="20"/>
      <c r="N30" s="21"/>
      <c r="O30" s="107"/>
      <c r="P30" s="22">
        <v>46631</v>
      </c>
      <c r="Q30" s="105">
        <f t="shared" si="0"/>
        <v>0</v>
      </c>
      <c r="R30" s="107"/>
      <c r="S30" s="107"/>
      <c r="T30" s="107"/>
      <c r="U30" s="107"/>
      <c r="V30" s="107"/>
    </row>
    <row r="31" spans="1:22" s="12" customFormat="1" ht="19.149999999999999" customHeight="1" x14ac:dyDescent="0.2">
      <c r="A31" s="72">
        <f>SUMIFS(H2:H167,G2:G167,"&lt;&gt;")</f>
        <v>0</v>
      </c>
      <c r="B31" s="55">
        <f>SUMIFS(I2:I167,G2:G167,"&lt;&gt;")</f>
        <v>0</v>
      </c>
      <c r="C31" s="55">
        <f>A31+B31</f>
        <v>0</v>
      </c>
      <c r="D31" s="107"/>
      <c r="E31" s="14"/>
      <c r="F31" s="24"/>
      <c r="G31" s="25"/>
      <c r="H31" s="17"/>
      <c r="I31" s="18"/>
      <c r="J31" s="19"/>
      <c r="K31" s="14"/>
      <c r="L31" s="100"/>
      <c r="M31" s="20"/>
      <c r="N31" s="21"/>
      <c r="O31" s="107"/>
      <c r="P31" s="22">
        <v>46661</v>
      </c>
      <c r="Q31" s="105">
        <f t="shared" si="0"/>
        <v>0</v>
      </c>
      <c r="R31" s="107"/>
      <c r="S31" s="107"/>
      <c r="T31" s="107"/>
      <c r="U31" s="107"/>
      <c r="V31" s="107"/>
    </row>
    <row r="32" spans="1:22" s="12" customFormat="1" ht="19.149999999999999" customHeight="1" x14ac:dyDescent="0.2">
      <c r="A32" s="221" t="s">
        <v>163</v>
      </c>
      <c r="B32" s="221"/>
      <c r="C32" s="221"/>
      <c r="D32" s="107"/>
      <c r="E32" s="14"/>
      <c r="F32" s="24"/>
      <c r="G32" s="25"/>
      <c r="H32" s="17"/>
      <c r="I32" s="18"/>
      <c r="J32" s="19"/>
      <c r="K32" s="14"/>
      <c r="L32" s="100"/>
      <c r="M32" s="20"/>
      <c r="N32" s="21"/>
      <c r="O32" s="107"/>
      <c r="P32" s="22">
        <v>46692</v>
      </c>
      <c r="Q32" s="105">
        <f t="shared" si="0"/>
        <v>0</v>
      </c>
      <c r="R32" s="107"/>
      <c r="S32" s="107"/>
      <c r="T32" s="107"/>
      <c r="U32" s="107"/>
      <c r="V32" s="107"/>
    </row>
    <row r="33" spans="1:22" s="12" customFormat="1" ht="19.149999999999999" customHeight="1" x14ac:dyDescent="0.2">
      <c r="A33" s="220" t="s">
        <v>167</v>
      </c>
      <c r="B33" s="220"/>
      <c r="C33" s="220"/>
      <c r="D33" s="107"/>
      <c r="E33" s="14"/>
      <c r="F33" s="24"/>
      <c r="G33" s="25"/>
      <c r="H33" s="17"/>
      <c r="I33" s="18"/>
      <c r="J33" s="19"/>
      <c r="K33" s="14"/>
      <c r="L33" s="100"/>
      <c r="M33" s="20"/>
      <c r="N33" s="21"/>
      <c r="O33" s="107"/>
      <c r="P33" s="22">
        <v>46722</v>
      </c>
      <c r="Q33" s="105">
        <f t="shared" si="0"/>
        <v>0</v>
      </c>
      <c r="R33" s="107"/>
      <c r="S33" s="107"/>
      <c r="T33" s="107"/>
      <c r="U33" s="107"/>
      <c r="V33" s="107"/>
    </row>
    <row r="34" spans="1:22" s="12" customFormat="1" ht="19.149999999999999" customHeight="1" x14ac:dyDescent="0.2">
      <c r="A34" s="220" t="s">
        <v>169</v>
      </c>
      <c r="B34" s="220"/>
      <c r="C34" s="220"/>
      <c r="D34" s="107"/>
      <c r="E34" s="14"/>
      <c r="F34" s="24"/>
      <c r="G34" s="25"/>
      <c r="H34" s="17"/>
      <c r="I34" s="18"/>
      <c r="J34" s="19"/>
      <c r="K34" s="14"/>
      <c r="L34" s="100"/>
      <c r="M34" s="20"/>
      <c r="N34" s="21"/>
      <c r="O34" s="107"/>
      <c r="P34" s="22">
        <v>46753</v>
      </c>
      <c r="Q34" s="105">
        <f t="shared" si="0"/>
        <v>0</v>
      </c>
      <c r="R34" s="107"/>
      <c r="S34" s="107"/>
      <c r="T34" s="107"/>
      <c r="U34" s="107"/>
      <c r="V34" s="107"/>
    </row>
    <row r="35" spans="1:22" s="12" customFormat="1" ht="19.149999999999999" customHeight="1" x14ac:dyDescent="0.2">
      <c r="A35" s="220" t="s">
        <v>239</v>
      </c>
      <c r="B35" s="220"/>
      <c r="C35" s="220"/>
      <c r="D35" s="107"/>
      <c r="E35" s="14"/>
      <c r="F35" s="24"/>
      <c r="G35" s="25"/>
      <c r="H35" s="17"/>
      <c r="I35" s="18"/>
      <c r="J35" s="19"/>
      <c r="K35" s="14"/>
      <c r="L35" s="100"/>
      <c r="M35" s="20"/>
      <c r="N35" s="21"/>
      <c r="O35" s="107"/>
      <c r="P35" s="22">
        <v>46784</v>
      </c>
      <c r="Q35" s="105">
        <f t="shared" si="0"/>
        <v>0</v>
      </c>
      <c r="R35" s="107"/>
      <c r="S35" s="107"/>
      <c r="T35" s="107"/>
      <c r="U35" s="107"/>
      <c r="V35" s="107"/>
    </row>
    <row r="36" spans="1:22" s="12" customFormat="1" ht="19.149999999999999" customHeight="1" x14ac:dyDescent="0.2">
      <c r="A36" s="220" t="s">
        <v>174</v>
      </c>
      <c r="B36" s="220"/>
      <c r="C36" s="220"/>
      <c r="D36" s="107"/>
      <c r="E36" s="14"/>
      <c r="F36" s="24"/>
      <c r="G36" s="25"/>
      <c r="H36" s="17"/>
      <c r="I36" s="18"/>
      <c r="J36" s="19"/>
      <c r="K36" s="14"/>
      <c r="L36" s="100"/>
      <c r="M36" s="20"/>
      <c r="N36" s="21"/>
      <c r="O36" s="107"/>
      <c r="P36" s="22">
        <v>46813</v>
      </c>
      <c r="Q36" s="105">
        <f t="shared" si="0"/>
        <v>0</v>
      </c>
      <c r="R36" s="107"/>
      <c r="S36" s="107"/>
      <c r="T36" s="107"/>
      <c r="U36" s="107"/>
      <c r="V36" s="107"/>
    </row>
    <row r="37" spans="1:22" s="12" customFormat="1" ht="19.149999999999999" customHeight="1" x14ac:dyDescent="0.2">
      <c r="A37" s="220" t="s">
        <v>240</v>
      </c>
      <c r="B37" s="220"/>
      <c r="C37" s="220"/>
      <c r="D37" s="107"/>
      <c r="E37" s="14"/>
      <c r="F37" s="24"/>
      <c r="G37" s="25"/>
      <c r="H37" s="17"/>
      <c r="I37" s="18"/>
      <c r="J37" s="19"/>
      <c r="K37" s="14"/>
      <c r="L37" s="100"/>
      <c r="M37" s="20"/>
      <c r="N37" s="21"/>
      <c r="O37" s="107"/>
      <c r="P37" s="22">
        <v>46844</v>
      </c>
      <c r="Q37" s="105">
        <f t="shared" si="0"/>
        <v>0</v>
      </c>
      <c r="R37" s="107"/>
      <c r="S37" s="107"/>
      <c r="T37" s="107"/>
      <c r="U37" s="107"/>
      <c r="V37" s="107"/>
    </row>
    <row r="38" spans="1:22" s="12" customFormat="1" ht="19.149999999999999" customHeight="1" x14ac:dyDescent="0.2">
      <c r="A38" s="231"/>
      <c r="B38" s="231"/>
      <c r="C38" s="231"/>
      <c r="D38" s="107"/>
      <c r="E38" s="14"/>
      <c r="F38" s="24"/>
      <c r="G38" s="25"/>
      <c r="H38" s="17"/>
      <c r="I38" s="18"/>
      <c r="J38" s="19"/>
      <c r="K38" s="14"/>
      <c r="L38" s="100"/>
      <c r="M38" s="20"/>
      <c r="N38" s="21"/>
      <c r="O38" s="107"/>
      <c r="P38" s="22">
        <v>46874</v>
      </c>
      <c r="Q38" s="105">
        <f t="shared" si="0"/>
        <v>0</v>
      </c>
      <c r="R38" s="107"/>
      <c r="S38" s="107"/>
      <c r="T38" s="107"/>
      <c r="U38" s="107"/>
      <c r="V38" s="107"/>
    </row>
    <row r="39" spans="1:22" s="12" customFormat="1" ht="19.149999999999999" customHeight="1" x14ac:dyDescent="0.2">
      <c r="A39" s="220" t="s">
        <v>37</v>
      </c>
      <c r="B39" s="220"/>
      <c r="C39" s="220"/>
      <c r="D39" s="107"/>
      <c r="E39" s="14"/>
      <c r="F39" s="24"/>
      <c r="G39" s="25"/>
      <c r="H39" s="17"/>
      <c r="I39" s="18"/>
      <c r="J39" s="19"/>
      <c r="K39" s="14"/>
      <c r="L39" s="100"/>
      <c r="M39" s="20"/>
      <c r="N39" s="21"/>
      <c r="O39" s="107"/>
      <c r="P39" s="22">
        <v>46905</v>
      </c>
      <c r="Q39" s="105">
        <f t="shared" si="0"/>
        <v>0</v>
      </c>
      <c r="R39" s="107"/>
      <c r="S39" s="107"/>
      <c r="T39" s="107"/>
      <c r="U39" s="107"/>
      <c r="V39" s="107"/>
    </row>
    <row r="40" spans="1:22" s="12" customFormat="1" ht="19.149999999999999" customHeight="1" x14ac:dyDescent="0.2">
      <c r="A40" s="220" t="s">
        <v>38</v>
      </c>
      <c r="B40" s="220"/>
      <c r="C40" s="220"/>
      <c r="D40" s="107"/>
      <c r="E40" s="14"/>
      <c r="F40" s="24"/>
      <c r="G40" s="25"/>
      <c r="H40" s="17"/>
      <c r="I40" s="18"/>
      <c r="J40" s="19"/>
      <c r="K40" s="14"/>
      <c r="L40" s="100"/>
      <c r="M40" s="20"/>
      <c r="N40" s="21"/>
      <c r="O40" s="107"/>
      <c r="P40" s="22">
        <v>46935</v>
      </c>
      <c r="Q40" s="105">
        <f t="shared" si="0"/>
        <v>0</v>
      </c>
      <c r="R40" s="107"/>
      <c r="S40" s="107"/>
      <c r="T40" s="107"/>
      <c r="U40" s="107"/>
      <c r="V40" s="107"/>
    </row>
    <row r="41" spans="1:22" s="12" customFormat="1" ht="19.149999999999999" customHeight="1" x14ac:dyDescent="0.2">
      <c r="A41" s="221" t="s">
        <v>163</v>
      </c>
      <c r="B41" s="221"/>
      <c r="C41" s="221"/>
      <c r="D41" s="107"/>
      <c r="E41" s="14"/>
      <c r="F41" s="24"/>
      <c r="G41" s="25"/>
      <c r="H41" s="17"/>
      <c r="I41" s="18"/>
      <c r="J41" s="19"/>
      <c r="K41" s="14"/>
      <c r="L41" s="100"/>
      <c r="M41" s="20"/>
      <c r="N41" s="21"/>
      <c r="O41" s="107"/>
      <c r="P41" s="22">
        <v>46966</v>
      </c>
      <c r="Q41" s="105">
        <f t="shared" si="0"/>
        <v>0</v>
      </c>
      <c r="R41" s="107"/>
      <c r="S41" s="107"/>
      <c r="T41" s="107"/>
      <c r="U41" s="107"/>
      <c r="V41" s="107"/>
    </row>
    <row r="42" spans="1:22" s="12" customFormat="1" ht="19.149999999999999" customHeight="1" x14ac:dyDescent="0.2">
      <c r="A42" s="221" t="s">
        <v>163</v>
      </c>
      <c r="B42" s="221"/>
      <c r="C42" s="221"/>
      <c r="D42" s="107"/>
      <c r="E42" s="14"/>
      <c r="F42" s="24"/>
      <c r="G42" s="25"/>
      <c r="H42" s="17"/>
      <c r="I42" s="18"/>
      <c r="J42" s="19"/>
      <c r="K42" s="14"/>
      <c r="L42" s="100"/>
      <c r="M42" s="20"/>
      <c r="N42" s="21"/>
      <c r="O42" s="107"/>
      <c r="P42" s="22">
        <v>46997</v>
      </c>
      <c r="Q42" s="105">
        <f t="shared" si="0"/>
        <v>0</v>
      </c>
      <c r="R42" s="107"/>
      <c r="S42" s="107"/>
      <c r="T42" s="107"/>
      <c r="U42" s="107"/>
      <c r="V42" s="107"/>
    </row>
    <row r="43" spans="1:22" s="12" customFormat="1" ht="19.149999999999999" customHeight="1" x14ac:dyDescent="0.2">
      <c r="A43" s="107"/>
      <c r="B43" s="107"/>
      <c r="C43" s="177"/>
      <c r="D43" s="107"/>
      <c r="E43" s="14"/>
      <c r="F43" s="24"/>
      <c r="G43" s="25"/>
      <c r="H43" s="17"/>
      <c r="I43" s="18"/>
      <c r="J43" s="19"/>
      <c r="K43" s="14"/>
      <c r="L43" s="100"/>
      <c r="M43" s="20"/>
      <c r="N43" s="21"/>
      <c r="O43" s="107"/>
      <c r="P43" s="22">
        <v>47027</v>
      </c>
      <c r="Q43" s="105">
        <f t="shared" si="0"/>
        <v>0</v>
      </c>
      <c r="R43" s="107"/>
      <c r="S43" s="107"/>
      <c r="T43" s="107"/>
      <c r="U43" s="107"/>
      <c r="V43" s="107"/>
    </row>
    <row r="44" spans="1:22" s="12" customFormat="1" ht="19.149999999999999" customHeight="1" x14ac:dyDescent="0.2">
      <c r="A44" s="74"/>
      <c r="B44" s="74"/>
      <c r="C44" s="74"/>
      <c r="D44" s="107"/>
      <c r="E44" s="14"/>
      <c r="F44" s="24"/>
      <c r="G44" s="25"/>
      <c r="H44" s="17"/>
      <c r="I44" s="18"/>
      <c r="J44" s="19"/>
      <c r="K44" s="14"/>
      <c r="L44" s="100"/>
      <c r="M44" s="20"/>
      <c r="N44" s="21"/>
      <c r="O44" s="107"/>
      <c r="P44" s="22">
        <v>47058</v>
      </c>
      <c r="Q44" s="105">
        <f t="shared" si="0"/>
        <v>0</v>
      </c>
      <c r="R44" s="107"/>
      <c r="S44" s="107"/>
      <c r="T44" s="107"/>
      <c r="U44" s="107"/>
      <c r="V44" s="107"/>
    </row>
    <row r="45" spans="1:22" s="12" customFormat="1" ht="19.149999999999999" customHeight="1" x14ac:dyDescent="0.2">
      <c r="A45" s="220"/>
      <c r="B45" s="220"/>
      <c r="C45" s="220"/>
      <c r="D45" s="107"/>
      <c r="E45" s="14"/>
      <c r="F45" s="24"/>
      <c r="G45" s="25"/>
      <c r="H45" s="17"/>
      <c r="I45" s="18"/>
      <c r="J45" s="19"/>
      <c r="K45" s="14"/>
      <c r="L45" s="100"/>
      <c r="M45" s="20"/>
      <c r="N45" s="21"/>
      <c r="O45" s="107"/>
      <c r="P45" s="22">
        <v>47088</v>
      </c>
      <c r="Q45" s="105">
        <f t="shared" si="0"/>
        <v>0</v>
      </c>
      <c r="R45" s="107"/>
      <c r="S45" s="107"/>
      <c r="T45" s="107"/>
      <c r="U45" s="107"/>
      <c r="V45" s="107"/>
    </row>
    <row r="46" spans="1:22" s="12" customFormat="1" ht="19.149999999999999" customHeight="1" x14ac:dyDescent="0.2">
      <c r="A46" s="220"/>
      <c r="B46" s="220"/>
      <c r="C46" s="220"/>
      <c r="D46" s="107"/>
      <c r="E46" s="14"/>
      <c r="F46" s="24"/>
      <c r="G46" s="25"/>
      <c r="H46" s="17"/>
      <c r="I46" s="18"/>
      <c r="J46" s="19"/>
      <c r="K46" s="14"/>
      <c r="L46" s="100"/>
      <c r="M46" s="20"/>
      <c r="N46" s="21"/>
      <c r="O46" s="107"/>
      <c r="P46" s="22">
        <v>47119</v>
      </c>
      <c r="Q46" s="105">
        <f t="shared" si="0"/>
        <v>0</v>
      </c>
      <c r="R46" s="107"/>
      <c r="S46" s="107"/>
      <c r="T46" s="107"/>
      <c r="U46" s="107"/>
      <c r="V46" s="107"/>
    </row>
    <row r="47" spans="1:22" s="12" customFormat="1" ht="19.149999999999999" customHeight="1" x14ac:dyDescent="0.2">
      <c r="A47" s="220"/>
      <c r="B47" s="220"/>
      <c r="C47" s="220"/>
      <c r="D47" s="107"/>
      <c r="E47" s="14"/>
      <c r="F47" s="24"/>
      <c r="G47" s="25"/>
      <c r="H47" s="17"/>
      <c r="I47" s="18"/>
      <c r="J47" s="19"/>
      <c r="K47" s="14"/>
      <c r="L47" s="100"/>
      <c r="M47" s="20"/>
      <c r="N47" s="21"/>
      <c r="O47" s="107"/>
      <c r="P47" s="22">
        <v>47150</v>
      </c>
      <c r="Q47" s="105">
        <f t="shared" si="0"/>
        <v>0</v>
      </c>
      <c r="R47" s="107"/>
      <c r="S47" s="107"/>
      <c r="T47" s="107"/>
      <c r="U47" s="107"/>
      <c r="V47" s="107"/>
    </row>
    <row r="48" spans="1:22" s="12" customFormat="1" ht="19.149999999999999" customHeight="1" x14ac:dyDescent="0.2">
      <c r="A48" s="220"/>
      <c r="B48" s="220"/>
      <c r="C48" s="220"/>
      <c r="D48" s="107"/>
      <c r="E48" s="14"/>
      <c r="F48" s="24"/>
      <c r="G48" s="25"/>
      <c r="H48" s="17"/>
      <c r="I48" s="18"/>
      <c r="J48" s="19"/>
      <c r="K48" s="14"/>
      <c r="L48" s="100"/>
      <c r="M48" s="20"/>
      <c r="N48" s="21"/>
      <c r="O48" s="107"/>
      <c r="P48" s="22">
        <v>47178</v>
      </c>
      <c r="Q48" s="105">
        <f t="shared" si="0"/>
        <v>0</v>
      </c>
      <c r="R48" s="107"/>
      <c r="S48" s="107"/>
      <c r="T48" s="107"/>
      <c r="U48" s="107"/>
      <c r="V48" s="107"/>
    </row>
    <row r="49" spans="1:22" s="12" customFormat="1" ht="19.149999999999999" customHeight="1" x14ac:dyDescent="0.2">
      <c r="A49" s="220"/>
      <c r="B49" s="220"/>
      <c r="C49" s="220"/>
      <c r="D49" s="107"/>
      <c r="E49" s="14"/>
      <c r="F49" s="24"/>
      <c r="G49" s="25"/>
      <c r="H49" s="17"/>
      <c r="I49" s="18"/>
      <c r="J49" s="19"/>
      <c r="K49" s="14"/>
      <c r="L49" s="100"/>
      <c r="M49" s="20"/>
      <c r="N49" s="21"/>
      <c r="O49" s="107"/>
      <c r="P49" s="22">
        <v>47209</v>
      </c>
      <c r="Q49" s="105">
        <f t="shared" si="0"/>
        <v>0</v>
      </c>
      <c r="R49" s="107"/>
      <c r="S49" s="107"/>
      <c r="T49" s="107"/>
      <c r="U49" s="107"/>
      <c r="V49" s="107"/>
    </row>
    <row r="50" spans="1:22" s="12" customFormat="1" ht="19.149999999999999" customHeight="1" x14ac:dyDescent="0.2">
      <c r="A50" s="231"/>
      <c r="B50" s="231"/>
      <c r="C50" s="231"/>
      <c r="D50" s="107"/>
      <c r="E50" s="14"/>
      <c r="F50" s="24"/>
      <c r="G50" s="25"/>
      <c r="H50" s="17"/>
      <c r="I50" s="18"/>
      <c r="J50" s="19"/>
      <c r="K50" s="14"/>
      <c r="L50" s="100"/>
      <c r="M50" s="20"/>
      <c r="N50" s="21"/>
      <c r="O50" s="107"/>
      <c r="P50" s="22">
        <v>47239</v>
      </c>
      <c r="Q50" s="105">
        <f t="shared" si="0"/>
        <v>0</v>
      </c>
      <c r="R50" s="107"/>
      <c r="S50" s="107"/>
      <c r="T50" s="107"/>
      <c r="U50" s="107"/>
      <c r="V50" s="107"/>
    </row>
    <row r="51" spans="1:22" s="12" customFormat="1" ht="19.149999999999999" customHeight="1" x14ac:dyDescent="0.2">
      <c r="A51" s="220"/>
      <c r="B51" s="220"/>
      <c r="C51" s="220"/>
      <c r="D51" s="107"/>
      <c r="E51" s="14"/>
      <c r="F51" s="24"/>
      <c r="G51" s="25"/>
      <c r="H51" s="17"/>
      <c r="I51" s="18"/>
      <c r="J51" s="19"/>
      <c r="K51" s="14"/>
      <c r="L51" s="100"/>
      <c r="M51" s="20"/>
      <c r="N51" s="21"/>
      <c r="O51" s="107"/>
      <c r="P51" s="22">
        <v>47270</v>
      </c>
      <c r="Q51" s="105">
        <f t="shared" si="0"/>
        <v>0</v>
      </c>
      <c r="R51" s="107"/>
      <c r="S51" s="107"/>
      <c r="T51" s="107"/>
      <c r="U51" s="107"/>
      <c r="V51" s="107"/>
    </row>
    <row r="52" spans="1:22" s="12" customFormat="1" ht="19.149999999999999" customHeight="1" x14ac:dyDescent="0.2">
      <c r="A52" s="220"/>
      <c r="B52" s="220"/>
      <c r="C52" s="220"/>
      <c r="D52" s="107"/>
      <c r="E52" s="14"/>
      <c r="F52" s="24"/>
      <c r="G52" s="25"/>
      <c r="H52" s="17"/>
      <c r="I52" s="18"/>
      <c r="J52" s="19"/>
      <c r="K52" s="14"/>
      <c r="L52" s="100"/>
      <c r="M52" s="20"/>
      <c r="N52" s="21"/>
      <c r="O52" s="107"/>
      <c r="P52" s="22">
        <v>47300</v>
      </c>
      <c r="Q52" s="105">
        <f t="shared" si="0"/>
        <v>0</v>
      </c>
      <c r="R52" s="107"/>
      <c r="S52" s="107"/>
      <c r="T52" s="107"/>
      <c r="U52" s="107"/>
      <c r="V52" s="107"/>
    </row>
    <row r="53" spans="1:22" s="12" customFormat="1" ht="19.149999999999999" customHeight="1" x14ac:dyDescent="0.2">
      <c r="A53" s="177"/>
      <c r="B53" s="177"/>
      <c r="C53" s="177"/>
      <c r="D53" s="107"/>
      <c r="E53" s="14"/>
      <c r="F53" s="24"/>
      <c r="G53" s="25"/>
      <c r="H53" s="17"/>
      <c r="I53" s="18"/>
      <c r="J53" s="19"/>
      <c r="K53" s="14"/>
      <c r="L53" s="100"/>
      <c r="M53" s="20"/>
      <c r="N53" s="21"/>
      <c r="O53" s="107"/>
      <c r="P53" s="22">
        <v>47331</v>
      </c>
      <c r="Q53" s="105">
        <f t="shared" si="0"/>
        <v>0</v>
      </c>
      <c r="R53" s="107"/>
      <c r="S53" s="107"/>
      <c r="T53" s="107"/>
      <c r="U53" s="107"/>
      <c r="V53" s="107"/>
    </row>
    <row r="54" spans="1:22" s="12" customFormat="1" ht="19.149999999999999" customHeight="1" x14ac:dyDescent="0.2">
      <c r="A54" s="177"/>
      <c r="B54" s="177"/>
      <c r="C54" s="177"/>
      <c r="D54" s="107"/>
      <c r="E54" s="14"/>
      <c r="F54" s="24"/>
      <c r="G54" s="25"/>
      <c r="H54" s="17"/>
      <c r="I54" s="18"/>
      <c r="J54" s="19"/>
      <c r="K54" s="14"/>
      <c r="L54" s="100"/>
      <c r="M54" s="20"/>
      <c r="N54" s="21"/>
      <c r="O54" s="107"/>
      <c r="P54" s="22">
        <v>47362</v>
      </c>
      <c r="Q54" s="105">
        <f t="shared" si="0"/>
        <v>0</v>
      </c>
      <c r="R54" s="107"/>
      <c r="S54" s="107"/>
      <c r="T54" s="107"/>
      <c r="U54" s="107"/>
      <c r="V54" s="107"/>
    </row>
    <row r="55" spans="1:22" s="12" customFormat="1" ht="19.149999999999999" customHeight="1" x14ac:dyDescent="0.2">
      <c r="A55" s="177"/>
      <c r="B55" s="177"/>
      <c r="C55" s="177"/>
      <c r="D55" s="107"/>
      <c r="E55" s="14"/>
      <c r="F55" s="24"/>
      <c r="G55" s="25"/>
      <c r="H55" s="17"/>
      <c r="I55" s="18"/>
      <c r="J55" s="19"/>
      <c r="K55" s="14"/>
      <c r="L55" s="100"/>
      <c r="M55" s="20"/>
      <c r="N55" s="21"/>
      <c r="O55" s="107"/>
      <c r="P55" s="22">
        <v>47392</v>
      </c>
      <c r="Q55" s="105">
        <f t="shared" si="0"/>
        <v>0</v>
      </c>
      <c r="R55" s="107"/>
      <c r="S55" s="107"/>
      <c r="T55" s="107"/>
      <c r="U55" s="107"/>
      <c r="V55" s="107"/>
    </row>
    <row r="56" spans="1:22" s="12" customFormat="1" ht="19.149999999999999" customHeight="1" x14ac:dyDescent="0.2">
      <c r="A56" s="107"/>
      <c r="B56" s="107"/>
      <c r="C56" s="107"/>
      <c r="D56" s="107"/>
      <c r="E56" s="14"/>
      <c r="F56" s="24"/>
      <c r="G56" s="25"/>
      <c r="H56" s="17"/>
      <c r="I56" s="18"/>
      <c r="J56" s="19"/>
      <c r="K56" s="14"/>
      <c r="L56" s="100"/>
      <c r="M56" s="20"/>
      <c r="N56" s="21"/>
      <c r="O56" s="107"/>
      <c r="P56" s="22">
        <v>47423</v>
      </c>
      <c r="Q56" s="105">
        <f t="shared" si="0"/>
        <v>0</v>
      </c>
      <c r="R56" s="107"/>
      <c r="S56" s="107"/>
      <c r="T56" s="107"/>
      <c r="U56" s="107"/>
      <c r="V56" s="107"/>
    </row>
    <row r="57" spans="1:22" s="12" customFormat="1" ht="19.149999999999999" customHeight="1" x14ac:dyDescent="0.2">
      <c r="A57" s="107"/>
      <c r="B57" s="107"/>
      <c r="C57" s="107"/>
      <c r="D57" s="107"/>
      <c r="E57" s="14"/>
      <c r="F57" s="24"/>
      <c r="G57" s="25"/>
      <c r="H57" s="17"/>
      <c r="I57" s="18"/>
      <c r="J57" s="19"/>
      <c r="K57" s="14"/>
      <c r="L57" s="100"/>
      <c r="M57" s="20"/>
      <c r="N57" s="21"/>
      <c r="O57" s="107"/>
      <c r="P57" s="22">
        <v>47453</v>
      </c>
      <c r="Q57" s="105">
        <f t="shared" si="0"/>
        <v>0</v>
      </c>
      <c r="R57" s="107"/>
      <c r="S57" s="107"/>
      <c r="T57" s="107"/>
      <c r="U57" s="107"/>
      <c r="V57" s="107"/>
    </row>
    <row r="58" spans="1:22" s="12" customFormat="1" ht="19.149999999999999" customHeight="1" x14ac:dyDescent="0.2">
      <c r="A58" s="107"/>
      <c r="B58" s="107"/>
      <c r="C58" s="107"/>
      <c r="D58" s="107"/>
      <c r="E58" s="14"/>
      <c r="F58" s="24"/>
      <c r="G58" s="25"/>
      <c r="H58" s="17"/>
      <c r="I58" s="18"/>
      <c r="J58" s="19"/>
      <c r="K58" s="14"/>
      <c r="L58" s="100"/>
      <c r="M58" s="20"/>
      <c r="N58" s="21"/>
      <c r="O58" s="107"/>
      <c r="P58" s="22">
        <v>47484</v>
      </c>
      <c r="Q58" s="105">
        <f t="shared" si="0"/>
        <v>0</v>
      </c>
      <c r="R58" s="107"/>
      <c r="S58" s="107"/>
      <c r="T58" s="107"/>
      <c r="U58" s="107"/>
      <c r="V58" s="107"/>
    </row>
    <row r="59" spans="1:22" s="12" customFormat="1" ht="19.149999999999999" customHeight="1" x14ac:dyDescent="0.2">
      <c r="A59" s="107"/>
      <c r="B59" s="107"/>
      <c r="C59" s="107"/>
      <c r="D59" s="107"/>
      <c r="E59" s="14"/>
      <c r="F59" s="24"/>
      <c r="G59" s="25"/>
      <c r="H59" s="17"/>
      <c r="I59" s="18"/>
      <c r="J59" s="19"/>
      <c r="K59" s="14"/>
      <c r="L59" s="100"/>
      <c r="M59" s="20"/>
      <c r="N59" s="21"/>
      <c r="O59" s="107"/>
      <c r="P59" s="22">
        <v>47515</v>
      </c>
      <c r="Q59" s="105">
        <f t="shared" si="0"/>
        <v>0</v>
      </c>
      <c r="R59" s="107"/>
      <c r="S59" s="107"/>
      <c r="T59" s="107"/>
      <c r="U59" s="107"/>
      <c r="V59" s="107"/>
    </row>
    <row r="60" spans="1:22" s="12" customFormat="1" ht="19.149999999999999" customHeight="1" x14ac:dyDescent="0.2">
      <c r="A60" s="107"/>
      <c r="B60" s="107"/>
      <c r="C60" s="107"/>
      <c r="D60" s="107"/>
      <c r="E60" s="14"/>
      <c r="F60" s="24"/>
      <c r="G60" s="25"/>
      <c r="H60" s="17"/>
      <c r="I60" s="18"/>
      <c r="J60" s="19"/>
      <c r="K60" s="14"/>
      <c r="L60" s="100"/>
      <c r="M60" s="20"/>
      <c r="N60" s="21"/>
      <c r="O60" s="107"/>
      <c r="P60" s="22">
        <v>47543</v>
      </c>
      <c r="Q60" s="105">
        <f t="shared" si="0"/>
        <v>0</v>
      </c>
      <c r="R60" s="107"/>
      <c r="S60" s="107"/>
      <c r="T60" s="107"/>
      <c r="U60" s="107"/>
      <c r="V60" s="107"/>
    </row>
    <row r="61" spans="1:22" s="12" customFormat="1" ht="19.149999999999999" customHeight="1" x14ac:dyDescent="0.2">
      <c r="A61" s="107"/>
      <c r="B61" s="107"/>
      <c r="C61" s="107"/>
      <c r="D61" s="107"/>
      <c r="E61" s="14"/>
      <c r="F61" s="24"/>
      <c r="G61" s="25"/>
      <c r="H61" s="17"/>
      <c r="I61" s="18"/>
      <c r="J61" s="19"/>
      <c r="K61" s="14"/>
      <c r="L61" s="100"/>
      <c r="M61" s="20"/>
      <c r="N61" s="21"/>
      <c r="O61" s="107"/>
      <c r="P61" s="22">
        <v>47574</v>
      </c>
      <c r="Q61" s="105">
        <f t="shared" si="0"/>
        <v>0</v>
      </c>
      <c r="R61" s="107"/>
      <c r="S61" s="107"/>
      <c r="T61" s="107"/>
      <c r="U61" s="107"/>
      <c r="V61" s="107"/>
    </row>
    <row r="62" spans="1:22" s="12" customFormat="1" ht="19.149999999999999" customHeight="1" x14ac:dyDescent="0.2">
      <c r="A62" s="107"/>
      <c r="B62" s="107"/>
      <c r="C62" s="107"/>
      <c r="D62" s="107"/>
      <c r="E62" s="14"/>
      <c r="F62" s="24"/>
      <c r="G62" s="25"/>
      <c r="H62" s="17"/>
      <c r="I62" s="18"/>
      <c r="J62" s="19"/>
      <c r="K62" s="14"/>
      <c r="L62" s="100"/>
      <c r="M62" s="20"/>
      <c r="N62" s="21"/>
      <c r="O62" s="107"/>
      <c r="P62" s="22">
        <v>47604</v>
      </c>
      <c r="Q62" s="105">
        <f t="shared" si="0"/>
        <v>0</v>
      </c>
      <c r="R62" s="107"/>
      <c r="S62" s="107"/>
      <c r="T62" s="107"/>
      <c r="U62" s="107"/>
      <c r="V62" s="107"/>
    </row>
    <row r="63" spans="1:22" s="12" customFormat="1" ht="19.149999999999999" customHeight="1" x14ac:dyDescent="0.2">
      <c r="A63" s="107"/>
      <c r="B63" s="107"/>
      <c r="C63" s="107"/>
      <c r="D63" s="107"/>
      <c r="E63" s="14"/>
      <c r="F63" s="24"/>
      <c r="G63" s="25"/>
      <c r="H63" s="17"/>
      <c r="I63" s="18"/>
      <c r="J63" s="19"/>
      <c r="K63" s="14"/>
      <c r="L63" s="100"/>
      <c r="M63" s="20"/>
      <c r="N63" s="21"/>
      <c r="O63" s="107"/>
      <c r="P63" s="22">
        <v>47635</v>
      </c>
      <c r="Q63" s="105">
        <f t="shared" si="0"/>
        <v>0</v>
      </c>
      <c r="R63" s="107"/>
      <c r="S63" s="107"/>
      <c r="T63" s="107"/>
      <c r="U63" s="107"/>
      <c r="V63" s="107"/>
    </row>
    <row r="64" spans="1:22" s="12" customFormat="1" ht="19.149999999999999" customHeight="1" x14ac:dyDescent="0.2">
      <c r="A64" s="107"/>
      <c r="B64" s="107"/>
      <c r="C64" s="107"/>
      <c r="D64" s="107"/>
      <c r="E64" s="14"/>
      <c r="F64" s="24"/>
      <c r="G64" s="25"/>
      <c r="H64" s="17"/>
      <c r="I64" s="18"/>
      <c r="J64" s="19"/>
      <c r="K64" s="14"/>
      <c r="L64" s="100"/>
      <c r="M64" s="20"/>
      <c r="N64" s="21"/>
      <c r="O64" s="107"/>
      <c r="P64" s="22">
        <v>47665</v>
      </c>
      <c r="Q64" s="105">
        <f t="shared" si="0"/>
        <v>0</v>
      </c>
      <c r="R64" s="107"/>
      <c r="S64" s="107"/>
      <c r="T64" s="107"/>
      <c r="U64" s="107"/>
      <c r="V64" s="107"/>
    </row>
    <row r="65" spans="1:22" s="12" customFormat="1" ht="19.149999999999999" customHeight="1" x14ac:dyDescent="0.2">
      <c r="A65" s="107"/>
      <c r="B65" s="107"/>
      <c r="C65" s="107"/>
      <c r="D65" s="107"/>
      <c r="E65" s="14"/>
      <c r="F65" s="24"/>
      <c r="G65" s="25"/>
      <c r="H65" s="17"/>
      <c r="I65" s="18"/>
      <c r="J65" s="19"/>
      <c r="K65" s="14"/>
      <c r="L65" s="100"/>
      <c r="M65" s="20"/>
      <c r="N65" s="21"/>
      <c r="O65" s="107"/>
      <c r="P65" s="22">
        <v>47696</v>
      </c>
      <c r="Q65" s="105">
        <f t="shared" si="0"/>
        <v>0</v>
      </c>
      <c r="R65" s="107"/>
      <c r="S65" s="107"/>
      <c r="T65" s="107"/>
      <c r="U65" s="107"/>
      <c r="V65" s="107"/>
    </row>
    <row r="66" spans="1:22" s="12" customFormat="1" ht="19.149999999999999" customHeight="1" x14ac:dyDescent="0.2">
      <c r="A66" s="107"/>
      <c r="B66" s="107"/>
      <c r="C66" s="107"/>
      <c r="D66" s="107"/>
      <c r="E66" s="14"/>
      <c r="F66" s="24"/>
      <c r="G66" s="25"/>
      <c r="H66" s="17"/>
      <c r="I66" s="18"/>
      <c r="J66" s="19"/>
      <c r="K66" s="14"/>
      <c r="L66" s="100"/>
      <c r="M66" s="20"/>
      <c r="N66" s="21"/>
      <c r="O66" s="107"/>
      <c r="P66" s="22">
        <v>47727</v>
      </c>
      <c r="Q66" s="105">
        <f t="shared" ref="Q66:Q68" si="1">SUMIFS(J$2:J$1000, F$2:F$1000, "&gt;=" &amp; DATE(YEAR(P66), MONTH(P66), 1), F$2:F$1000, "&lt;=" &amp; EOMONTH(P66, 0))</f>
        <v>0</v>
      </c>
      <c r="R66" s="107"/>
      <c r="S66" s="107"/>
      <c r="T66" s="107"/>
      <c r="U66" s="107"/>
      <c r="V66" s="107"/>
    </row>
    <row r="67" spans="1:22" s="12" customFormat="1" ht="19.149999999999999" customHeight="1" x14ac:dyDescent="0.2">
      <c r="A67" s="107"/>
      <c r="B67" s="107"/>
      <c r="C67" s="107"/>
      <c r="D67" s="107"/>
      <c r="E67" s="14"/>
      <c r="F67" s="24"/>
      <c r="G67" s="25"/>
      <c r="H67" s="17"/>
      <c r="I67" s="18"/>
      <c r="J67" s="19"/>
      <c r="K67" s="14"/>
      <c r="L67" s="100"/>
      <c r="M67" s="20"/>
      <c r="N67" s="21"/>
      <c r="O67" s="107"/>
      <c r="P67" s="22">
        <v>47757</v>
      </c>
      <c r="Q67" s="105">
        <f t="shared" si="1"/>
        <v>0</v>
      </c>
      <c r="R67" s="107"/>
      <c r="S67" s="107"/>
      <c r="T67" s="107"/>
      <c r="U67" s="107"/>
      <c r="V67" s="107"/>
    </row>
    <row r="68" spans="1:22" s="12" customFormat="1" ht="19.149999999999999" customHeight="1" x14ac:dyDescent="0.2">
      <c r="A68" s="107"/>
      <c r="B68" s="28"/>
      <c r="C68" s="107"/>
      <c r="D68" s="107"/>
      <c r="E68" s="14"/>
      <c r="F68" s="24"/>
      <c r="G68" s="25"/>
      <c r="H68" s="17"/>
      <c r="I68" s="18"/>
      <c r="J68" s="19"/>
      <c r="K68" s="14"/>
      <c r="L68" s="100"/>
      <c r="M68" s="20"/>
      <c r="N68" s="21"/>
      <c r="O68" s="107"/>
      <c r="P68" s="22">
        <v>47788</v>
      </c>
      <c r="Q68" s="105">
        <f t="shared" si="1"/>
        <v>0</v>
      </c>
      <c r="R68" s="107"/>
      <c r="S68" s="107"/>
      <c r="T68" s="107"/>
      <c r="U68" s="107"/>
      <c r="V68" s="107"/>
    </row>
    <row r="69" spans="1:22" s="12" customFormat="1" ht="19.149999999999999" customHeight="1" x14ac:dyDescent="0.2">
      <c r="A69" s="107"/>
      <c r="B69" s="107"/>
      <c r="C69" s="107"/>
      <c r="D69" s="107"/>
      <c r="E69" s="14"/>
      <c r="F69" s="24"/>
      <c r="G69" s="25"/>
      <c r="H69" s="17"/>
      <c r="I69" s="18"/>
      <c r="J69" s="19"/>
      <c r="K69" s="14"/>
      <c r="L69" s="100"/>
      <c r="M69" s="20"/>
      <c r="N69" s="21"/>
      <c r="O69" s="107"/>
      <c r="P69" s="22"/>
      <c r="Q69" s="23"/>
      <c r="R69" s="107"/>
      <c r="S69" s="107"/>
      <c r="T69" s="107"/>
      <c r="U69" s="107"/>
      <c r="V69" s="107"/>
    </row>
    <row r="70" spans="1:22" s="12" customFormat="1" ht="19.149999999999999" customHeight="1" x14ac:dyDescent="0.2">
      <c r="A70" s="107"/>
      <c r="B70" s="107"/>
      <c r="C70" s="107"/>
      <c r="D70" s="107"/>
      <c r="E70" s="14"/>
      <c r="F70" s="24"/>
      <c r="G70" s="25"/>
      <c r="H70" s="17"/>
      <c r="I70" s="18"/>
      <c r="J70" s="19"/>
      <c r="K70" s="14"/>
      <c r="L70" s="19"/>
      <c r="M70" s="20"/>
      <c r="N70" s="21"/>
      <c r="O70" s="107"/>
      <c r="P70" s="22"/>
      <c r="Q70" s="23"/>
      <c r="R70" s="107"/>
      <c r="S70" s="107"/>
      <c r="T70" s="107"/>
      <c r="U70" s="107"/>
      <c r="V70" s="107"/>
    </row>
    <row r="71" spans="1:22" s="12" customFormat="1" ht="19.149999999999999" customHeight="1" x14ac:dyDescent="0.2">
      <c r="A71" s="107"/>
      <c r="B71" s="107"/>
      <c r="C71" s="107"/>
      <c r="D71" s="107"/>
      <c r="E71" s="14"/>
      <c r="F71" s="24"/>
      <c r="G71" s="25"/>
      <c r="H71" s="17"/>
      <c r="I71" s="18"/>
      <c r="J71" s="19"/>
      <c r="K71" s="14"/>
      <c r="L71" s="19"/>
      <c r="M71" s="20"/>
      <c r="N71" s="21"/>
      <c r="O71" s="107"/>
      <c r="P71" s="22"/>
      <c r="Q71" s="23"/>
      <c r="R71" s="107"/>
      <c r="S71" s="107"/>
      <c r="T71" s="107"/>
      <c r="U71" s="107"/>
      <c r="V71" s="107"/>
    </row>
    <row r="72" spans="1:22" s="12" customFormat="1" ht="19.149999999999999" customHeight="1" x14ac:dyDescent="0.2">
      <c r="A72" s="107"/>
      <c r="B72" s="107"/>
      <c r="C72" s="107"/>
      <c r="D72" s="107"/>
      <c r="E72" s="14"/>
      <c r="F72" s="24"/>
      <c r="G72" s="25"/>
      <c r="H72" s="17"/>
      <c r="I72" s="18"/>
      <c r="J72" s="19"/>
      <c r="K72" s="14"/>
      <c r="L72" s="19"/>
      <c r="M72" s="20"/>
      <c r="N72" s="21"/>
      <c r="O72" s="107"/>
      <c r="P72" s="22"/>
      <c r="Q72" s="23"/>
      <c r="R72" s="107"/>
      <c r="S72" s="107"/>
      <c r="T72" s="107"/>
      <c r="U72" s="107"/>
      <c r="V72" s="107"/>
    </row>
    <row r="73" spans="1:22" s="12" customFormat="1" ht="19.149999999999999" customHeight="1" x14ac:dyDescent="0.2">
      <c r="A73" s="107"/>
      <c r="B73" s="107"/>
      <c r="C73" s="107"/>
      <c r="D73" s="107"/>
      <c r="E73" s="14"/>
      <c r="F73" s="24"/>
      <c r="G73" s="25"/>
      <c r="H73" s="17"/>
      <c r="I73" s="18"/>
      <c r="J73" s="19"/>
      <c r="K73" s="14"/>
      <c r="L73" s="19"/>
      <c r="M73" s="20"/>
      <c r="N73" s="21"/>
      <c r="O73" s="107"/>
      <c r="P73" s="22"/>
      <c r="Q73" s="23"/>
      <c r="R73" s="107"/>
      <c r="S73" s="107"/>
      <c r="T73" s="107"/>
      <c r="U73" s="107"/>
      <c r="V73" s="107"/>
    </row>
    <row r="74" spans="1:22" s="12" customFormat="1" ht="19.149999999999999" customHeight="1" x14ac:dyDescent="0.2">
      <c r="A74" s="107"/>
      <c r="B74" s="107"/>
      <c r="C74" s="107"/>
      <c r="D74" s="107"/>
      <c r="E74" s="14"/>
      <c r="F74" s="24"/>
      <c r="G74" s="25"/>
      <c r="H74" s="17"/>
      <c r="I74" s="18"/>
      <c r="J74" s="19"/>
      <c r="K74" s="14"/>
      <c r="L74" s="19"/>
      <c r="M74" s="20"/>
      <c r="N74" s="21"/>
      <c r="O74" s="107"/>
      <c r="P74" s="22"/>
      <c r="Q74" s="23"/>
      <c r="R74" s="107"/>
      <c r="S74" s="107"/>
      <c r="T74" s="107"/>
      <c r="U74" s="107"/>
      <c r="V74" s="107"/>
    </row>
    <row r="75" spans="1:22" s="12" customFormat="1" ht="19.149999999999999" customHeight="1" x14ac:dyDescent="0.2">
      <c r="A75" s="107"/>
      <c r="B75" s="107"/>
      <c r="C75" s="107"/>
      <c r="D75" s="107"/>
      <c r="E75" s="14"/>
      <c r="F75" s="24"/>
      <c r="G75" s="25"/>
      <c r="H75" s="17"/>
      <c r="I75" s="18"/>
      <c r="J75" s="19"/>
      <c r="K75" s="14"/>
      <c r="L75" s="19"/>
      <c r="M75" s="20"/>
      <c r="N75" s="21"/>
      <c r="O75" s="107"/>
      <c r="P75" s="22"/>
      <c r="Q75" s="23"/>
      <c r="R75" s="107"/>
      <c r="S75" s="107"/>
      <c r="T75" s="107"/>
      <c r="U75" s="107"/>
      <c r="V75" s="107"/>
    </row>
    <row r="76" spans="1:22" s="12" customFormat="1" ht="19.149999999999999" customHeight="1" x14ac:dyDescent="0.2">
      <c r="A76" s="107"/>
      <c r="B76" s="107"/>
      <c r="C76" s="107"/>
      <c r="D76" s="107"/>
      <c r="E76" s="14"/>
      <c r="F76" s="24"/>
      <c r="G76" s="25"/>
      <c r="H76" s="17"/>
      <c r="I76" s="18"/>
      <c r="J76" s="19"/>
      <c r="K76" s="14"/>
      <c r="L76" s="100"/>
      <c r="M76" s="20"/>
      <c r="N76" s="21"/>
      <c r="O76" s="107"/>
      <c r="P76" s="22"/>
      <c r="Q76" s="23"/>
      <c r="R76" s="107"/>
      <c r="S76" s="107"/>
      <c r="T76" s="107"/>
      <c r="U76" s="107"/>
      <c r="V76" s="107"/>
    </row>
    <row r="77" spans="1:22" s="12" customFormat="1" ht="19.149999999999999" customHeight="1" x14ac:dyDescent="0.2">
      <c r="A77" s="107"/>
      <c r="B77" s="107"/>
      <c r="C77" s="107"/>
      <c r="D77" s="107"/>
      <c r="E77" s="14"/>
      <c r="F77" s="24"/>
      <c r="G77" s="25"/>
      <c r="H77" s="17"/>
      <c r="I77" s="18"/>
      <c r="J77" s="19"/>
      <c r="K77" s="14"/>
      <c r="L77" s="19"/>
      <c r="M77" s="20"/>
      <c r="N77" s="21"/>
      <c r="O77" s="107"/>
      <c r="P77" s="22"/>
      <c r="Q77" s="23"/>
      <c r="R77" s="107"/>
      <c r="S77" s="107"/>
      <c r="T77" s="107"/>
      <c r="U77" s="107"/>
      <c r="V77" s="107"/>
    </row>
    <row r="78" spans="1:22" s="12" customFormat="1" ht="19.149999999999999" customHeight="1" x14ac:dyDescent="0.2">
      <c r="A78" s="107"/>
      <c r="B78" s="107"/>
      <c r="C78" s="107"/>
      <c r="D78" s="107"/>
      <c r="E78" s="14"/>
      <c r="F78" s="24"/>
      <c r="G78" s="25"/>
      <c r="H78" s="17"/>
      <c r="I78" s="18"/>
      <c r="J78" s="19"/>
      <c r="K78" s="14"/>
      <c r="L78" s="19"/>
      <c r="M78" s="20"/>
      <c r="N78" s="21"/>
      <c r="O78" s="107"/>
      <c r="P78" s="22"/>
      <c r="Q78" s="23"/>
      <c r="R78" s="107"/>
      <c r="S78" s="107"/>
      <c r="T78" s="107"/>
      <c r="U78" s="107"/>
      <c r="V78" s="107"/>
    </row>
    <row r="79" spans="1:22" s="12" customFormat="1" ht="19.149999999999999" customHeight="1" x14ac:dyDescent="0.2">
      <c r="A79" s="107"/>
      <c r="B79" s="107"/>
      <c r="C79" s="107"/>
      <c r="D79" s="107"/>
      <c r="E79" s="14"/>
      <c r="F79" s="24"/>
      <c r="G79" s="25"/>
      <c r="H79" s="17"/>
      <c r="I79" s="18"/>
      <c r="J79" s="19"/>
      <c r="K79" s="14"/>
      <c r="L79" s="19"/>
      <c r="M79" s="20"/>
      <c r="N79" s="21"/>
      <c r="O79" s="107"/>
      <c r="P79" s="22"/>
      <c r="Q79" s="23"/>
      <c r="R79" s="107"/>
      <c r="S79" s="107"/>
      <c r="T79" s="107"/>
      <c r="U79" s="107"/>
      <c r="V79" s="107"/>
    </row>
    <row r="80" spans="1:22" s="12" customFormat="1" ht="19.149999999999999" customHeight="1" x14ac:dyDescent="0.2">
      <c r="A80" s="107"/>
      <c r="B80" s="107"/>
      <c r="C80" s="107"/>
      <c r="D80" s="107"/>
      <c r="E80" s="14"/>
      <c r="F80" s="24"/>
      <c r="G80" s="25"/>
      <c r="H80" s="17"/>
      <c r="I80" s="18"/>
      <c r="J80" s="19"/>
      <c r="K80" s="14"/>
      <c r="L80" s="19"/>
      <c r="M80" s="20"/>
      <c r="N80" s="21"/>
      <c r="O80" s="107"/>
      <c r="P80" s="22"/>
      <c r="Q80" s="23"/>
      <c r="R80" s="107"/>
      <c r="S80" s="107"/>
      <c r="T80" s="107"/>
      <c r="U80" s="107"/>
      <c r="V80" s="107"/>
    </row>
    <row r="81" spans="1:22" s="12" customFormat="1" ht="19.149999999999999" customHeight="1" x14ac:dyDescent="0.2">
      <c r="A81" s="107"/>
      <c r="B81" s="107"/>
      <c r="C81" s="107"/>
      <c r="D81" s="107"/>
      <c r="E81" s="14"/>
      <c r="F81" s="24"/>
      <c r="G81" s="25"/>
      <c r="H81" s="17"/>
      <c r="I81" s="18"/>
      <c r="J81" s="19"/>
      <c r="K81" s="14"/>
      <c r="L81" s="19"/>
      <c r="M81" s="20"/>
      <c r="N81" s="21"/>
      <c r="O81" s="107"/>
      <c r="P81" s="22"/>
      <c r="Q81" s="23"/>
      <c r="R81" s="107"/>
      <c r="S81" s="107"/>
      <c r="T81" s="107"/>
      <c r="U81" s="107"/>
      <c r="V81" s="107"/>
    </row>
    <row r="82" spans="1:22" s="12" customFormat="1" ht="19.149999999999999" customHeight="1" x14ac:dyDescent="0.2">
      <c r="A82" s="107"/>
      <c r="B82" s="107"/>
      <c r="C82" s="107"/>
      <c r="D82" s="107"/>
      <c r="E82" s="14"/>
      <c r="F82" s="24"/>
      <c r="G82" s="25"/>
      <c r="H82" s="17"/>
      <c r="I82" s="18"/>
      <c r="J82" s="19"/>
      <c r="K82" s="14"/>
      <c r="L82" s="19"/>
      <c r="M82" s="20"/>
      <c r="N82" s="21"/>
      <c r="O82" s="107"/>
      <c r="P82" s="22"/>
      <c r="Q82" s="23"/>
      <c r="R82" s="107"/>
      <c r="S82" s="107"/>
      <c r="T82" s="107"/>
      <c r="U82" s="107"/>
      <c r="V82" s="107"/>
    </row>
    <row r="83" spans="1:22" s="12" customFormat="1" ht="19.149999999999999" customHeight="1" x14ac:dyDescent="0.2">
      <c r="A83" s="107"/>
      <c r="B83" s="107"/>
      <c r="C83" s="107"/>
      <c r="D83" s="107"/>
      <c r="E83" s="14"/>
      <c r="F83" s="24"/>
      <c r="G83" s="25"/>
      <c r="H83" s="17"/>
      <c r="I83" s="18"/>
      <c r="J83" s="19"/>
      <c r="K83" s="14"/>
      <c r="L83" s="19"/>
      <c r="M83" s="20"/>
      <c r="N83" s="21"/>
      <c r="O83" s="107"/>
      <c r="P83" s="22"/>
      <c r="Q83" s="23"/>
      <c r="R83" s="107"/>
      <c r="S83" s="107"/>
      <c r="T83" s="107"/>
      <c r="U83" s="107"/>
      <c r="V83" s="107"/>
    </row>
    <row r="84" spans="1:22" s="12" customFormat="1" ht="19.149999999999999" customHeight="1" x14ac:dyDescent="0.2">
      <c r="A84" s="107"/>
      <c r="B84" s="107"/>
      <c r="C84" s="107"/>
      <c r="D84" s="107"/>
      <c r="E84" s="14"/>
      <c r="F84" s="24"/>
      <c r="G84" s="29"/>
      <c r="H84" s="17"/>
      <c r="I84" s="18"/>
      <c r="J84" s="19"/>
      <c r="K84" s="14"/>
      <c r="L84" s="19"/>
      <c r="M84" s="20"/>
      <c r="N84" s="21"/>
      <c r="O84" s="107"/>
      <c r="P84" s="22"/>
      <c r="Q84" s="23"/>
      <c r="R84" s="107"/>
      <c r="S84" s="107"/>
      <c r="T84" s="107"/>
      <c r="U84" s="107"/>
      <c r="V84" s="107"/>
    </row>
    <row r="85" spans="1:22" s="12" customFormat="1" ht="19.149999999999999" customHeight="1" x14ac:dyDescent="0.2">
      <c r="A85" s="107"/>
      <c r="B85" s="107"/>
      <c r="C85" s="107"/>
      <c r="D85" s="107"/>
      <c r="E85" s="14"/>
      <c r="F85" s="24"/>
      <c r="G85" s="25"/>
      <c r="H85" s="17"/>
      <c r="I85" s="18"/>
      <c r="J85" s="19"/>
      <c r="K85" s="14"/>
      <c r="L85" s="19"/>
      <c r="M85" s="20"/>
      <c r="N85" s="21"/>
      <c r="O85" s="107"/>
      <c r="P85" s="22"/>
      <c r="Q85" s="23"/>
      <c r="R85" s="107"/>
      <c r="S85" s="107"/>
      <c r="T85" s="107"/>
      <c r="U85" s="107"/>
      <c r="V85" s="107"/>
    </row>
    <row r="86" spans="1:22" s="12" customFormat="1" ht="19.149999999999999" customHeight="1" x14ac:dyDescent="0.2">
      <c r="A86" s="107"/>
      <c r="B86" s="107"/>
      <c r="C86" s="107"/>
      <c r="D86" s="107"/>
      <c r="E86" s="14"/>
      <c r="F86" s="24"/>
      <c r="G86" s="25"/>
      <c r="H86" s="17"/>
      <c r="I86" s="18"/>
      <c r="J86" s="19"/>
      <c r="K86" s="14"/>
      <c r="L86" s="19"/>
      <c r="M86" s="20"/>
      <c r="N86" s="21"/>
      <c r="O86" s="107"/>
      <c r="P86" s="22"/>
      <c r="Q86" s="23"/>
      <c r="R86" s="107"/>
      <c r="S86" s="107"/>
      <c r="T86" s="107"/>
      <c r="U86" s="107"/>
      <c r="V86" s="107"/>
    </row>
    <row r="87" spans="1:22" s="12" customFormat="1" ht="19.149999999999999" customHeight="1" x14ac:dyDescent="0.2">
      <c r="A87" s="107"/>
      <c r="B87" s="107"/>
      <c r="C87" s="107"/>
      <c r="D87" s="107"/>
      <c r="E87" s="14"/>
      <c r="F87" s="24"/>
      <c r="G87" s="25"/>
      <c r="H87" s="17"/>
      <c r="I87" s="18"/>
      <c r="J87" s="19"/>
      <c r="K87" s="14"/>
      <c r="L87" s="19"/>
      <c r="M87" s="20"/>
      <c r="N87" s="21"/>
      <c r="O87" s="107"/>
      <c r="P87" s="22"/>
      <c r="Q87" s="23"/>
      <c r="R87" s="107"/>
      <c r="S87" s="107"/>
      <c r="T87" s="107"/>
      <c r="U87" s="107"/>
      <c r="V87" s="107"/>
    </row>
    <row r="88" spans="1:22" s="12" customFormat="1" ht="19.149999999999999" customHeight="1" x14ac:dyDescent="0.2">
      <c r="A88" s="107"/>
      <c r="B88" s="107"/>
      <c r="C88" s="107"/>
      <c r="D88" s="107"/>
      <c r="E88" s="14"/>
      <c r="F88" s="24"/>
      <c r="G88" s="25"/>
      <c r="H88" s="17"/>
      <c r="I88" s="18"/>
      <c r="J88" s="19"/>
      <c r="K88" s="14"/>
      <c r="L88" s="19"/>
      <c r="M88" s="20"/>
      <c r="N88" s="21"/>
      <c r="O88" s="107"/>
      <c r="P88" s="22"/>
      <c r="Q88" s="23"/>
      <c r="R88" s="107"/>
      <c r="S88" s="107"/>
      <c r="T88" s="107"/>
      <c r="U88" s="107"/>
      <c r="V88" s="107"/>
    </row>
    <row r="89" spans="1:22" s="12" customFormat="1" ht="19.149999999999999" customHeight="1" x14ac:dyDescent="0.2">
      <c r="A89" s="107"/>
      <c r="B89" s="107"/>
      <c r="C89" s="107"/>
      <c r="D89" s="107"/>
      <c r="E89" s="14"/>
      <c r="F89" s="24"/>
      <c r="G89" s="25"/>
      <c r="H89" s="17"/>
      <c r="I89" s="18"/>
      <c r="J89" s="19"/>
      <c r="K89" s="14"/>
      <c r="L89" s="19"/>
      <c r="M89" s="20"/>
      <c r="N89" s="21"/>
      <c r="O89" s="107"/>
      <c r="P89" s="22"/>
      <c r="Q89" s="23"/>
      <c r="R89" s="107"/>
      <c r="S89" s="107"/>
      <c r="T89" s="107"/>
      <c r="U89" s="107"/>
      <c r="V89" s="107"/>
    </row>
    <row r="90" spans="1:22" s="12" customFormat="1" ht="19.149999999999999" customHeight="1" x14ac:dyDescent="0.2">
      <c r="A90" s="107"/>
      <c r="B90" s="28"/>
      <c r="C90" s="107"/>
      <c r="D90" s="107"/>
      <c r="E90" s="14"/>
      <c r="F90" s="24"/>
      <c r="G90" s="25"/>
      <c r="H90" s="17"/>
      <c r="I90" s="18"/>
      <c r="J90" s="19"/>
      <c r="K90" s="14"/>
      <c r="L90" s="19"/>
      <c r="M90" s="20"/>
      <c r="N90" s="21"/>
      <c r="O90" s="107"/>
      <c r="P90" s="22"/>
      <c r="Q90" s="23"/>
      <c r="R90" s="107"/>
      <c r="S90" s="107"/>
      <c r="T90" s="107"/>
      <c r="U90" s="107"/>
      <c r="V90" s="107"/>
    </row>
    <row r="91" spans="1:22" s="12" customFormat="1" ht="19.149999999999999" customHeight="1" x14ac:dyDescent="0.2">
      <c r="A91" s="107"/>
      <c r="B91" s="107"/>
      <c r="C91" s="107"/>
      <c r="D91" s="107"/>
      <c r="E91" s="14"/>
      <c r="F91" s="24"/>
      <c r="G91" s="25"/>
      <c r="H91" s="17"/>
      <c r="I91" s="18"/>
      <c r="J91" s="19"/>
      <c r="K91" s="14"/>
      <c r="L91" s="19"/>
      <c r="M91" s="20"/>
      <c r="N91" s="21"/>
      <c r="O91" s="107"/>
      <c r="P91" s="22"/>
      <c r="Q91" s="23"/>
      <c r="R91" s="107"/>
      <c r="S91" s="107"/>
      <c r="T91" s="107"/>
      <c r="U91" s="107"/>
      <c r="V91" s="107"/>
    </row>
    <row r="92" spans="1:22" s="12" customFormat="1" ht="19.149999999999999" customHeight="1" x14ac:dyDescent="0.2">
      <c r="A92" s="107"/>
      <c r="B92" s="107"/>
      <c r="C92" s="107"/>
      <c r="D92" s="107"/>
      <c r="E92" s="14"/>
      <c r="F92" s="24"/>
      <c r="G92" s="25"/>
      <c r="H92" s="17"/>
      <c r="I92" s="18"/>
      <c r="J92" s="19"/>
      <c r="K92" s="14"/>
      <c r="L92" s="19"/>
      <c r="M92" s="20"/>
      <c r="N92" s="21"/>
      <c r="O92" s="107"/>
      <c r="P92" s="22"/>
      <c r="Q92" s="23"/>
      <c r="R92" s="107"/>
      <c r="S92" s="107"/>
      <c r="T92" s="107"/>
      <c r="U92" s="107"/>
      <c r="V92" s="107"/>
    </row>
    <row r="93" spans="1:22" s="12" customFormat="1" ht="19.149999999999999" customHeight="1" x14ac:dyDescent="0.2">
      <c r="A93" s="107"/>
      <c r="B93" s="107"/>
      <c r="C93" s="107"/>
      <c r="D93" s="107"/>
      <c r="E93" s="14"/>
      <c r="F93" s="24"/>
      <c r="G93" s="25"/>
      <c r="H93" s="17"/>
      <c r="I93" s="18"/>
      <c r="J93" s="19"/>
      <c r="K93" s="14"/>
      <c r="L93" s="19"/>
      <c r="M93" s="20"/>
      <c r="N93" s="21"/>
      <c r="O93" s="107"/>
      <c r="P93" s="22"/>
      <c r="Q93" s="23"/>
      <c r="R93" s="107"/>
      <c r="S93" s="107"/>
      <c r="T93" s="107"/>
      <c r="U93" s="107"/>
      <c r="V93" s="107"/>
    </row>
    <row r="94" spans="1:22" s="12" customFormat="1" ht="19.149999999999999" customHeight="1" x14ac:dyDescent="0.2">
      <c r="A94" s="107"/>
      <c r="B94" s="107"/>
      <c r="C94" s="107"/>
      <c r="D94" s="107"/>
      <c r="E94" s="14"/>
      <c r="F94" s="24"/>
      <c r="G94" s="25"/>
      <c r="H94" s="17"/>
      <c r="I94" s="18"/>
      <c r="J94" s="19"/>
      <c r="K94" s="14"/>
      <c r="L94" s="19"/>
      <c r="M94" s="20"/>
      <c r="N94" s="21"/>
      <c r="O94" s="107"/>
      <c r="P94" s="22"/>
      <c r="Q94" s="23"/>
      <c r="R94" s="107"/>
      <c r="S94" s="107"/>
      <c r="T94" s="107"/>
      <c r="U94" s="107"/>
      <c r="V94" s="107"/>
    </row>
    <row r="95" spans="1:22" s="12" customFormat="1" ht="19.149999999999999" customHeight="1" x14ac:dyDescent="0.2">
      <c r="A95" s="107"/>
      <c r="B95" s="107"/>
      <c r="C95" s="107"/>
      <c r="D95" s="107"/>
      <c r="E95" s="14"/>
      <c r="F95" s="24"/>
      <c r="G95" s="25"/>
      <c r="H95" s="17"/>
      <c r="I95" s="18"/>
      <c r="J95" s="19"/>
      <c r="K95" s="14"/>
      <c r="L95" s="19"/>
      <c r="M95" s="20"/>
      <c r="N95" s="21"/>
      <c r="O95" s="107"/>
      <c r="P95" s="22"/>
      <c r="Q95" s="23"/>
      <c r="R95" s="107"/>
      <c r="S95" s="107"/>
      <c r="T95" s="107"/>
      <c r="U95" s="107"/>
      <c r="V95" s="107"/>
    </row>
    <row r="96" spans="1:22" s="12" customFormat="1" ht="19.149999999999999" customHeight="1" x14ac:dyDescent="0.2">
      <c r="A96" s="107"/>
      <c r="B96" s="107"/>
      <c r="C96" s="107"/>
      <c r="D96" s="107"/>
      <c r="E96" s="14"/>
      <c r="F96" s="24"/>
      <c r="G96" s="25"/>
      <c r="H96" s="17"/>
      <c r="I96" s="18"/>
      <c r="J96" s="19"/>
      <c r="K96" s="14"/>
      <c r="L96" s="19"/>
      <c r="M96" s="20"/>
      <c r="N96" s="21"/>
      <c r="O96" s="107"/>
      <c r="P96" s="22"/>
      <c r="Q96" s="23"/>
      <c r="R96" s="107"/>
      <c r="S96" s="107"/>
      <c r="T96" s="107"/>
      <c r="U96" s="107"/>
      <c r="V96" s="107"/>
    </row>
    <row r="97" spans="1:22" s="12" customFormat="1" ht="19.149999999999999" customHeight="1" x14ac:dyDescent="0.2">
      <c r="A97" s="107"/>
      <c r="B97" s="107"/>
      <c r="C97" s="107"/>
      <c r="D97" s="107"/>
      <c r="E97" s="14"/>
      <c r="F97" s="24"/>
      <c r="G97" s="25"/>
      <c r="H97" s="17"/>
      <c r="I97" s="18"/>
      <c r="J97" s="19"/>
      <c r="K97" s="14"/>
      <c r="L97" s="19"/>
      <c r="M97" s="20"/>
      <c r="N97" s="21"/>
      <c r="O97" s="107"/>
      <c r="P97" s="22"/>
      <c r="Q97" s="23"/>
      <c r="R97" s="107"/>
      <c r="S97" s="107"/>
      <c r="T97" s="107"/>
      <c r="U97" s="107"/>
      <c r="V97" s="107"/>
    </row>
    <row r="98" spans="1:22" s="12" customFormat="1" ht="19.149999999999999" customHeight="1" x14ac:dyDescent="0.2">
      <c r="A98" s="107"/>
      <c r="B98" s="107"/>
      <c r="C98" s="107"/>
      <c r="D98" s="107"/>
      <c r="E98" s="14"/>
      <c r="F98" s="24"/>
      <c r="G98" s="25"/>
      <c r="H98" s="17"/>
      <c r="I98" s="18"/>
      <c r="J98" s="19"/>
      <c r="K98" s="14"/>
      <c r="L98" s="19"/>
      <c r="M98" s="20"/>
      <c r="N98" s="21"/>
      <c r="O98" s="107"/>
      <c r="P98" s="22"/>
      <c r="Q98" s="23"/>
      <c r="R98" s="107"/>
      <c r="S98" s="107"/>
      <c r="T98" s="107"/>
      <c r="U98" s="107"/>
      <c r="V98" s="107"/>
    </row>
    <row r="99" spans="1:22" s="12" customFormat="1" ht="19.149999999999999" customHeight="1" x14ac:dyDescent="0.2">
      <c r="A99" s="107"/>
      <c r="B99" s="107"/>
      <c r="C99" s="107"/>
      <c r="D99" s="107"/>
      <c r="E99" s="14"/>
      <c r="F99" s="24"/>
      <c r="G99" s="25"/>
      <c r="H99" s="17"/>
      <c r="I99" s="18"/>
      <c r="J99" s="19"/>
      <c r="K99" s="14"/>
      <c r="L99" s="19"/>
      <c r="M99" s="20"/>
      <c r="N99" s="21"/>
      <c r="O99" s="107"/>
      <c r="P99" s="22"/>
      <c r="Q99" s="23"/>
      <c r="R99" s="107"/>
      <c r="S99" s="107"/>
      <c r="T99" s="107"/>
      <c r="U99" s="107"/>
      <c r="V99" s="107"/>
    </row>
    <row r="100" spans="1:22" s="12" customFormat="1" ht="19.149999999999999" customHeight="1" x14ac:dyDescent="0.2">
      <c r="A100" s="107"/>
      <c r="B100" s="107"/>
      <c r="C100" s="107"/>
      <c r="D100" s="107"/>
      <c r="E100" s="14"/>
      <c r="F100" s="24"/>
      <c r="G100" s="25"/>
      <c r="H100" s="17"/>
      <c r="I100" s="18"/>
      <c r="J100" s="19"/>
      <c r="K100" s="14"/>
      <c r="L100" s="19"/>
      <c r="M100" s="20"/>
      <c r="N100" s="21"/>
      <c r="O100" s="107"/>
      <c r="P100" s="22"/>
      <c r="Q100" s="23"/>
      <c r="R100" s="107"/>
      <c r="S100" s="107"/>
      <c r="T100" s="107"/>
      <c r="U100" s="107"/>
      <c r="V100" s="107"/>
    </row>
    <row r="101" spans="1:22" s="12" customFormat="1" ht="19.149999999999999" customHeight="1" x14ac:dyDescent="0.2">
      <c r="A101" s="107"/>
      <c r="B101" s="107"/>
      <c r="C101" s="107"/>
      <c r="D101" s="107"/>
      <c r="E101" s="14"/>
      <c r="F101" s="24"/>
      <c r="G101" s="25"/>
      <c r="H101" s="17"/>
      <c r="I101" s="18"/>
      <c r="J101" s="19"/>
      <c r="K101" s="14"/>
      <c r="L101" s="19"/>
      <c r="M101" s="20"/>
      <c r="N101" s="21"/>
      <c r="O101" s="107"/>
      <c r="P101" s="22"/>
      <c r="Q101" s="23"/>
      <c r="R101" s="107"/>
      <c r="S101" s="107"/>
      <c r="T101" s="107"/>
      <c r="U101" s="107"/>
      <c r="V101" s="107"/>
    </row>
    <row r="102" spans="1:22" s="12" customFormat="1" ht="19.149999999999999" customHeight="1" x14ac:dyDescent="0.2">
      <c r="A102" s="107"/>
      <c r="B102" s="107"/>
      <c r="C102" s="107"/>
      <c r="D102" s="107"/>
      <c r="E102" s="14"/>
      <c r="F102" s="24"/>
      <c r="G102" s="25"/>
      <c r="H102" s="17"/>
      <c r="I102" s="18"/>
      <c r="J102" s="19"/>
      <c r="K102" s="14"/>
      <c r="L102" s="19"/>
      <c r="M102" s="20"/>
      <c r="N102" s="21"/>
      <c r="O102" s="107"/>
      <c r="P102" s="22"/>
      <c r="Q102" s="23"/>
      <c r="R102" s="107"/>
      <c r="S102" s="107"/>
      <c r="T102" s="107"/>
      <c r="U102" s="107"/>
      <c r="V102" s="107"/>
    </row>
    <row r="103" spans="1:22" s="12" customFormat="1" ht="19.149999999999999" customHeight="1" x14ac:dyDescent="0.2">
      <c r="A103" s="107"/>
      <c r="B103" s="107"/>
      <c r="C103" s="107"/>
      <c r="D103" s="107"/>
      <c r="E103" s="14"/>
      <c r="F103" s="24"/>
      <c r="G103" s="25"/>
      <c r="H103" s="17"/>
      <c r="I103" s="18"/>
      <c r="J103" s="19"/>
      <c r="K103" s="14"/>
      <c r="L103" s="19"/>
      <c r="M103" s="20"/>
      <c r="N103" s="21"/>
      <c r="O103" s="107"/>
      <c r="P103" s="22"/>
      <c r="Q103" s="23"/>
      <c r="R103" s="107"/>
      <c r="S103" s="107"/>
      <c r="T103" s="107"/>
      <c r="U103" s="107"/>
      <c r="V103" s="107"/>
    </row>
    <row r="104" spans="1:22" s="12" customFormat="1" ht="19.149999999999999" customHeight="1" x14ac:dyDescent="0.2">
      <c r="A104" s="107"/>
      <c r="B104" s="107"/>
      <c r="C104" s="107"/>
      <c r="D104" s="107"/>
      <c r="E104" s="14"/>
      <c r="F104" s="24"/>
      <c r="G104" s="25"/>
      <c r="H104" s="17"/>
      <c r="I104" s="18"/>
      <c r="J104" s="19"/>
      <c r="K104" s="14"/>
      <c r="L104" s="19"/>
      <c r="M104" s="20"/>
      <c r="N104" s="21"/>
      <c r="O104" s="107"/>
      <c r="P104" s="22"/>
      <c r="Q104" s="23"/>
      <c r="R104" s="107"/>
      <c r="S104" s="107"/>
      <c r="T104" s="107"/>
      <c r="U104" s="107"/>
      <c r="V104" s="107"/>
    </row>
    <row r="105" spans="1:22" s="12" customFormat="1" ht="19.149999999999999" customHeight="1" x14ac:dyDescent="0.2">
      <c r="A105" s="107"/>
      <c r="B105" s="107"/>
      <c r="C105" s="107"/>
      <c r="D105" s="107"/>
      <c r="E105" s="14"/>
      <c r="F105" s="24"/>
      <c r="G105" s="25"/>
      <c r="H105" s="17"/>
      <c r="I105" s="18"/>
      <c r="J105" s="19"/>
      <c r="K105" s="14"/>
      <c r="L105" s="19"/>
      <c r="M105" s="20"/>
      <c r="N105" s="21"/>
      <c r="O105" s="107"/>
      <c r="P105" s="22"/>
      <c r="Q105" s="23"/>
      <c r="R105" s="107"/>
      <c r="S105" s="107"/>
      <c r="T105" s="107"/>
      <c r="U105" s="107"/>
      <c r="V105" s="107"/>
    </row>
    <row r="106" spans="1:22" s="12" customFormat="1" ht="19.149999999999999" customHeight="1" x14ac:dyDescent="0.2">
      <c r="A106" s="107"/>
      <c r="B106" s="107"/>
      <c r="C106" s="107"/>
      <c r="D106" s="107"/>
      <c r="E106" s="14"/>
      <c r="F106" s="24"/>
      <c r="G106" s="25"/>
      <c r="H106" s="17"/>
      <c r="I106" s="18"/>
      <c r="J106" s="19"/>
      <c r="K106" s="14"/>
      <c r="L106" s="19"/>
      <c r="M106" s="20"/>
      <c r="N106" s="21"/>
      <c r="O106" s="107"/>
      <c r="P106" s="22"/>
      <c r="Q106" s="23"/>
      <c r="R106" s="107"/>
      <c r="S106" s="107"/>
      <c r="T106" s="107"/>
      <c r="U106" s="107"/>
      <c r="V106" s="107"/>
    </row>
    <row r="107" spans="1:22" s="12" customFormat="1" ht="19.149999999999999" customHeight="1" x14ac:dyDescent="0.2">
      <c r="A107" s="107"/>
      <c r="B107" s="107"/>
      <c r="C107" s="107"/>
      <c r="D107" s="107"/>
      <c r="E107" s="14"/>
      <c r="F107" s="24"/>
      <c r="G107" s="25"/>
      <c r="H107" s="17"/>
      <c r="I107" s="18"/>
      <c r="J107" s="19"/>
      <c r="K107" s="14"/>
      <c r="L107" s="19"/>
      <c r="M107" s="20"/>
      <c r="N107" s="21"/>
      <c r="O107" s="107"/>
      <c r="P107" s="22"/>
      <c r="Q107" s="23"/>
      <c r="R107" s="107"/>
      <c r="S107" s="107"/>
      <c r="T107" s="107"/>
      <c r="U107" s="107"/>
      <c r="V107" s="107"/>
    </row>
    <row r="108" spans="1:22" s="12" customFormat="1" ht="19.149999999999999" customHeight="1" x14ac:dyDescent="0.2">
      <c r="A108" s="107"/>
      <c r="B108" s="107"/>
      <c r="C108" s="107"/>
      <c r="D108" s="107"/>
      <c r="E108" s="14"/>
      <c r="F108" s="24"/>
      <c r="G108" s="25"/>
      <c r="H108" s="17"/>
      <c r="I108" s="18"/>
      <c r="J108" s="19"/>
      <c r="K108" s="14"/>
      <c r="L108" s="19"/>
      <c r="M108" s="20"/>
      <c r="N108" s="21"/>
      <c r="O108" s="107"/>
      <c r="P108" s="22"/>
      <c r="Q108" s="23"/>
      <c r="R108" s="107"/>
      <c r="S108" s="107"/>
      <c r="T108" s="107"/>
      <c r="U108" s="107"/>
      <c r="V108" s="107"/>
    </row>
    <row r="109" spans="1:22" s="12" customFormat="1" ht="19.149999999999999" customHeight="1" x14ac:dyDescent="0.2">
      <c r="A109" s="107"/>
      <c r="B109" s="107"/>
      <c r="C109" s="107"/>
      <c r="D109" s="107"/>
      <c r="E109" s="14"/>
      <c r="F109" s="24"/>
      <c r="G109" s="25"/>
      <c r="H109" s="17"/>
      <c r="I109" s="18"/>
      <c r="J109" s="19"/>
      <c r="K109" s="14"/>
      <c r="L109" s="19"/>
      <c r="M109" s="20"/>
      <c r="N109" s="21"/>
      <c r="O109" s="107"/>
      <c r="P109" s="22"/>
      <c r="Q109" s="23"/>
      <c r="R109" s="107"/>
      <c r="S109" s="107"/>
      <c r="T109" s="107"/>
      <c r="U109" s="107"/>
      <c r="V109" s="107"/>
    </row>
    <row r="110" spans="1:22" s="12" customFormat="1" ht="19.149999999999999" customHeight="1" x14ac:dyDescent="0.2">
      <c r="A110" s="107"/>
      <c r="B110" s="107"/>
      <c r="C110" s="107"/>
      <c r="D110" s="107"/>
      <c r="E110" s="14"/>
      <c r="F110" s="24"/>
      <c r="G110" s="25"/>
      <c r="H110" s="17"/>
      <c r="I110" s="18"/>
      <c r="J110" s="19"/>
      <c r="K110" s="14"/>
      <c r="L110" s="19"/>
      <c r="M110" s="20"/>
      <c r="N110" s="21"/>
      <c r="O110" s="107"/>
      <c r="P110" s="22"/>
      <c r="Q110" s="23"/>
      <c r="R110" s="107"/>
      <c r="S110" s="107"/>
      <c r="T110" s="107"/>
      <c r="U110" s="107"/>
      <c r="V110" s="107"/>
    </row>
    <row r="111" spans="1:22" s="12" customFormat="1" ht="19.149999999999999" customHeight="1" x14ac:dyDescent="0.2">
      <c r="A111" s="107"/>
      <c r="B111" s="107"/>
      <c r="C111" s="107"/>
      <c r="D111" s="107"/>
      <c r="E111" s="14"/>
      <c r="F111" s="24"/>
      <c r="G111" s="25"/>
      <c r="H111" s="17"/>
      <c r="I111" s="18"/>
      <c r="J111" s="19"/>
      <c r="K111" s="14"/>
      <c r="L111" s="19"/>
      <c r="M111" s="20"/>
      <c r="N111" s="21"/>
      <c r="O111" s="107"/>
      <c r="P111" s="22"/>
      <c r="Q111" s="23"/>
      <c r="R111" s="107"/>
      <c r="S111" s="107"/>
      <c r="T111" s="107"/>
      <c r="U111" s="107"/>
      <c r="V111" s="107"/>
    </row>
    <row r="112" spans="1:22" s="12" customFormat="1" ht="19.149999999999999" customHeight="1" x14ac:dyDescent="0.2">
      <c r="A112" s="107"/>
      <c r="B112" s="28"/>
      <c r="C112" s="107"/>
      <c r="D112" s="107"/>
      <c r="E112" s="14"/>
      <c r="F112" s="24"/>
      <c r="G112" s="25"/>
      <c r="H112" s="17"/>
      <c r="I112" s="18"/>
      <c r="J112" s="19"/>
      <c r="K112" s="14"/>
      <c r="L112" s="19"/>
      <c r="M112" s="20"/>
      <c r="N112" s="21"/>
      <c r="O112" s="107"/>
      <c r="P112" s="22"/>
      <c r="Q112" s="23"/>
      <c r="R112" s="107"/>
      <c r="S112" s="107"/>
      <c r="T112" s="107"/>
      <c r="U112" s="107"/>
      <c r="V112" s="107"/>
    </row>
    <row r="113" spans="1:22" s="12" customFormat="1" ht="19.149999999999999" customHeight="1" x14ac:dyDescent="0.2">
      <c r="A113" s="107"/>
      <c r="B113" s="107"/>
      <c r="C113" s="107"/>
      <c r="D113" s="107"/>
      <c r="E113" s="14"/>
      <c r="F113" s="24"/>
      <c r="G113" s="25"/>
      <c r="H113" s="17"/>
      <c r="I113" s="18"/>
      <c r="J113" s="19"/>
      <c r="K113" s="14"/>
      <c r="L113" s="19"/>
      <c r="M113" s="20"/>
      <c r="N113" s="21"/>
      <c r="O113" s="107"/>
      <c r="P113" s="22"/>
      <c r="Q113" s="23"/>
      <c r="R113" s="107"/>
      <c r="S113" s="107"/>
      <c r="T113" s="107"/>
      <c r="U113" s="107"/>
      <c r="V113" s="107"/>
    </row>
    <row r="114" spans="1:22" s="12" customFormat="1" ht="19.149999999999999" customHeight="1" x14ac:dyDescent="0.2">
      <c r="A114" s="107"/>
      <c r="B114" s="107"/>
      <c r="C114" s="107"/>
      <c r="D114" s="107"/>
      <c r="E114" s="14"/>
      <c r="F114" s="24"/>
      <c r="G114" s="25"/>
      <c r="H114" s="17"/>
      <c r="I114" s="18"/>
      <c r="J114" s="19"/>
      <c r="K114" s="14"/>
      <c r="L114" s="19"/>
      <c r="M114" s="20"/>
      <c r="N114" s="21"/>
      <c r="O114" s="107"/>
      <c r="P114" s="22"/>
      <c r="Q114" s="23"/>
      <c r="R114" s="107"/>
      <c r="S114" s="107"/>
      <c r="T114" s="107"/>
      <c r="U114" s="107"/>
      <c r="V114" s="107"/>
    </row>
    <row r="115" spans="1:22" s="12" customFormat="1" ht="19.149999999999999" customHeight="1" x14ac:dyDescent="0.2">
      <c r="A115" s="107"/>
      <c r="B115" s="107"/>
      <c r="C115" s="107"/>
      <c r="D115" s="107"/>
      <c r="E115" s="14"/>
      <c r="F115" s="24"/>
      <c r="G115" s="25"/>
      <c r="H115" s="17"/>
      <c r="I115" s="18"/>
      <c r="J115" s="19"/>
      <c r="K115" s="14"/>
      <c r="L115" s="19"/>
      <c r="M115" s="20"/>
      <c r="N115" s="21"/>
      <c r="O115" s="107"/>
      <c r="P115" s="22"/>
      <c r="Q115" s="23"/>
      <c r="R115" s="107"/>
      <c r="S115" s="107"/>
      <c r="T115" s="107"/>
      <c r="U115" s="107"/>
      <c r="V115" s="107"/>
    </row>
    <row r="116" spans="1:22" s="12" customFormat="1" ht="19.149999999999999" customHeight="1" x14ac:dyDescent="0.2">
      <c r="A116" s="107"/>
      <c r="B116" s="107"/>
      <c r="C116" s="107"/>
      <c r="D116" s="107"/>
      <c r="E116" s="14"/>
      <c r="F116" s="24"/>
      <c r="G116" s="25"/>
      <c r="H116" s="17"/>
      <c r="I116" s="18"/>
      <c r="J116" s="19"/>
      <c r="K116" s="14"/>
      <c r="L116" s="19"/>
      <c r="M116" s="20"/>
      <c r="N116" s="21"/>
      <c r="O116" s="107"/>
      <c r="P116" s="22"/>
      <c r="Q116" s="23"/>
      <c r="R116" s="107"/>
      <c r="S116" s="107"/>
      <c r="T116" s="107"/>
      <c r="U116" s="107"/>
      <c r="V116" s="107"/>
    </row>
    <row r="117" spans="1:22" s="12" customFormat="1" ht="19.149999999999999" customHeight="1" x14ac:dyDescent="0.2">
      <c r="A117" s="107"/>
      <c r="B117" s="107"/>
      <c r="C117" s="30"/>
      <c r="D117" s="107"/>
      <c r="E117" s="14"/>
      <c r="F117" s="24"/>
      <c r="G117" s="25"/>
      <c r="H117" s="17"/>
      <c r="I117" s="18"/>
      <c r="J117" s="19"/>
      <c r="K117" s="14"/>
      <c r="L117" s="19"/>
      <c r="M117" s="20"/>
      <c r="N117" s="21"/>
      <c r="O117" s="107"/>
      <c r="P117" s="22"/>
      <c r="Q117" s="23"/>
      <c r="R117" s="107"/>
      <c r="S117" s="107"/>
      <c r="T117" s="107"/>
      <c r="U117" s="107"/>
      <c r="V117" s="107"/>
    </row>
    <row r="118" spans="1:22" s="12" customFormat="1" ht="19.149999999999999" customHeight="1" x14ac:dyDescent="0.2">
      <c r="A118" s="107"/>
      <c r="B118" s="107"/>
      <c r="C118" s="107"/>
      <c r="D118" s="107"/>
      <c r="E118" s="14"/>
      <c r="F118" s="24"/>
      <c r="G118" s="25"/>
      <c r="H118" s="17"/>
      <c r="I118" s="18"/>
      <c r="J118" s="19"/>
      <c r="K118" s="14"/>
      <c r="L118" s="19"/>
      <c r="M118" s="20"/>
      <c r="N118" s="21"/>
      <c r="O118" s="107"/>
      <c r="P118" s="22"/>
      <c r="Q118" s="23"/>
      <c r="R118" s="107"/>
      <c r="S118" s="107"/>
      <c r="T118" s="107"/>
      <c r="U118" s="107"/>
      <c r="V118" s="107"/>
    </row>
    <row r="119" spans="1:22" s="12" customFormat="1" ht="19.149999999999999" customHeight="1" x14ac:dyDescent="0.2">
      <c r="A119" s="107"/>
      <c r="B119" s="107"/>
      <c r="C119" s="107"/>
      <c r="D119" s="107"/>
      <c r="E119" s="14"/>
      <c r="F119" s="24"/>
      <c r="G119" s="25"/>
      <c r="H119" s="17"/>
      <c r="I119" s="18"/>
      <c r="J119" s="19"/>
      <c r="K119" s="14"/>
      <c r="L119" s="19"/>
      <c r="M119" s="20"/>
      <c r="N119" s="21"/>
      <c r="O119" s="107"/>
      <c r="P119" s="22"/>
      <c r="Q119" s="23"/>
      <c r="R119" s="107"/>
      <c r="S119" s="107"/>
      <c r="T119" s="107"/>
      <c r="U119" s="107"/>
      <c r="V119" s="107"/>
    </row>
    <row r="120" spans="1:22" s="12" customFormat="1" ht="19.149999999999999" customHeight="1" x14ac:dyDescent="0.2">
      <c r="A120" s="107"/>
      <c r="B120" s="107"/>
      <c r="C120" s="107"/>
      <c r="D120" s="107"/>
      <c r="E120" s="14"/>
      <c r="F120" s="24"/>
      <c r="G120" s="25"/>
      <c r="H120" s="17"/>
      <c r="I120" s="18"/>
      <c r="J120" s="19"/>
      <c r="K120" s="14"/>
      <c r="L120" s="19"/>
      <c r="M120" s="20"/>
      <c r="N120" s="21"/>
      <c r="O120" s="107"/>
      <c r="P120" s="22"/>
      <c r="Q120" s="23"/>
      <c r="R120" s="107"/>
      <c r="S120" s="107"/>
      <c r="T120" s="107"/>
      <c r="U120" s="107"/>
      <c r="V120" s="107"/>
    </row>
    <row r="121" spans="1:22" s="12" customFormat="1" ht="19.149999999999999" customHeight="1" x14ac:dyDescent="0.2">
      <c r="A121" s="107"/>
      <c r="B121" s="107"/>
      <c r="C121" s="107"/>
      <c r="D121" s="107"/>
      <c r="E121" s="14"/>
      <c r="F121" s="24"/>
      <c r="G121" s="25"/>
      <c r="H121" s="17"/>
      <c r="I121" s="18"/>
      <c r="J121" s="19"/>
      <c r="K121" s="14"/>
      <c r="L121" s="19"/>
      <c r="M121" s="20"/>
      <c r="N121" s="21"/>
      <c r="O121" s="107"/>
      <c r="P121" s="22"/>
      <c r="Q121" s="23"/>
      <c r="R121" s="107"/>
      <c r="S121" s="107"/>
      <c r="T121" s="107"/>
      <c r="U121" s="107"/>
      <c r="V121" s="107"/>
    </row>
    <row r="122" spans="1:22" s="12" customFormat="1" ht="19.149999999999999" customHeight="1" x14ac:dyDescent="0.2">
      <c r="A122" s="107"/>
      <c r="B122" s="107"/>
      <c r="C122" s="107"/>
      <c r="D122" s="107"/>
      <c r="E122" s="14"/>
      <c r="F122" s="24"/>
      <c r="G122" s="25"/>
      <c r="H122" s="17"/>
      <c r="I122" s="18"/>
      <c r="J122" s="19"/>
      <c r="K122" s="14"/>
      <c r="L122" s="19"/>
      <c r="M122" s="20"/>
      <c r="N122" s="21"/>
      <c r="O122" s="107"/>
      <c r="P122" s="22"/>
      <c r="Q122" s="23"/>
      <c r="R122" s="107"/>
      <c r="S122" s="107"/>
      <c r="T122" s="107"/>
      <c r="U122" s="107"/>
      <c r="V122" s="107"/>
    </row>
    <row r="123" spans="1:22" s="12" customFormat="1" ht="19.149999999999999" customHeight="1" x14ac:dyDescent="0.2">
      <c r="A123" s="107"/>
      <c r="B123" s="107"/>
      <c r="C123" s="107"/>
      <c r="D123" s="107"/>
      <c r="E123" s="14"/>
      <c r="F123" s="24"/>
      <c r="G123" s="25"/>
      <c r="H123" s="17"/>
      <c r="I123" s="18"/>
      <c r="J123" s="19"/>
      <c r="K123" s="14"/>
      <c r="L123" s="19"/>
      <c r="M123" s="20"/>
      <c r="N123" s="21"/>
      <c r="O123" s="107"/>
      <c r="P123" s="22"/>
      <c r="Q123" s="23"/>
      <c r="R123" s="107"/>
      <c r="S123" s="107"/>
      <c r="T123" s="107"/>
      <c r="U123" s="107"/>
      <c r="V123" s="107"/>
    </row>
    <row r="124" spans="1:22" s="12" customFormat="1" ht="19.149999999999999" customHeight="1" x14ac:dyDescent="0.2">
      <c r="A124" s="107"/>
      <c r="B124" s="107"/>
      <c r="C124" s="107"/>
      <c r="D124" s="107"/>
      <c r="E124" s="14"/>
      <c r="F124" s="24"/>
      <c r="G124" s="25"/>
      <c r="H124" s="17"/>
      <c r="I124" s="18"/>
      <c r="J124" s="19"/>
      <c r="K124" s="14"/>
      <c r="L124" s="19"/>
      <c r="M124" s="20"/>
      <c r="N124" s="21"/>
      <c r="O124" s="107"/>
      <c r="P124" s="22"/>
      <c r="Q124" s="23"/>
      <c r="R124" s="107"/>
      <c r="S124" s="107"/>
      <c r="T124" s="107"/>
      <c r="U124" s="107"/>
      <c r="V124" s="107"/>
    </row>
    <row r="125" spans="1:22" s="12" customFormat="1" ht="19.149999999999999" customHeight="1" x14ac:dyDescent="0.2">
      <c r="A125" s="107"/>
      <c r="B125" s="107"/>
      <c r="C125" s="107"/>
      <c r="D125" s="107"/>
      <c r="E125" s="14"/>
      <c r="F125" s="24"/>
      <c r="G125" s="25"/>
      <c r="H125" s="17"/>
      <c r="I125" s="18"/>
      <c r="J125" s="19"/>
      <c r="K125" s="14"/>
      <c r="L125" s="19"/>
      <c r="M125" s="20"/>
      <c r="N125" s="21"/>
      <c r="O125" s="107"/>
      <c r="P125" s="22"/>
      <c r="Q125" s="23"/>
      <c r="R125" s="107"/>
      <c r="S125" s="107"/>
      <c r="T125" s="107"/>
      <c r="U125" s="107"/>
      <c r="V125" s="107"/>
    </row>
    <row r="126" spans="1:22" s="12" customFormat="1" ht="19.149999999999999" customHeight="1" x14ac:dyDescent="0.2">
      <c r="A126" s="107"/>
      <c r="B126" s="107"/>
      <c r="C126" s="107"/>
      <c r="D126" s="107"/>
      <c r="E126" s="14"/>
      <c r="F126" s="24"/>
      <c r="G126" s="25"/>
      <c r="H126" s="17"/>
      <c r="I126" s="18"/>
      <c r="J126" s="19"/>
      <c r="K126" s="14"/>
      <c r="L126" s="19"/>
      <c r="M126" s="20"/>
      <c r="N126" s="21"/>
      <c r="O126" s="107"/>
      <c r="P126" s="22"/>
      <c r="Q126" s="23"/>
      <c r="R126" s="107"/>
      <c r="S126" s="107"/>
      <c r="T126" s="107"/>
      <c r="U126" s="107"/>
      <c r="V126" s="107"/>
    </row>
    <row r="127" spans="1:22" s="12" customFormat="1" ht="19.149999999999999" customHeight="1" x14ac:dyDescent="0.2">
      <c r="A127" s="107"/>
      <c r="B127" s="107"/>
      <c r="C127" s="107"/>
      <c r="D127" s="107"/>
      <c r="E127" s="14"/>
      <c r="F127" s="24"/>
      <c r="G127" s="25"/>
      <c r="H127" s="17"/>
      <c r="I127" s="18"/>
      <c r="J127" s="19"/>
      <c r="K127" s="14"/>
      <c r="L127" s="19"/>
      <c r="M127" s="20"/>
      <c r="N127" s="21"/>
      <c r="O127" s="107"/>
      <c r="P127" s="20"/>
      <c r="Q127" s="23"/>
      <c r="R127" s="107"/>
      <c r="S127" s="107"/>
      <c r="T127" s="107"/>
      <c r="U127" s="107"/>
      <c r="V127" s="107"/>
    </row>
    <row r="128" spans="1:22" s="12" customFormat="1" ht="19.149999999999999" customHeight="1" x14ac:dyDescent="0.2">
      <c r="A128" s="107"/>
      <c r="B128" s="107"/>
      <c r="C128" s="107"/>
      <c r="D128" s="107"/>
      <c r="E128" s="14"/>
      <c r="F128" s="24"/>
      <c r="G128" s="25"/>
      <c r="H128" s="17"/>
      <c r="I128" s="18"/>
      <c r="J128" s="19"/>
      <c r="K128" s="14"/>
      <c r="L128" s="19"/>
      <c r="M128" s="20"/>
      <c r="N128" s="21"/>
      <c r="O128" s="107"/>
      <c r="P128" s="20"/>
      <c r="Q128" s="23"/>
      <c r="R128" s="107"/>
      <c r="S128" s="107"/>
      <c r="T128" s="107"/>
      <c r="U128" s="107"/>
      <c r="V128" s="107"/>
    </row>
    <row r="129" spans="1:22" s="12" customFormat="1" ht="19.149999999999999" customHeight="1" x14ac:dyDescent="0.2">
      <c r="A129" s="107"/>
      <c r="B129" s="107"/>
      <c r="C129" s="107"/>
      <c r="D129" s="107"/>
      <c r="E129" s="14"/>
      <c r="F129" s="24"/>
      <c r="G129" s="25"/>
      <c r="H129" s="17"/>
      <c r="I129" s="18"/>
      <c r="J129" s="19"/>
      <c r="K129" s="14"/>
      <c r="L129" s="19"/>
      <c r="M129" s="20"/>
      <c r="N129" s="21"/>
      <c r="O129" s="107"/>
      <c r="P129" s="20"/>
      <c r="Q129" s="23"/>
      <c r="R129" s="107"/>
      <c r="S129" s="107"/>
      <c r="T129" s="107"/>
      <c r="U129" s="107"/>
      <c r="V129" s="107"/>
    </row>
    <row r="130" spans="1:22" s="12" customFormat="1" ht="19.149999999999999" customHeight="1" x14ac:dyDescent="0.2">
      <c r="A130" s="107"/>
      <c r="B130" s="107"/>
      <c r="C130" s="107"/>
      <c r="D130" s="107"/>
      <c r="E130" s="14"/>
      <c r="F130" s="24"/>
      <c r="G130" s="25"/>
      <c r="H130" s="17"/>
      <c r="I130" s="18"/>
      <c r="J130" s="19"/>
      <c r="K130" s="14"/>
      <c r="L130" s="19"/>
      <c r="M130" s="20"/>
      <c r="N130" s="21"/>
      <c r="O130" s="107"/>
      <c r="P130" s="20"/>
      <c r="Q130" s="23"/>
      <c r="R130" s="107"/>
      <c r="S130" s="107"/>
      <c r="T130" s="107"/>
      <c r="U130" s="107"/>
      <c r="V130" s="107"/>
    </row>
    <row r="131" spans="1:22" s="12" customFormat="1" ht="19.149999999999999" customHeight="1" x14ac:dyDescent="0.2">
      <c r="A131" s="107"/>
      <c r="B131" s="107"/>
      <c r="C131" s="107"/>
      <c r="D131" s="107"/>
      <c r="E131" s="14"/>
      <c r="F131" s="24"/>
      <c r="G131" s="25"/>
      <c r="H131" s="17"/>
      <c r="I131" s="18"/>
      <c r="J131" s="19"/>
      <c r="K131" s="14"/>
      <c r="L131" s="19"/>
      <c r="M131" s="20"/>
      <c r="N131" s="21"/>
      <c r="O131" s="107"/>
      <c r="P131" s="22"/>
      <c r="Q131" s="23"/>
      <c r="R131" s="107"/>
      <c r="S131" s="107"/>
      <c r="T131" s="107"/>
      <c r="U131" s="107"/>
      <c r="V131" s="107"/>
    </row>
    <row r="132" spans="1:22" s="12" customFormat="1" ht="19.149999999999999" customHeight="1" x14ac:dyDescent="0.2">
      <c r="A132" s="107"/>
      <c r="B132" s="107"/>
      <c r="C132" s="107"/>
      <c r="D132" s="107"/>
      <c r="E132" s="14"/>
      <c r="F132" s="24"/>
      <c r="G132" s="25"/>
      <c r="H132" s="17"/>
      <c r="I132" s="18"/>
      <c r="J132" s="19"/>
      <c r="K132" s="14"/>
      <c r="L132" s="19"/>
      <c r="M132" s="20"/>
      <c r="N132" s="21"/>
      <c r="O132" s="107"/>
      <c r="P132" s="22"/>
      <c r="Q132" s="23"/>
      <c r="R132" s="107"/>
      <c r="S132" s="107"/>
      <c r="T132" s="107"/>
      <c r="U132" s="107"/>
      <c r="V132" s="107"/>
    </row>
    <row r="133" spans="1:22" s="12" customFormat="1" x14ac:dyDescent="0.2">
      <c r="A133" s="107"/>
      <c r="B133" s="107"/>
      <c r="C133" s="107"/>
      <c r="D133" s="107"/>
      <c r="E133" s="31"/>
      <c r="F133" s="24"/>
      <c r="G133" s="32"/>
      <c r="H133" s="17"/>
      <c r="I133" s="18"/>
      <c r="J133" s="19"/>
      <c r="K133" s="33"/>
      <c r="L133" s="19"/>
      <c r="M133" s="20"/>
      <c r="N133" s="34"/>
      <c r="O133" s="107"/>
      <c r="P133" s="22"/>
      <c r="Q133" s="23"/>
      <c r="R133" s="107"/>
      <c r="S133" s="107"/>
      <c r="T133" s="107"/>
      <c r="U133" s="107"/>
      <c r="V133" s="107"/>
    </row>
    <row r="134" spans="1:22" s="12" customFormat="1" x14ac:dyDescent="0.2">
      <c r="A134" s="107"/>
      <c r="B134" s="28"/>
      <c r="C134" s="107"/>
      <c r="D134" s="107"/>
      <c r="E134" s="35"/>
      <c r="F134" s="36"/>
      <c r="G134" s="37"/>
      <c r="H134" s="38"/>
      <c r="I134" s="39"/>
      <c r="J134" s="39"/>
      <c r="K134" s="35"/>
      <c r="L134" s="107"/>
      <c r="M134" s="40"/>
      <c r="O134" s="107"/>
      <c r="P134" s="22"/>
      <c r="Q134" s="23"/>
      <c r="R134" s="107"/>
      <c r="S134" s="107"/>
      <c r="T134" s="107"/>
      <c r="U134" s="107"/>
      <c r="V134" s="107"/>
    </row>
    <row r="135" spans="1:22" s="12" customFormat="1" x14ac:dyDescent="0.2">
      <c r="A135" s="107"/>
      <c r="B135" s="107"/>
      <c r="C135" s="107"/>
      <c r="D135" s="107"/>
      <c r="E135" s="35"/>
      <c r="F135" s="36"/>
      <c r="G135" s="37"/>
      <c r="H135" s="38"/>
      <c r="I135" s="39"/>
      <c r="J135" s="39"/>
      <c r="K135" s="35"/>
      <c r="L135" s="107"/>
      <c r="M135" s="40"/>
      <c r="O135" s="107"/>
      <c r="P135" s="22"/>
      <c r="Q135" s="23"/>
      <c r="R135" s="107"/>
      <c r="S135" s="107"/>
      <c r="T135" s="107"/>
      <c r="U135" s="107"/>
      <c r="V135" s="107"/>
    </row>
    <row r="136" spans="1:22" s="12" customFormat="1" x14ac:dyDescent="0.2">
      <c r="A136" s="107"/>
      <c r="B136" s="107"/>
      <c r="C136" s="107"/>
      <c r="D136" s="107"/>
      <c r="E136" s="35"/>
      <c r="F136" s="36"/>
      <c r="G136" s="37"/>
      <c r="H136" s="38"/>
      <c r="I136" s="39"/>
      <c r="J136" s="39"/>
      <c r="K136" s="35"/>
      <c r="L136" s="107"/>
      <c r="M136" s="40"/>
      <c r="O136" s="107"/>
      <c r="P136" s="22"/>
      <c r="Q136" s="23"/>
      <c r="R136" s="107"/>
      <c r="S136" s="107"/>
      <c r="T136" s="107"/>
      <c r="U136" s="107"/>
      <c r="V136" s="107"/>
    </row>
    <row r="137" spans="1:22" s="12" customFormat="1" x14ac:dyDescent="0.2">
      <c r="A137" s="107"/>
      <c r="B137" s="107"/>
      <c r="C137" s="107"/>
      <c r="D137" s="107"/>
      <c r="E137" s="35"/>
      <c r="F137" s="36"/>
      <c r="G137" s="37"/>
      <c r="H137" s="38"/>
      <c r="I137" s="39"/>
      <c r="J137" s="39"/>
      <c r="K137" s="35"/>
      <c r="L137" s="107"/>
      <c r="M137" s="40"/>
      <c r="O137" s="107"/>
      <c r="P137" s="22"/>
      <c r="Q137" s="23"/>
      <c r="R137" s="107"/>
      <c r="S137" s="107"/>
      <c r="T137" s="107"/>
      <c r="U137" s="107"/>
      <c r="V137" s="107"/>
    </row>
    <row r="138" spans="1:22" s="12" customFormat="1" x14ac:dyDescent="0.2">
      <c r="A138" s="107"/>
      <c r="B138" s="107"/>
      <c r="C138" s="107"/>
      <c r="D138" s="107"/>
      <c r="E138" s="35"/>
      <c r="F138" s="36"/>
      <c r="G138" s="37"/>
      <c r="H138" s="38"/>
      <c r="I138" s="39"/>
      <c r="J138" s="39"/>
      <c r="K138" s="35"/>
      <c r="L138" s="107"/>
      <c r="M138" s="40"/>
      <c r="O138" s="107"/>
      <c r="P138" s="22"/>
      <c r="Q138" s="23"/>
      <c r="R138" s="107"/>
      <c r="S138" s="107"/>
      <c r="T138" s="107"/>
      <c r="U138" s="107"/>
      <c r="V138" s="107"/>
    </row>
    <row r="139" spans="1:22" s="12" customFormat="1" x14ac:dyDescent="0.2">
      <c r="A139" s="107"/>
      <c r="B139" s="107"/>
      <c r="C139" s="107"/>
      <c r="D139" s="107"/>
      <c r="E139" s="35"/>
      <c r="F139" s="36"/>
      <c r="G139" s="37"/>
      <c r="H139" s="38"/>
      <c r="I139" s="39"/>
      <c r="J139" s="39"/>
      <c r="K139" s="35"/>
      <c r="L139" s="107"/>
      <c r="M139" s="40"/>
      <c r="O139" s="107"/>
      <c r="P139" s="22"/>
      <c r="Q139" s="23"/>
      <c r="R139" s="107"/>
      <c r="S139" s="107"/>
      <c r="T139" s="107"/>
      <c r="U139" s="107"/>
      <c r="V139" s="107"/>
    </row>
    <row r="140" spans="1:22" s="12" customFormat="1" x14ac:dyDescent="0.2">
      <c r="A140" s="107"/>
      <c r="B140" s="107"/>
      <c r="C140" s="107"/>
      <c r="D140" s="107"/>
      <c r="E140" s="35"/>
      <c r="F140" s="36"/>
      <c r="G140" s="37"/>
      <c r="H140" s="38"/>
      <c r="I140" s="39"/>
      <c r="J140" s="39"/>
      <c r="K140" s="35"/>
      <c r="L140" s="107"/>
      <c r="M140" s="40"/>
      <c r="O140" s="107"/>
      <c r="P140" s="22"/>
      <c r="Q140" s="23"/>
      <c r="R140" s="107"/>
      <c r="S140" s="107"/>
      <c r="T140" s="107"/>
      <c r="U140" s="107"/>
      <c r="V140" s="107"/>
    </row>
    <row r="141" spans="1:22" s="12" customFormat="1" x14ac:dyDescent="0.2">
      <c r="A141" s="107"/>
      <c r="B141" s="107"/>
      <c r="C141" s="107"/>
      <c r="D141" s="107"/>
      <c r="E141" s="35"/>
      <c r="F141" s="36"/>
      <c r="G141" s="37"/>
      <c r="H141" s="38"/>
      <c r="I141" s="39"/>
      <c r="J141" s="39"/>
      <c r="K141" s="35"/>
      <c r="L141" s="107"/>
      <c r="M141" s="40"/>
      <c r="O141" s="107"/>
      <c r="P141" s="22"/>
      <c r="Q141" s="23"/>
      <c r="R141" s="107"/>
      <c r="S141" s="107"/>
      <c r="T141" s="107"/>
      <c r="U141" s="107"/>
      <c r="V141" s="107"/>
    </row>
    <row r="142" spans="1:22" s="12" customFormat="1" x14ac:dyDescent="0.2">
      <c r="A142" s="107"/>
      <c r="B142" s="107"/>
      <c r="C142" s="107"/>
      <c r="D142" s="107"/>
      <c r="E142" s="35"/>
      <c r="F142" s="36"/>
      <c r="G142" s="37"/>
      <c r="H142" s="38"/>
      <c r="I142" s="39"/>
      <c r="J142" s="39"/>
      <c r="K142" s="35"/>
      <c r="L142" s="107"/>
      <c r="M142" s="40"/>
      <c r="O142" s="107"/>
      <c r="P142" s="22"/>
      <c r="Q142" s="23"/>
      <c r="R142" s="107"/>
      <c r="S142" s="107"/>
      <c r="T142" s="107"/>
      <c r="U142" s="107"/>
      <c r="V142" s="107"/>
    </row>
    <row r="143" spans="1:22" s="12" customFormat="1" x14ac:dyDescent="0.2">
      <c r="A143" s="107"/>
      <c r="B143" s="107"/>
      <c r="C143" s="107"/>
      <c r="D143" s="107"/>
      <c r="E143" s="35"/>
      <c r="F143" s="36"/>
      <c r="G143" s="37"/>
      <c r="H143" s="38"/>
      <c r="I143" s="39"/>
      <c r="J143" s="39"/>
      <c r="K143" s="35"/>
      <c r="L143" s="107"/>
      <c r="M143" s="40"/>
      <c r="O143" s="107"/>
      <c r="P143" s="22"/>
      <c r="Q143" s="23"/>
      <c r="R143" s="107"/>
      <c r="S143" s="107"/>
      <c r="T143" s="107"/>
      <c r="U143" s="107"/>
      <c r="V143" s="107"/>
    </row>
    <row r="144" spans="1:22" s="12" customFormat="1" x14ac:dyDescent="0.2">
      <c r="A144" s="107"/>
      <c r="B144" s="107"/>
      <c r="C144" s="107"/>
      <c r="D144" s="107"/>
      <c r="E144" s="35"/>
      <c r="F144" s="36"/>
      <c r="G144" s="37"/>
      <c r="H144" s="38"/>
      <c r="I144" s="39"/>
      <c r="J144" s="39"/>
      <c r="K144" s="35"/>
      <c r="L144" s="107"/>
      <c r="M144" s="40"/>
      <c r="O144" s="107"/>
      <c r="P144" s="22"/>
      <c r="Q144" s="23"/>
      <c r="R144" s="107"/>
      <c r="S144" s="107"/>
      <c r="T144" s="107"/>
      <c r="U144" s="107"/>
      <c r="V144" s="107"/>
    </row>
    <row r="145" spans="1:22" s="12" customFormat="1" x14ac:dyDescent="0.2">
      <c r="A145" s="107"/>
      <c r="B145" s="107"/>
      <c r="C145" s="107"/>
      <c r="D145" s="107"/>
      <c r="E145" s="35"/>
      <c r="F145" s="36"/>
      <c r="G145" s="37"/>
      <c r="H145" s="38"/>
      <c r="I145" s="39"/>
      <c r="J145" s="39"/>
      <c r="K145" s="35"/>
      <c r="L145" s="107"/>
      <c r="M145" s="40"/>
      <c r="O145" s="107"/>
      <c r="P145" s="22"/>
      <c r="Q145" s="23"/>
      <c r="R145" s="107"/>
      <c r="S145" s="107"/>
      <c r="T145" s="107"/>
      <c r="U145" s="107"/>
      <c r="V145" s="107"/>
    </row>
    <row r="146" spans="1:22" s="12" customFormat="1" x14ac:dyDescent="0.2">
      <c r="A146" s="107"/>
      <c r="B146" s="107"/>
      <c r="C146" s="107"/>
      <c r="D146" s="107"/>
      <c r="E146" s="35"/>
      <c r="F146" s="36"/>
      <c r="G146" s="37"/>
      <c r="H146" s="38"/>
      <c r="I146" s="39"/>
      <c r="J146" s="39"/>
      <c r="K146" s="35"/>
      <c r="L146" s="107"/>
      <c r="M146" s="40"/>
      <c r="O146" s="107"/>
      <c r="P146" s="22"/>
      <c r="Q146" s="23"/>
      <c r="R146" s="107"/>
      <c r="S146" s="107"/>
      <c r="T146" s="107"/>
      <c r="U146" s="107"/>
      <c r="V146" s="107"/>
    </row>
    <row r="147" spans="1:22" s="12" customFormat="1" x14ac:dyDescent="0.2">
      <c r="A147" s="107"/>
      <c r="B147" s="107"/>
      <c r="C147" s="107"/>
      <c r="D147" s="107"/>
      <c r="E147" s="35"/>
      <c r="F147" s="36"/>
      <c r="G147" s="37"/>
      <c r="H147" s="38"/>
      <c r="I147" s="39"/>
      <c r="J147" s="39"/>
      <c r="K147" s="35"/>
      <c r="L147" s="107"/>
      <c r="M147" s="40"/>
      <c r="O147" s="107"/>
      <c r="P147" s="22"/>
      <c r="Q147" s="23"/>
      <c r="R147" s="107"/>
      <c r="S147" s="107"/>
      <c r="T147" s="107"/>
      <c r="U147" s="107"/>
      <c r="V147" s="107"/>
    </row>
    <row r="148" spans="1:22" s="12" customFormat="1" x14ac:dyDescent="0.2">
      <c r="A148" s="107"/>
      <c r="B148" s="107"/>
      <c r="C148" s="107"/>
      <c r="D148" s="107"/>
      <c r="E148" s="35"/>
      <c r="F148" s="36"/>
      <c r="G148" s="37"/>
      <c r="H148" s="38"/>
      <c r="I148" s="39"/>
      <c r="J148" s="39"/>
      <c r="K148" s="35"/>
      <c r="L148" s="107"/>
      <c r="M148" s="40"/>
      <c r="O148" s="107"/>
      <c r="P148" s="22"/>
      <c r="Q148" s="23"/>
      <c r="R148" s="107"/>
      <c r="S148" s="107"/>
      <c r="T148" s="107"/>
      <c r="U148" s="107"/>
      <c r="V148" s="107"/>
    </row>
    <row r="149" spans="1:22" s="12" customFormat="1" x14ac:dyDescent="0.2">
      <c r="A149" s="107"/>
      <c r="B149" s="107"/>
      <c r="C149" s="107"/>
      <c r="D149" s="107"/>
      <c r="E149" s="35"/>
      <c r="F149" s="36"/>
      <c r="G149" s="37"/>
      <c r="H149" s="38"/>
      <c r="I149" s="39"/>
      <c r="J149" s="39"/>
      <c r="K149" s="35"/>
      <c r="L149" s="107"/>
      <c r="M149" s="40"/>
      <c r="O149" s="107"/>
      <c r="P149" s="22"/>
      <c r="Q149" s="23"/>
      <c r="R149" s="107"/>
      <c r="S149" s="107"/>
      <c r="T149" s="107"/>
      <c r="U149" s="107"/>
      <c r="V149" s="107"/>
    </row>
    <row r="150" spans="1:22" s="12" customFormat="1" x14ac:dyDescent="0.2">
      <c r="A150" s="107"/>
      <c r="B150" s="107"/>
      <c r="C150" s="107"/>
      <c r="D150" s="107"/>
      <c r="E150" s="35"/>
      <c r="F150" s="36"/>
      <c r="G150" s="37"/>
      <c r="H150" s="38"/>
      <c r="I150" s="39"/>
      <c r="J150" s="39"/>
      <c r="K150" s="35"/>
      <c r="L150" s="107"/>
      <c r="M150" s="40"/>
      <c r="O150" s="107"/>
      <c r="P150" s="22"/>
      <c r="Q150" s="23"/>
      <c r="R150" s="107"/>
      <c r="S150" s="107"/>
      <c r="T150" s="107"/>
      <c r="U150" s="107"/>
      <c r="V150" s="107"/>
    </row>
    <row r="151" spans="1:22" s="12" customFormat="1" x14ac:dyDescent="0.2">
      <c r="A151" s="107"/>
      <c r="B151" s="107"/>
      <c r="C151" s="107"/>
      <c r="D151" s="107"/>
      <c r="E151" s="35"/>
      <c r="F151" s="36"/>
      <c r="G151" s="37"/>
      <c r="H151" s="38"/>
      <c r="I151" s="39"/>
      <c r="J151" s="39"/>
      <c r="K151" s="35"/>
      <c r="L151" s="107"/>
      <c r="M151" s="40"/>
      <c r="O151" s="107"/>
      <c r="P151" s="22"/>
      <c r="Q151" s="23"/>
      <c r="R151" s="107"/>
      <c r="S151" s="107"/>
      <c r="T151" s="107"/>
      <c r="U151" s="107"/>
      <c r="V151" s="107"/>
    </row>
    <row r="152" spans="1:22" s="12" customFormat="1" x14ac:dyDescent="0.2">
      <c r="A152" s="107"/>
      <c r="B152" s="107"/>
      <c r="C152" s="107"/>
      <c r="D152" s="107"/>
      <c r="E152" s="35"/>
      <c r="F152" s="36"/>
      <c r="G152" s="37"/>
      <c r="H152" s="38"/>
      <c r="I152" s="39"/>
      <c r="J152" s="39"/>
      <c r="K152" s="35"/>
      <c r="L152" s="107"/>
      <c r="M152" s="40"/>
      <c r="O152" s="107"/>
      <c r="P152" s="22"/>
      <c r="Q152" s="23"/>
      <c r="R152" s="107"/>
      <c r="S152" s="107"/>
      <c r="T152" s="107"/>
      <c r="U152" s="107"/>
      <c r="V152" s="107"/>
    </row>
    <row r="153" spans="1:22" s="12" customFormat="1" x14ac:dyDescent="0.2">
      <c r="A153" s="107"/>
      <c r="B153" s="107"/>
      <c r="C153" s="107"/>
      <c r="D153" s="107"/>
      <c r="E153" s="35"/>
      <c r="F153" s="36"/>
      <c r="G153" s="37"/>
      <c r="H153" s="38"/>
      <c r="I153" s="39"/>
      <c r="J153" s="39"/>
      <c r="K153" s="35"/>
      <c r="L153" s="107"/>
      <c r="M153" s="40"/>
      <c r="O153" s="107"/>
      <c r="P153" s="22"/>
      <c r="Q153" s="23"/>
      <c r="R153" s="107"/>
      <c r="S153" s="107"/>
      <c r="T153" s="107"/>
      <c r="U153" s="107"/>
      <c r="V153" s="107"/>
    </row>
    <row r="154" spans="1:22" s="12" customFormat="1" x14ac:dyDescent="0.2">
      <c r="A154" s="107"/>
      <c r="B154" s="107"/>
      <c r="C154" s="107"/>
      <c r="D154" s="107"/>
      <c r="E154" s="35"/>
      <c r="F154" s="36"/>
      <c r="G154" s="37"/>
      <c r="H154" s="38"/>
      <c r="I154" s="39"/>
      <c r="J154" s="39"/>
      <c r="K154" s="35"/>
      <c r="L154" s="107"/>
      <c r="M154" s="40"/>
      <c r="O154" s="107"/>
      <c r="P154" s="22"/>
      <c r="Q154" s="23"/>
      <c r="R154" s="107"/>
      <c r="S154" s="107"/>
      <c r="T154" s="107"/>
      <c r="U154" s="107"/>
      <c r="V154" s="107"/>
    </row>
    <row r="155" spans="1:22" s="12" customFormat="1" x14ac:dyDescent="0.2">
      <c r="A155" s="107"/>
      <c r="B155" s="107"/>
      <c r="C155" s="107"/>
      <c r="D155" s="107"/>
      <c r="E155" s="35"/>
      <c r="F155" s="36"/>
      <c r="G155" s="37"/>
      <c r="H155" s="38"/>
      <c r="I155" s="39"/>
      <c r="J155" s="39"/>
      <c r="K155" s="35"/>
      <c r="L155" s="107"/>
      <c r="M155" s="40"/>
      <c r="O155" s="107"/>
      <c r="P155" s="22"/>
      <c r="Q155" s="23"/>
      <c r="R155" s="107"/>
      <c r="S155" s="107"/>
      <c r="T155" s="107"/>
      <c r="U155" s="107"/>
      <c r="V155" s="107"/>
    </row>
    <row r="156" spans="1:22" s="12" customFormat="1" x14ac:dyDescent="0.2">
      <c r="A156" s="107"/>
      <c r="B156" s="28"/>
      <c r="C156" s="107"/>
      <c r="D156" s="107"/>
      <c r="E156" s="35"/>
      <c r="F156" s="36"/>
      <c r="G156" s="37"/>
      <c r="H156" s="38"/>
      <c r="I156" s="39"/>
      <c r="J156" s="39"/>
      <c r="K156" s="35"/>
      <c r="L156" s="107"/>
      <c r="M156" s="40"/>
      <c r="O156" s="107"/>
      <c r="P156" s="22"/>
      <c r="Q156" s="23"/>
      <c r="R156" s="107"/>
      <c r="S156" s="107"/>
      <c r="T156" s="107"/>
      <c r="U156" s="107"/>
      <c r="V156" s="107"/>
    </row>
    <row r="157" spans="1:22" s="12" customFormat="1" x14ac:dyDescent="0.2">
      <c r="A157" s="107"/>
      <c r="B157" s="107"/>
      <c r="C157" s="107"/>
      <c r="D157" s="107"/>
      <c r="E157" s="35"/>
      <c r="F157" s="36"/>
      <c r="G157" s="37"/>
      <c r="H157" s="38"/>
      <c r="I157" s="39"/>
      <c r="J157" s="39"/>
      <c r="K157" s="35"/>
      <c r="L157" s="107"/>
      <c r="M157" s="40"/>
      <c r="O157" s="107"/>
      <c r="P157" s="22"/>
      <c r="Q157" s="23"/>
      <c r="R157" s="107"/>
      <c r="S157" s="107"/>
      <c r="T157" s="107"/>
      <c r="U157" s="107"/>
      <c r="V157" s="107"/>
    </row>
    <row r="158" spans="1:22" s="12" customFormat="1" x14ac:dyDescent="0.2">
      <c r="A158" s="107"/>
      <c r="B158" s="107"/>
      <c r="C158" s="107"/>
      <c r="D158" s="107"/>
      <c r="E158" s="35"/>
      <c r="F158" s="36"/>
      <c r="G158" s="37"/>
      <c r="H158" s="38"/>
      <c r="I158" s="39"/>
      <c r="J158" s="39"/>
      <c r="K158" s="35"/>
      <c r="L158" s="107"/>
      <c r="M158" s="40"/>
      <c r="O158" s="107"/>
      <c r="P158" s="22"/>
      <c r="Q158" s="23"/>
      <c r="R158" s="107"/>
      <c r="S158" s="107"/>
      <c r="T158" s="107"/>
      <c r="U158" s="107"/>
      <c r="V158" s="107"/>
    </row>
    <row r="159" spans="1:22" s="12" customFormat="1" x14ac:dyDescent="0.2">
      <c r="A159" s="107"/>
      <c r="B159" s="107"/>
      <c r="C159" s="107"/>
      <c r="D159" s="107"/>
      <c r="E159" s="35"/>
      <c r="F159" s="36"/>
      <c r="G159" s="37"/>
      <c r="H159" s="38"/>
      <c r="I159" s="39"/>
      <c r="J159" s="39"/>
      <c r="K159" s="35"/>
      <c r="L159" s="107"/>
      <c r="M159" s="40"/>
      <c r="O159" s="107"/>
      <c r="P159" s="22"/>
      <c r="Q159" s="23"/>
      <c r="R159" s="107"/>
      <c r="S159" s="107"/>
      <c r="T159" s="107"/>
      <c r="U159" s="107"/>
      <c r="V159" s="107"/>
    </row>
    <row r="160" spans="1:22" s="12" customFormat="1" x14ac:dyDescent="0.2">
      <c r="A160" s="107"/>
      <c r="B160" s="107"/>
      <c r="C160" s="107"/>
      <c r="D160" s="107"/>
      <c r="E160" s="35"/>
      <c r="F160" s="36"/>
      <c r="G160" s="37"/>
      <c r="H160" s="38"/>
      <c r="I160" s="39"/>
      <c r="J160" s="39"/>
      <c r="K160" s="35"/>
      <c r="L160" s="107"/>
      <c r="M160" s="40"/>
      <c r="O160" s="107"/>
      <c r="P160" s="22"/>
      <c r="Q160" s="23"/>
      <c r="R160" s="107"/>
      <c r="S160" s="107"/>
      <c r="T160" s="107"/>
      <c r="U160" s="107"/>
      <c r="V160" s="107"/>
    </row>
    <row r="161" spans="1:22" s="12" customFormat="1" x14ac:dyDescent="0.2">
      <c r="A161" s="107"/>
      <c r="B161" s="107"/>
      <c r="C161" s="107"/>
      <c r="D161" s="107"/>
      <c r="E161" s="35"/>
      <c r="F161" s="36"/>
      <c r="G161" s="37"/>
      <c r="H161" s="38"/>
      <c r="I161" s="39"/>
      <c r="J161" s="39"/>
      <c r="K161" s="35"/>
      <c r="L161" s="107"/>
      <c r="M161" s="40"/>
      <c r="O161" s="107"/>
      <c r="P161" s="22"/>
      <c r="Q161" s="23"/>
      <c r="R161" s="107"/>
      <c r="S161" s="107"/>
      <c r="T161" s="107"/>
      <c r="U161" s="107"/>
      <c r="V161" s="107"/>
    </row>
    <row r="162" spans="1:22" s="12" customFormat="1" x14ac:dyDescent="0.2">
      <c r="A162" s="107"/>
      <c r="B162" s="107"/>
      <c r="C162" s="107"/>
      <c r="D162" s="107"/>
      <c r="E162" s="35"/>
      <c r="F162" s="36"/>
      <c r="G162" s="37"/>
      <c r="H162" s="38"/>
      <c r="I162" s="39"/>
      <c r="J162" s="39"/>
      <c r="K162" s="35"/>
      <c r="L162" s="107"/>
      <c r="M162" s="40"/>
      <c r="O162" s="107"/>
      <c r="P162" s="22"/>
      <c r="Q162" s="23"/>
      <c r="R162" s="107"/>
      <c r="S162" s="107"/>
      <c r="T162" s="107"/>
      <c r="U162" s="107"/>
      <c r="V162" s="107"/>
    </row>
    <row r="163" spans="1:22" s="12" customFormat="1" x14ac:dyDescent="0.2">
      <c r="A163" s="107"/>
      <c r="B163" s="107"/>
      <c r="C163" s="107"/>
      <c r="D163" s="107"/>
      <c r="E163" s="35"/>
      <c r="F163" s="36"/>
      <c r="G163" s="37"/>
      <c r="H163" s="38"/>
      <c r="I163" s="39"/>
      <c r="J163" s="39"/>
      <c r="K163" s="35"/>
      <c r="L163" s="107"/>
      <c r="M163" s="40"/>
      <c r="O163" s="107"/>
      <c r="P163" s="22"/>
      <c r="Q163" s="23"/>
      <c r="R163" s="107"/>
      <c r="S163" s="107"/>
      <c r="T163" s="107"/>
      <c r="U163" s="107"/>
      <c r="V163" s="107"/>
    </row>
    <row r="164" spans="1:22" s="12" customFormat="1" x14ac:dyDescent="0.2">
      <c r="A164" s="107"/>
      <c r="B164" s="107"/>
      <c r="C164" s="107"/>
      <c r="D164" s="107"/>
      <c r="E164" s="35"/>
      <c r="F164" s="36"/>
      <c r="G164" s="37"/>
      <c r="H164" s="38"/>
      <c r="I164" s="39"/>
      <c r="J164" s="39"/>
      <c r="K164" s="35"/>
      <c r="L164" s="107"/>
      <c r="M164" s="40"/>
      <c r="O164" s="107"/>
      <c r="P164" s="22"/>
      <c r="Q164" s="23"/>
      <c r="R164" s="107"/>
      <c r="S164" s="107"/>
      <c r="T164" s="107"/>
      <c r="U164" s="107"/>
      <c r="V164" s="107"/>
    </row>
    <row r="165" spans="1:22" s="12" customFormat="1" x14ac:dyDescent="0.2">
      <c r="A165" s="107"/>
      <c r="B165" s="107"/>
      <c r="C165" s="107"/>
      <c r="D165" s="107"/>
      <c r="E165" s="35"/>
      <c r="F165" s="36"/>
      <c r="G165" s="37"/>
      <c r="H165" s="38"/>
      <c r="I165" s="39"/>
      <c r="J165" s="39"/>
      <c r="K165" s="35"/>
      <c r="L165" s="107"/>
      <c r="M165" s="40"/>
      <c r="O165" s="107"/>
      <c r="P165" s="22"/>
      <c r="Q165" s="23"/>
      <c r="R165" s="107"/>
      <c r="S165" s="107"/>
      <c r="T165" s="107"/>
      <c r="U165" s="107"/>
      <c r="V165" s="107"/>
    </row>
    <row r="166" spans="1:22" s="12" customFormat="1" x14ac:dyDescent="0.2">
      <c r="A166" s="107"/>
      <c r="B166" s="107"/>
      <c r="C166" s="107"/>
      <c r="D166" s="107"/>
      <c r="E166" s="35"/>
      <c r="F166" s="36"/>
      <c r="G166" s="37"/>
      <c r="H166" s="38"/>
      <c r="I166" s="39"/>
      <c r="J166" s="39"/>
      <c r="K166" s="35"/>
      <c r="L166" s="107"/>
      <c r="M166" s="40"/>
      <c r="O166" s="107"/>
      <c r="P166" s="22"/>
      <c r="Q166" s="23"/>
      <c r="R166" s="107"/>
      <c r="S166" s="107"/>
      <c r="T166" s="107"/>
      <c r="U166" s="107"/>
      <c r="V166" s="107"/>
    </row>
    <row r="167" spans="1:22" s="12" customFormat="1" x14ac:dyDescent="0.2">
      <c r="A167" s="107"/>
      <c r="B167" s="107"/>
      <c r="C167" s="107"/>
      <c r="D167" s="107"/>
      <c r="E167" s="35"/>
      <c r="F167" s="36"/>
      <c r="G167" s="37"/>
      <c r="H167" s="38"/>
      <c r="I167" s="39"/>
      <c r="J167" s="39"/>
      <c r="K167" s="35"/>
      <c r="L167" s="107"/>
      <c r="M167" s="40"/>
      <c r="O167" s="107"/>
      <c r="P167" s="22"/>
      <c r="Q167" s="23"/>
      <c r="R167" s="107"/>
      <c r="S167" s="107"/>
      <c r="T167" s="107"/>
      <c r="U167" s="107"/>
      <c r="V167" s="107"/>
    </row>
    <row r="168" spans="1:22" s="12" customFormat="1" x14ac:dyDescent="0.2">
      <c r="A168" s="107"/>
      <c r="B168" s="107"/>
      <c r="C168" s="107"/>
      <c r="D168" s="107"/>
      <c r="E168" s="35"/>
      <c r="F168" s="36"/>
      <c r="G168" s="37"/>
      <c r="H168" s="38"/>
      <c r="I168" s="39"/>
      <c r="J168" s="39"/>
      <c r="K168" s="35"/>
      <c r="L168" s="107"/>
      <c r="M168" s="40"/>
      <c r="O168" s="107"/>
      <c r="P168" s="22"/>
      <c r="Q168" s="23"/>
      <c r="R168" s="107"/>
      <c r="S168" s="107"/>
      <c r="T168" s="107"/>
      <c r="U168" s="107"/>
      <c r="V168" s="107"/>
    </row>
    <row r="169" spans="1:22" s="12" customFormat="1" x14ac:dyDescent="0.2">
      <c r="A169" s="107"/>
      <c r="B169" s="107"/>
      <c r="C169" s="107"/>
      <c r="D169" s="107"/>
      <c r="E169" s="35"/>
      <c r="F169" s="36"/>
      <c r="G169" s="37"/>
      <c r="H169" s="38"/>
      <c r="I169" s="39"/>
      <c r="J169" s="39"/>
      <c r="K169" s="35"/>
      <c r="L169" s="107"/>
      <c r="M169" s="40"/>
      <c r="O169" s="107"/>
      <c r="P169" s="22"/>
      <c r="Q169" s="23"/>
      <c r="R169" s="107"/>
      <c r="S169" s="107"/>
      <c r="T169" s="107"/>
      <c r="U169" s="107"/>
      <c r="V169" s="107"/>
    </row>
    <row r="170" spans="1:22" s="12" customFormat="1" x14ac:dyDescent="0.2">
      <c r="A170" s="107"/>
      <c r="B170" s="107"/>
      <c r="C170" s="107"/>
      <c r="D170" s="107"/>
      <c r="E170" s="35"/>
      <c r="F170" s="36"/>
      <c r="G170" s="37"/>
      <c r="H170" s="38"/>
      <c r="I170" s="39"/>
      <c r="J170" s="39"/>
      <c r="K170" s="35"/>
      <c r="L170" s="107"/>
      <c r="M170" s="40"/>
      <c r="O170" s="107"/>
      <c r="P170" s="22"/>
      <c r="Q170" s="23"/>
      <c r="R170" s="107"/>
      <c r="S170" s="107"/>
      <c r="T170" s="107"/>
      <c r="U170" s="107"/>
      <c r="V170" s="107"/>
    </row>
    <row r="171" spans="1:22" s="12" customFormat="1" x14ac:dyDescent="0.2">
      <c r="A171" s="107"/>
      <c r="B171" s="107"/>
      <c r="C171" s="107"/>
      <c r="D171" s="107"/>
      <c r="E171" s="35"/>
      <c r="F171" s="36"/>
      <c r="G171" s="37"/>
      <c r="H171" s="38"/>
      <c r="I171" s="39"/>
      <c r="J171" s="39"/>
      <c r="K171" s="35"/>
      <c r="L171" s="107"/>
      <c r="M171" s="40"/>
      <c r="O171" s="107"/>
      <c r="P171" s="22"/>
      <c r="Q171" s="23"/>
      <c r="R171" s="107"/>
      <c r="S171" s="107"/>
      <c r="T171" s="107"/>
      <c r="U171" s="107"/>
      <c r="V171" s="107"/>
    </row>
    <row r="172" spans="1:22" s="12" customFormat="1" x14ac:dyDescent="0.2">
      <c r="A172" s="107"/>
      <c r="B172" s="107"/>
      <c r="C172" s="107"/>
      <c r="D172" s="107"/>
      <c r="E172" s="35"/>
      <c r="F172" s="36"/>
      <c r="G172" s="37"/>
      <c r="H172" s="38"/>
      <c r="I172" s="39"/>
      <c r="J172" s="39"/>
      <c r="K172" s="35"/>
      <c r="L172" s="107"/>
      <c r="M172" s="40"/>
      <c r="O172" s="107"/>
      <c r="P172" s="22"/>
      <c r="Q172" s="23"/>
      <c r="R172" s="107"/>
      <c r="S172" s="107"/>
      <c r="T172" s="107"/>
      <c r="U172" s="107"/>
      <c r="V172" s="107"/>
    </row>
    <row r="173" spans="1:22" s="12" customFormat="1" x14ac:dyDescent="0.2">
      <c r="A173" s="107"/>
      <c r="B173" s="107"/>
      <c r="C173" s="107"/>
      <c r="D173" s="107"/>
      <c r="E173" s="35"/>
      <c r="F173" s="36"/>
      <c r="G173" s="37"/>
      <c r="H173" s="38"/>
      <c r="I173" s="39"/>
      <c r="J173" s="39"/>
      <c r="K173" s="35"/>
      <c r="L173" s="107"/>
      <c r="M173" s="40"/>
      <c r="O173" s="107"/>
      <c r="P173" s="22"/>
      <c r="Q173" s="23"/>
      <c r="R173" s="107"/>
      <c r="S173" s="107"/>
      <c r="T173" s="107"/>
      <c r="U173" s="107"/>
      <c r="V173" s="107"/>
    </row>
    <row r="174" spans="1:22" s="12" customFormat="1" x14ac:dyDescent="0.2">
      <c r="A174" s="107"/>
      <c r="B174" s="107"/>
      <c r="C174" s="107"/>
      <c r="D174" s="107"/>
      <c r="E174" s="35"/>
      <c r="F174" s="36"/>
      <c r="G174" s="37"/>
      <c r="H174" s="38"/>
      <c r="I174" s="39"/>
      <c r="J174" s="39"/>
      <c r="K174" s="35"/>
      <c r="L174" s="107"/>
      <c r="M174" s="40"/>
      <c r="O174" s="107"/>
      <c r="P174" s="22"/>
      <c r="Q174" s="23"/>
      <c r="R174" s="107"/>
      <c r="S174" s="107"/>
      <c r="T174" s="107"/>
      <c r="U174" s="107"/>
      <c r="V174" s="107"/>
    </row>
    <row r="175" spans="1:22" s="12" customFormat="1" x14ac:dyDescent="0.2">
      <c r="A175" s="107"/>
      <c r="B175" s="107"/>
      <c r="C175" s="107"/>
      <c r="D175" s="107"/>
      <c r="E175" s="35"/>
      <c r="F175" s="36"/>
      <c r="G175" s="37"/>
      <c r="H175" s="38"/>
      <c r="I175" s="39"/>
      <c r="J175" s="39"/>
      <c r="K175" s="35"/>
      <c r="L175" s="107"/>
      <c r="M175" s="40"/>
      <c r="O175" s="107"/>
      <c r="P175" s="22"/>
      <c r="Q175" s="23"/>
      <c r="R175" s="107"/>
      <c r="S175" s="107"/>
      <c r="T175" s="107"/>
      <c r="U175" s="107"/>
      <c r="V175" s="107"/>
    </row>
    <row r="176" spans="1:22" s="12" customFormat="1" x14ac:dyDescent="0.2">
      <c r="A176" s="107"/>
      <c r="B176" s="107"/>
      <c r="C176" s="107"/>
      <c r="D176" s="107"/>
      <c r="E176" s="35"/>
      <c r="F176" s="36"/>
      <c r="G176" s="37"/>
      <c r="H176" s="38"/>
      <c r="I176" s="39"/>
      <c r="J176" s="39"/>
      <c r="K176" s="35"/>
      <c r="L176" s="107"/>
      <c r="M176" s="40"/>
      <c r="O176" s="107"/>
      <c r="P176" s="22"/>
      <c r="Q176" s="23"/>
      <c r="R176" s="107"/>
      <c r="S176" s="107"/>
      <c r="T176" s="107"/>
      <c r="U176" s="107"/>
      <c r="V176" s="107"/>
    </row>
    <row r="177" spans="1:22" s="12" customFormat="1" x14ac:dyDescent="0.2">
      <c r="A177" s="107"/>
      <c r="B177" s="28"/>
      <c r="C177" s="107"/>
      <c r="D177" s="107"/>
      <c r="E177" s="35"/>
      <c r="F177" s="36"/>
      <c r="G177" s="37"/>
      <c r="H177" s="38"/>
      <c r="I177" s="39"/>
      <c r="J177" s="39"/>
      <c r="K177" s="35"/>
      <c r="L177" s="107"/>
      <c r="M177" s="40"/>
      <c r="O177" s="107"/>
      <c r="P177" s="22"/>
      <c r="Q177" s="23"/>
      <c r="R177" s="107"/>
      <c r="S177" s="107"/>
      <c r="T177" s="107"/>
      <c r="U177" s="107"/>
      <c r="V177" s="107"/>
    </row>
    <row r="178" spans="1:22" s="12" customFormat="1" x14ac:dyDescent="0.2">
      <c r="A178" s="107"/>
      <c r="B178" s="107"/>
      <c r="C178" s="107"/>
      <c r="D178" s="107"/>
      <c r="E178" s="35"/>
      <c r="F178" s="36"/>
      <c r="G178" s="37"/>
      <c r="H178" s="38"/>
      <c r="I178" s="39"/>
      <c r="J178" s="39"/>
      <c r="K178" s="35"/>
      <c r="L178" s="107"/>
      <c r="M178" s="40"/>
      <c r="O178" s="107"/>
      <c r="P178" s="22"/>
      <c r="Q178" s="23"/>
      <c r="R178" s="107"/>
      <c r="S178" s="107"/>
      <c r="T178" s="107"/>
      <c r="U178" s="107"/>
      <c r="V178" s="107"/>
    </row>
    <row r="179" spans="1:22" s="12" customFormat="1" x14ac:dyDescent="0.2">
      <c r="A179" s="107"/>
      <c r="B179" s="107"/>
      <c r="C179" s="107"/>
      <c r="D179" s="107"/>
      <c r="E179" s="35"/>
      <c r="F179" s="36"/>
      <c r="G179" s="37"/>
      <c r="H179" s="38"/>
      <c r="I179" s="39"/>
      <c r="J179" s="39"/>
      <c r="K179" s="35"/>
      <c r="L179" s="107"/>
      <c r="M179" s="40"/>
      <c r="O179" s="107"/>
      <c r="P179" s="22"/>
      <c r="Q179" s="23"/>
      <c r="R179" s="107"/>
      <c r="S179" s="107"/>
      <c r="T179" s="107"/>
      <c r="U179" s="107"/>
      <c r="V179" s="107"/>
    </row>
    <row r="180" spans="1:22" s="12" customFormat="1" x14ac:dyDescent="0.2">
      <c r="A180" s="107"/>
      <c r="B180" s="107"/>
      <c r="C180" s="107"/>
      <c r="D180" s="107"/>
      <c r="E180" s="35"/>
      <c r="F180" s="36"/>
      <c r="G180" s="37"/>
      <c r="H180" s="38"/>
      <c r="I180" s="39"/>
      <c r="J180" s="39"/>
      <c r="K180" s="35"/>
      <c r="L180" s="107"/>
      <c r="M180" s="40"/>
      <c r="O180" s="107"/>
      <c r="P180" s="22"/>
      <c r="R180" s="107"/>
      <c r="S180" s="107"/>
      <c r="T180" s="107"/>
      <c r="U180" s="107"/>
      <c r="V180" s="107"/>
    </row>
    <row r="181" spans="1:22" s="12" customFormat="1" x14ac:dyDescent="0.2">
      <c r="A181" s="107"/>
      <c r="B181" s="107"/>
      <c r="C181" s="107"/>
      <c r="D181" s="107"/>
      <c r="E181" s="35"/>
      <c r="F181" s="36"/>
      <c r="G181" s="37"/>
      <c r="H181" s="38"/>
      <c r="I181" s="39"/>
      <c r="J181" s="39"/>
      <c r="K181" s="35"/>
      <c r="L181" s="107"/>
      <c r="M181" s="40"/>
      <c r="O181" s="107"/>
      <c r="P181" s="22"/>
      <c r="R181" s="107"/>
      <c r="S181" s="107"/>
      <c r="T181" s="107"/>
      <c r="U181" s="107"/>
      <c r="V181" s="107"/>
    </row>
    <row r="182" spans="1:22" s="12" customFormat="1" x14ac:dyDescent="0.2">
      <c r="A182" s="107"/>
      <c r="B182" s="107"/>
      <c r="C182" s="107"/>
      <c r="D182" s="107"/>
      <c r="E182" s="35"/>
      <c r="F182" s="36"/>
      <c r="G182" s="37"/>
      <c r="H182" s="38"/>
      <c r="I182" s="39"/>
      <c r="J182" s="39"/>
      <c r="K182" s="35"/>
      <c r="L182" s="107"/>
      <c r="M182" s="40"/>
      <c r="O182" s="107"/>
      <c r="P182" s="22"/>
      <c r="R182" s="107"/>
      <c r="S182" s="107"/>
      <c r="T182" s="107"/>
      <c r="U182" s="107"/>
      <c r="V182" s="107"/>
    </row>
    <row r="183" spans="1:22" s="12" customFormat="1" x14ac:dyDescent="0.2">
      <c r="A183" s="107"/>
      <c r="B183" s="107"/>
      <c r="C183" s="107"/>
      <c r="D183" s="107"/>
      <c r="E183" s="35"/>
      <c r="F183" s="36"/>
      <c r="G183" s="37"/>
      <c r="H183" s="38"/>
      <c r="I183" s="39"/>
      <c r="J183" s="39"/>
      <c r="K183" s="35"/>
      <c r="L183" s="107"/>
      <c r="M183" s="40"/>
      <c r="O183" s="107"/>
      <c r="P183" s="22"/>
      <c r="R183" s="107"/>
      <c r="S183" s="107"/>
      <c r="T183" s="107"/>
      <c r="U183" s="107"/>
      <c r="V183" s="107"/>
    </row>
    <row r="184" spans="1:22" s="12" customFormat="1" x14ac:dyDescent="0.2">
      <c r="A184" s="107"/>
      <c r="B184" s="107"/>
      <c r="C184" s="107"/>
      <c r="D184" s="107"/>
      <c r="E184" s="35"/>
      <c r="F184" s="36"/>
      <c r="G184" s="37"/>
      <c r="H184" s="38"/>
      <c r="I184" s="39"/>
      <c r="J184" s="39"/>
      <c r="K184" s="35"/>
      <c r="L184" s="107"/>
      <c r="M184" s="40"/>
      <c r="O184" s="107"/>
      <c r="P184" s="22"/>
      <c r="R184" s="107"/>
      <c r="S184" s="107"/>
      <c r="T184" s="107"/>
      <c r="U184" s="107"/>
      <c r="V184" s="107"/>
    </row>
    <row r="185" spans="1:22" s="12" customFormat="1" x14ac:dyDescent="0.2">
      <c r="A185" s="107"/>
      <c r="B185" s="107"/>
      <c r="C185" s="107"/>
      <c r="D185" s="107"/>
      <c r="E185" s="35"/>
      <c r="F185" s="36"/>
      <c r="G185" s="37"/>
      <c r="H185" s="38"/>
      <c r="I185" s="39"/>
      <c r="J185" s="39"/>
      <c r="K185" s="35"/>
      <c r="L185" s="107"/>
      <c r="M185" s="40"/>
      <c r="O185" s="107"/>
      <c r="P185" s="22"/>
      <c r="R185" s="107"/>
      <c r="S185" s="107"/>
      <c r="T185" s="107"/>
      <c r="U185" s="107"/>
      <c r="V185" s="107"/>
    </row>
    <row r="186" spans="1:22" s="12" customFormat="1" x14ac:dyDescent="0.2">
      <c r="A186" s="107"/>
      <c r="B186" s="107"/>
      <c r="C186" s="107"/>
      <c r="D186" s="107"/>
      <c r="E186" s="35"/>
      <c r="F186" s="36"/>
      <c r="G186" s="37"/>
      <c r="H186" s="38"/>
      <c r="I186" s="39"/>
      <c r="J186" s="39"/>
      <c r="K186" s="35"/>
      <c r="L186" s="107"/>
      <c r="M186" s="40"/>
      <c r="O186" s="107"/>
      <c r="P186" s="22"/>
      <c r="R186" s="107"/>
      <c r="S186" s="107"/>
      <c r="T186" s="107"/>
      <c r="U186" s="107"/>
      <c r="V186" s="107"/>
    </row>
    <row r="187" spans="1:22" s="12" customFormat="1" x14ac:dyDescent="0.2">
      <c r="A187" s="107"/>
      <c r="B187" s="107"/>
      <c r="C187" s="107"/>
      <c r="D187" s="107"/>
      <c r="E187" s="35"/>
      <c r="F187" s="36"/>
      <c r="G187" s="37"/>
      <c r="H187" s="38"/>
      <c r="I187" s="39"/>
      <c r="J187" s="39"/>
      <c r="K187" s="35"/>
      <c r="L187" s="107"/>
      <c r="M187" s="40"/>
      <c r="O187" s="107"/>
      <c r="P187" s="22"/>
      <c r="R187" s="107"/>
      <c r="S187" s="107"/>
      <c r="T187" s="107"/>
      <c r="U187" s="107"/>
      <c r="V187" s="107"/>
    </row>
    <row r="188" spans="1:22" s="12" customFormat="1" x14ac:dyDescent="0.2">
      <c r="A188" s="107"/>
      <c r="B188" s="107"/>
      <c r="C188" s="107"/>
      <c r="D188" s="107"/>
      <c r="E188" s="35"/>
      <c r="F188" s="36"/>
      <c r="G188" s="37"/>
      <c r="H188" s="38"/>
      <c r="I188" s="39"/>
      <c r="J188" s="39"/>
      <c r="K188" s="35"/>
      <c r="L188" s="107"/>
      <c r="M188" s="40"/>
      <c r="O188" s="107"/>
      <c r="P188" s="22"/>
      <c r="R188" s="107"/>
      <c r="S188" s="107"/>
      <c r="T188" s="107"/>
      <c r="U188" s="107"/>
      <c r="V188" s="107"/>
    </row>
    <row r="189" spans="1:22" s="12" customFormat="1" x14ac:dyDescent="0.2">
      <c r="A189" s="107"/>
      <c r="B189" s="107"/>
      <c r="C189" s="107"/>
      <c r="D189" s="107"/>
      <c r="E189" s="35"/>
      <c r="F189" s="36"/>
      <c r="G189" s="37"/>
      <c r="H189" s="38"/>
      <c r="I189" s="39"/>
      <c r="J189" s="39"/>
      <c r="K189" s="35"/>
      <c r="L189" s="107"/>
      <c r="M189" s="40"/>
      <c r="O189" s="107"/>
      <c r="P189" s="22"/>
      <c r="R189" s="107"/>
      <c r="S189" s="107"/>
      <c r="T189" s="107"/>
      <c r="U189" s="107"/>
      <c r="V189" s="107"/>
    </row>
    <row r="190" spans="1:22" s="12" customFormat="1" x14ac:dyDescent="0.2">
      <c r="A190" s="107"/>
      <c r="B190" s="107"/>
      <c r="C190" s="107"/>
      <c r="D190" s="107"/>
      <c r="E190" s="35"/>
      <c r="F190" s="36"/>
      <c r="G190" s="37"/>
      <c r="H190" s="38"/>
      <c r="I190" s="39"/>
      <c r="J190" s="39"/>
      <c r="K190" s="35"/>
      <c r="L190" s="107"/>
      <c r="M190" s="40"/>
      <c r="O190" s="107"/>
      <c r="P190" s="22"/>
      <c r="R190" s="107"/>
      <c r="S190" s="107"/>
      <c r="T190" s="107"/>
      <c r="U190" s="107"/>
      <c r="V190" s="107"/>
    </row>
    <row r="191" spans="1:22" s="12" customFormat="1" x14ac:dyDescent="0.2">
      <c r="A191" s="107"/>
      <c r="B191" s="107"/>
      <c r="C191" s="107"/>
      <c r="D191" s="107"/>
      <c r="E191" s="35"/>
      <c r="F191" s="36"/>
      <c r="G191" s="37"/>
      <c r="H191" s="38"/>
      <c r="I191" s="39"/>
      <c r="J191" s="39"/>
      <c r="K191" s="35"/>
      <c r="L191" s="107"/>
      <c r="M191" s="40"/>
      <c r="O191" s="107"/>
      <c r="P191" s="22"/>
      <c r="R191" s="107"/>
      <c r="S191" s="107"/>
      <c r="T191" s="107"/>
      <c r="U191" s="107"/>
      <c r="V191" s="107"/>
    </row>
    <row r="192" spans="1:22" s="12" customFormat="1" x14ac:dyDescent="0.2">
      <c r="A192" s="107"/>
      <c r="B192" s="107"/>
      <c r="C192" s="107"/>
      <c r="D192" s="107"/>
      <c r="E192" s="35"/>
      <c r="F192" s="36"/>
      <c r="G192" s="37"/>
      <c r="H192" s="38"/>
      <c r="I192" s="39"/>
      <c r="J192" s="39"/>
      <c r="K192" s="35"/>
      <c r="L192" s="107"/>
      <c r="M192" s="40"/>
      <c r="O192" s="107"/>
      <c r="P192" s="22"/>
      <c r="R192" s="107"/>
      <c r="S192" s="107"/>
      <c r="T192" s="107"/>
      <c r="U192" s="107"/>
      <c r="V192" s="107"/>
    </row>
    <row r="193" spans="1:22" s="12" customFormat="1" x14ac:dyDescent="0.2">
      <c r="A193" s="107"/>
      <c r="B193" s="107"/>
      <c r="C193" s="107"/>
      <c r="D193" s="107"/>
      <c r="E193" s="35"/>
      <c r="F193" s="36"/>
      <c r="G193" s="37"/>
      <c r="H193" s="38"/>
      <c r="I193" s="39"/>
      <c r="J193" s="39"/>
      <c r="K193" s="35"/>
      <c r="L193" s="107"/>
      <c r="M193" s="40"/>
      <c r="O193" s="107"/>
      <c r="P193" s="22"/>
      <c r="R193" s="107"/>
      <c r="S193" s="107"/>
      <c r="T193" s="107"/>
      <c r="U193" s="107"/>
      <c r="V193" s="107"/>
    </row>
    <row r="194" spans="1:22" s="12" customFormat="1" x14ac:dyDescent="0.2">
      <c r="A194" s="107"/>
      <c r="B194" s="107"/>
      <c r="C194" s="107"/>
      <c r="D194" s="107"/>
      <c r="E194" s="35"/>
      <c r="F194" s="36"/>
      <c r="G194" s="37"/>
      <c r="H194" s="38"/>
      <c r="I194" s="39"/>
      <c r="J194" s="39"/>
      <c r="K194" s="35"/>
      <c r="L194" s="107"/>
      <c r="M194" s="40"/>
      <c r="O194" s="107"/>
      <c r="P194" s="22"/>
      <c r="R194" s="107"/>
      <c r="S194" s="107"/>
      <c r="T194" s="107"/>
      <c r="U194" s="107"/>
      <c r="V194" s="107"/>
    </row>
    <row r="195" spans="1:22" s="12" customFormat="1" x14ac:dyDescent="0.2">
      <c r="A195" s="107"/>
      <c r="B195" s="107"/>
      <c r="C195" s="107"/>
      <c r="D195" s="107"/>
      <c r="E195" s="35"/>
      <c r="F195" s="36"/>
      <c r="G195" s="37"/>
      <c r="H195" s="38"/>
      <c r="I195" s="39"/>
      <c r="J195" s="39"/>
      <c r="K195" s="35"/>
      <c r="L195" s="107"/>
      <c r="M195" s="40"/>
      <c r="O195" s="107"/>
      <c r="P195" s="22"/>
      <c r="R195" s="107"/>
      <c r="S195" s="107"/>
      <c r="T195" s="107"/>
      <c r="U195" s="107"/>
      <c r="V195" s="107"/>
    </row>
    <row r="196" spans="1:22" s="12" customFormat="1" x14ac:dyDescent="0.2">
      <c r="A196" s="107"/>
      <c r="B196" s="107"/>
      <c r="C196" s="107"/>
      <c r="D196" s="107"/>
      <c r="E196" s="35"/>
      <c r="F196" s="36"/>
      <c r="G196" s="37"/>
      <c r="H196" s="38"/>
      <c r="I196" s="39"/>
      <c r="J196" s="39"/>
      <c r="K196" s="35"/>
      <c r="L196" s="107"/>
      <c r="M196" s="40"/>
      <c r="O196" s="107"/>
      <c r="P196" s="22"/>
      <c r="R196" s="107"/>
      <c r="S196" s="107"/>
      <c r="T196" s="107"/>
      <c r="U196" s="107"/>
      <c r="V196" s="107"/>
    </row>
    <row r="197" spans="1:22" s="12" customFormat="1" x14ac:dyDescent="0.2">
      <c r="A197" s="107"/>
      <c r="B197" s="107"/>
      <c r="C197" s="107"/>
      <c r="D197" s="107"/>
      <c r="E197" s="35"/>
      <c r="F197" s="36"/>
      <c r="G197" s="37"/>
      <c r="H197" s="38"/>
      <c r="I197" s="39"/>
      <c r="J197" s="39"/>
      <c r="K197" s="35"/>
      <c r="L197" s="107"/>
      <c r="M197" s="40"/>
      <c r="O197" s="107"/>
      <c r="P197" s="22"/>
      <c r="R197" s="107"/>
      <c r="S197" s="107"/>
      <c r="T197" s="107"/>
      <c r="U197" s="107"/>
      <c r="V197" s="107"/>
    </row>
    <row r="198" spans="1:22" s="12" customFormat="1" x14ac:dyDescent="0.2">
      <c r="A198" s="107"/>
      <c r="B198" s="28"/>
      <c r="C198" s="107"/>
      <c r="D198" s="107"/>
      <c r="E198" s="35"/>
      <c r="F198" s="36"/>
      <c r="G198" s="37"/>
      <c r="H198" s="38"/>
      <c r="I198" s="39"/>
      <c r="J198" s="39"/>
      <c r="K198" s="35"/>
      <c r="L198" s="107"/>
      <c r="M198" s="40"/>
      <c r="O198" s="107"/>
      <c r="P198" s="22"/>
      <c r="R198" s="107"/>
      <c r="S198" s="107"/>
      <c r="T198" s="107"/>
      <c r="U198" s="107"/>
      <c r="V198" s="107"/>
    </row>
    <row r="199" spans="1:22" s="12" customFormat="1" x14ac:dyDescent="0.2">
      <c r="A199" s="107"/>
      <c r="B199" s="107"/>
      <c r="C199" s="107"/>
      <c r="D199" s="107"/>
      <c r="E199" s="35"/>
      <c r="F199" s="36"/>
      <c r="G199" s="37"/>
      <c r="H199" s="38"/>
      <c r="I199" s="39"/>
      <c r="J199" s="39"/>
      <c r="K199" s="35"/>
      <c r="L199" s="107"/>
      <c r="M199" s="40"/>
      <c r="O199" s="107"/>
      <c r="P199" s="22"/>
      <c r="R199" s="107"/>
      <c r="S199" s="107"/>
      <c r="T199" s="107"/>
      <c r="U199" s="107"/>
      <c r="V199" s="107"/>
    </row>
    <row r="200" spans="1:22" s="12" customFormat="1" x14ac:dyDescent="0.2">
      <c r="A200" s="107"/>
      <c r="B200" s="107"/>
      <c r="C200" s="107"/>
      <c r="D200" s="107"/>
      <c r="E200" s="35"/>
      <c r="F200" s="36"/>
      <c r="G200" s="37"/>
      <c r="H200" s="38"/>
      <c r="I200" s="39"/>
      <c r="J200" s="39"/>
      <c r="K200" s="35"/>
      <c r="L200" s="107"/>
      <c r="M200" s="40"/>
      <c r="O200" s="107"/>
      <c r="P200" s="22"/>
      <c r="R200" s="107"/>
      <c r="S200" s="107"/>
      <c r="T200" s="107"/>
      <c r="U200" s="107"/>
      <c r="V200" s="107"/>
    </row>
    <row r="201" spans="1:22" s="12" customFormat="1" x14ac:dyDescent="0.2">
      <c r="A201" s="107"/>
      <c r="B201" s="107"/>
      <c r="C201" s="107"/>
      <c r="D201" s="107"/>
      <c r="E201" s="35"/>
      <c r="F201" s="36"/>
      <c r="G201" s="37"/>
      <c r="H201" s="38"/>
      <c r="I201" s="39"/>
      <c r="J201" s="39"/>
      <c r="K201" s="35"/>
      <c r="L201" s="107"/>
      <c r="M201" s="40"/>
      <c r="O201" s="107"/>
      <c r="P201" s="22"/>
      <c r="R201" s="107"/>
      <c r="S201" s="107"/>
      <c r="T201" s="107"/>
      <c r="U201" s="107"/>
      <c r="V201" s="107"/>
    </row>
    <row r="202" spans="1:22" s="12" customFormat="1" x14ac:dyDescent="0.2">
      <c r="A202" s="107"/>
      <c r="B202" s="107"/>
      <c r="C202" s="107"/>
      <c r="D202" s="107"/>
      <c r="E202" s="35"/>
      <c r="F202" s="36"/>
      <c r="G202" s="37"/>
      <c r="H202" s="38"/>
      <c r="I202" s="39"/>
      <c r="J202" s="39"/>
      <c r="K202" s="35"/>
      <c r="L202" s="107"/>
      <c r="M202" s="40"/>
      <c r="O202" s="107"/>
      <c r="P202" s="22"/>
      <c r="R202" s="107"/>
      <c r="S202" s="107"/>
      <c r="T202" s="107"/>
      <c r="U202" s="107"/>
      <c r="V202" s="107"/>
    </row>
    <row r="203" spans="1:22" s="12" customFormat="1" x14ac:dyDescent="0.2">
      <c r="D203" s="107"/>
      <c r="E203" s="35"/>
      <c r="F203" s="36"/>
      <c r="G203" s="37"/>
      <c r="H203" s="38"/>
      <c r="I203" s="39"/>
      <c r="J203" s="39"/>
      <c r="K203" s="35"/>
      <c r="L203" s="107"/>
      <c r="M203" s="40"/>
      <c r="O203" s="107"/>
      <c r="P203" s="22"/>
      <c r="R203" s="107"/>
      <c r="S203" s="107"/>
      <c r="T203" s="107"/>
      <c r="U203" s="107"/>
      <c r="V203" s="107"/>
    </row>
    <row r="204" spans="1:22" s="12" customFormat="1" x14ac:dyDescent="0.2">
      <c r="D204" s="107"/>
      <c r="E204" s="35"/>
      <c r="F204" s="36"/>
      <c r="G204" s="37"/>
      <c r="H204" s="38"/>
      <c r="I204" s="39"/>
      <c r="J204" s="39"/>
      <c r="K204" s="35"/>
      <c r="L204" s="107"/>
      <c r="M204" s="40"/>
      <c r="O204" s="107"/>
      <c r="P204" s="22"/>
      <c r="R204" s="107"/>
      <c r="S204" s="107"/>
      <c r="T204" s="107"/>
      <c r="U204" s="107"/>
      <c r="V204" s="107"/>
    </row>
    <row r="205" spans="1:22" s="12" customFormat="1" x14ac:dyDescent="0.2">
      <c r="D205" s="107"/>
      <c r="E205" s="35"/>
      <c r="F205" s="36"/>
      <c r="G205" s="37"/>
      <c r="H205" s="38"/>
      <c r="I205" s="39"/>
      <c r="J205" s="39"/>
      <c r="K205" s="35"/>
      <c r="L205" s="107"/>
      <c r="M205" s="40"/>
      <c r="O205" s="107"/>
      <c r="P205" s="22"/>
      <c r="R205" s="107"/>
      <c r="S205" s="107"/>
      <c r="T205" s="107"/>
      <c r="U205" s="107"/>
      <c r="V205" s="107"/>
    </row>
    <row r="206" spans="1:22" s="12" customFormat="1" x14ac:dyDescent="0.2">
      <c r="D206" s="107"/>
      <c r="E206" s="35"/>
      <c r="F206" s="36"/>
      <c r="G206" s="37"/>
      <c r="H206" s="38"/>
      <c r="I206" s="39"/>
      <c r="J206" s="39"/>
      <c r="K206" s="35"/>
      <c r="L206" s="107"/>
      <c r="M206" s="40"/>
      <c r="O206" s="107"/>
      <c r="P206" s="22"/>
      <c r="R206" s="107"/>
      <c r="S206" s="107"/>
      <c r="T206" s="107"/>
      <c r="U206" s="107"/>
      <c r="V206" s="107"/>
    </row>
    <row r="207" spans="1:22" s="12" customFormat="1" x14ac:dyDescent="0.2">
      <c r="D207" s="107"/>
      <c r="E207" s="35"/>
      <c r="F207" s="36"/>
      <c r="G207" s="37"/>
      <c r="H207" s="38"/>
      <c r="I207" s="39"/>
      <c r="J207" s="39"/>
      <c r="K207" s="35"/>
      <c r="L207" s="107"/>
      <c r="M207" s="40"/>
      <c r="O207" s="107"/>
      <c r="P207" s="22"/>
      <c r="R207" s="107"/>
      <c r="S207" s="107"/>
      <c r="T207" s="107"/>
      <c r="U207" s="107"/>
      <c r="V207" s="107"/>
    </row>
    <row r="208" spans="1:22" s="12" customFormat="1" x14ac:dyDescent="0.2">
      <c r="D208" s="107"/>
      <c r="E208" s="35"/>
      <c r="F208" s="36"/>
      <c r="G208" s="37"/>
      <c r="H208" s="38"/>
      <c r="I208" s="39"/>
      <c r="J208" s="39"/>
      <c r="K208" s="35"/>
      <c r="L208" s="107"/>
      <c r="M208" s="40"/>
      <c r="O208" s="107"/>
      <c r="P208" s="22"/>
      <c r="R208" s="107"/>
      <c r="S208" s="107"/>
      <c r="T208" s="107"/>
      <c r="U208" s="107"/>
      <c r="V208" s="107"/>
    </row>
    <row r="209" spans="4:22" s="12" customFormat="1" x14ac:dyDescent="0.2">
      <c r="D209" s="107"/>
      <c r="E209" s="35"/>
      <c r="F209" s="36"/>
      <c r="G209" s="37"/>
      <c r="H209" s="38"/>
      <c r="I209" s="39"/>
      <c r="J209" s="39"/>
      <c r="K209" s="35"/>
      <c r="L209" s="107"/>
      <c r="M209" s="40"/>
      <c r="O209" s="107"/>
      <c r="P209" s="22"/>
      <c r="R209" s="107"/>
      <c r="S209" s="107"/>
      <c r="T209" s="107"/>
      <c r="U209" s="107"/>
      <c r="V209" s="107"/>
    </row>
    <row r="210" spans="4:22" s="12" customFormat="1" x14ac:dyDescent="0.2">
      <c r="D210" s="107"/>
      <c r="E210" s="35"/>
      <c r="F210" s="36"/>
      <c r="G210" s="37"/>
      <c r="H210" s="38"/>
      <c r="I210" s="39"/>
      <c r="J210" s="39"/>
      <c r="K210" s="35"/>
      <c r="L210" s="107"/>
      <c r="M210" s="40"/>
      <c r="O210" s="107"/>
      <c r="P210" s="22"/>
      <c r="R210" s="107"/>
      <c r="S210" s="107"/>
      <c r="T210" s="107"/>
      <c r="U210" s="107"/>
      <c r="V210" s="107"/>
    </row>
    <row r="211" spans="4:22" s="12" customFormat="1" x14ac:dyDescent="0.2">
      <c r="D211" s="107"/>
      <c r="E211" s="35"/>
      <c r="F211" s="36"/>
      <c r="G211" s="37"/>
      <c r="H211" s="38"/>
      <c r="I211" s="39"/>
      <c r="J211" s="39"/>
      <c r="K211" s="35"/>
      <c r="L211" s="107"/>
      <c r="M211" s="40"/>
      <c r="O211" s="107"/>
      <c r="P211" s="22"/>
      <c r="R211" s="107"/>
      <c r="S211" s="107"/>
      <c r="T211" s="107"/>
      <c r="U211" s="107"/>
      <c r="V211" s="107"/>
    </row>
    <row r="212" spans="4:22" s="12" customFormat="1" x14ac:dyDescent="0.2">
      <c r="D212" s="107"/>
      <c r="E212" s="35"/>
      <c r="F212" s="36"/>
      <c r="G212" s="37"/>
      <c r="H212" s="38"/>
      <c r="I212" s="39"/>
      <c r="J212" s="39"/>
      <c r="K212" s="35"/>
      <c r="L212" s="107"/>
      <c r="M212" s="40"/>
      <c r="O212" s="107"/>
      <c r="P212" s="22"/>
      <c r="R212" s="107"/>
      <c r="S212" s="107"/>
      <c r="T212" s="107"/>
      <c r="U212" s="107"/>
      <c r="V212" s="107"/>
    </row>
    <row r="213" spans="4:22" s="12" customFormat="1" x14ac:dyDescent="0.2">
      <c r="D213" s="107"/>
      <c r="E213" s="35"/>
      <c r="F213" s="36"/>
      <c r="G213" s="37"/>
      <c r="H213" s="38"/>
      <c r="I213" s="39"/>
      <c r="J213" s="39"/>
      <c r="K213" s="35"/>
      <c r="L213" s="107"/>
      <c r="M213" s="40"/>
      <c r="O213" s="107"/>
      <c r="P213" s="22"/>
      <c r="R213" s="107"/>
      <c r="S213" s="107"/>
      <c r="T213" s="107"/>
      <c r="U213" s="107"/>
      <c r="V213" s="107"/>
    </row>
    <row r="214" spans="4:22" s="12" customFormat="1" x14ac:dyDescent="0.2">
      <c r="D214" s="107"/>
      <c r="E214" s="35"/>
      <c r="F214" s="36"/>
      <c r="G214" s="37"/>
      <c r="H214" s="38"/>
      <c r="I214" s="39"/>
      <c r="J214" s="39"/>
      <c r="K214" s="35"/>
      <c r="L214" s="107"/>
      <c r="M214" s="40"/>
      <c r="O214" s="107"/>
      <c r="P214" s="22"/>
      <c r="R214" s="107"/>
      <c r="S214" s="107"/>
      <c r="T214" s="107"/>
      <c r="U214" s="107"/>
      <c r="V214" s="107"/>
    </row>
    <row r="215" spans="4:22" s="12" customFormat="1" x14ac:dyDescent="0.2">
      <c r="D215" s="107"/>
      <c r="E215" s="35"/>
      <c r="F215" s="36"/>
      <c r="G215" s="37"/>
      <c r="H215" s="38"/>
      <c r="I215" s="39"/>
      <c r="J215" s="39"/>
      <c r="K215" s="35"/>
      <c r="L215" s="107"/>
      <c r="M215" s="40"/>
      <c r="O215" s="107"/>
      <c r="P215" s="22"/>
      <c r="R215" s="107"/>
      <c r="S215" s="107"/>
      <c r="T215" s="107"/>
      <c r="U215" s="107"/>
      <c r="V215" s="107"/>
    </row>
    <row r="216" spans="4:22" s="12" customFormat="1" x14ac:dyDescent="0.2">
      <c r="D216" s="107"/>
      <c r="E216" s="35"/>
      <c r="F216" s="36"/>
      <c r="G216" s="37"/>
      <c r="H216" s="38"/>
      <c r="I216" s="39"/>
      <c r="J216" s="39"/>
      <c r="K216" s="35"/>
      <c r="L216" s="107"/>
      <c r="M216" s="40"/>
      <c r="O216" s="107"/>
      <c r="P216" s="22"/>
      <c r="R216" s="107"/>
      <c r="S216" s="107"/>
      <c r="T216" s="107"/>
      <c r="U216" s="107"/>
      <c r="V216" s="107"/>
    </row>
    <row r="217" spans="4:22" s="12" customFormat="1" x14ac:dyDescent="0.2">
      <c r="D217" s="107"/>
      <c r="E217" s="35"/>
      <c r="F217" s="36"/>
      <c r="G217" s="37"/>
      <c r="H217" s="38"/>
      <c r="I217" s="39"/>
      <c r="J217" s="39"/>
      <c r="K217" s="35"/>
      <c r="L217" s="107"/>
      <c r="M217" s="40"/>
      <c r="O217" s="107"/>
      <c r="P217" s="22"/>
      <c r="R217" s="107"/>
      <c r="S217" s="107"/>
      <c r="T217" s="107"/>
      <c r="U217" s="107"/>
      <c r="V217" s="107"/>
    </row>
    <row r="218" spans="4:22" s="12" customFormat="1" x14ac:dyDescent="0.2">
      <c r="D218" s="107"/>
      <c r="E218" s="35"/>
      <c r="F218" s="36"/>
      <c r="G218" s="37"/>
      <c r="H218" s="38"/>
      <c r="I218" s="39"/>
      <c r="J218" s="39"/>
      <c r="K218" s="35"/>
      <c r="L218" s="107"/>
      <c r="M218" s="40"/>
      <c r="O218" s="107"/>
      <c r="P218" s="22"/>
      <c r="R218" s="107"/>
      <c r="S218" s="107"/>
      <c r="T218" s="107"/>
      <c r="U218" s="107"/>
      <c r="V218" s="107"/>
    </row>
    <row r="219" spans="4:22" s="12" customFormat="1" x14ac:dyDescent="0.2">
      <c r="D219" s="107"/>
      <c r="E219" s="35"/>
      <c r="F219" s="36"/>
      <c r="G219" s="37"/>
      <c r="H219" s="38"/>
      <c r="I219" s="39"/>
      <c r="J219" s="39"/>
      <c r="K219" s="35"/>
      <c r="L219" s="107"/>
      <c r="M219" s="40"/>
      <c r="O219" s="107"/>
      <c r="P219" s="22"/>
      <c r="R219" s="107"/>
      <c r="S219" s="107"/>
      <c r="T219" s="107"/>
      <c r="U219" s="107"/>
      <c r="V219" s="107"/>
    </row>
    <row r="220" spans="4:22" s="12" customFormat="1" x14ac:dyDescent="0.2">
      <c r="D220" s="107"/>
      <c r="E220" s="35"/>
      <c r="F220" s="36"/>
      <c r="G220" s="37"/>
      <c r="H220" s="38"/>
      <c r="I220" s="39"/>
      <c r="J220" s="39"/>
      <c r="K220" s="35"/>
      <c r="L220" s="107"/>
      <c r="M220" s="40"/>
      <c r="O220" s="107"/>
      <c r="P220" s="22"/>
      <c r="R220" s="107"/>
      <c r="S220" s="107"/>
      <c r="T220" s="107"/>
      <c r="U220" s="107"/>
      <c r="V220" s="107"/>
    </row>
    <row r="221" spans="4:22" s="12" customFormat="1" x14ac:dyDescent="0.2">
      <c r="D221" s="107"/>
      <c r="E221" s="35"/>
      <c r="F221" s="36"/>
      <c r="G221" s="37"/>
      <c r="H221" s="38"/>
      <c r="I221" s="39"/>
      <c r="J221" s="39"/>
      <c r="K221" s="35"/>
      <c r="L221" s="107"/>
      <c r="M221" s="40"/>
      <c r="O221" s="107"/>
      <c r="P221" s="22"/>
      <c r="R221" s="107"/>
      <c r="S221" s="107"/>
      <c r="T221" s="107"/>
      <c r="U221" s="107"/>
      <c r="V221" s="107"/>
    </row>
    <row r="222" spans="4:22" s="12" customFormat="1" x14ac:dyDescent="0.2">
      <c r="D222" s="107"/>
      <c r="E222" s="35"/>
      <c r="F222" s="36"/>
      <c r="G222" s="37"/>
      <c r="H222" s="38"/>
      <c r="I222" s="39"/>
      <c r="J222" s="39"/>
      <c r="K222" s="35"/>
      <c r="L222" s="107"/>
      <c r="M222" s="40"/>
      <c r="O222" s="107"/>
      <c r="P222" s="22"/>
      <c r="R222" s="107"/>
      <c r="S222" s="107"/>
      <c r="T222" s="107"/>
      <c r="U222" s="107"/>
      <c r="V222" s="107"/>
    </row>
    <row r="223" spans="4:22" s="12" customFormat="1" x14ac:dyDescent="0.2">
      <c r="D223" s="107"/>
      <c r="E223" s="35"/>
      <c r="F223" s="36"/>
      <c r="G223" s="37"/>
      <c r="H223" s="38"/>
      <c r="I223" s="39"/>
      <c r="J223" s="39"/>
      <c r="K223" s="35"/>
      <c r="L223" s="107"/>
      <c r="M223" s="40"/>
      <c r="O223" s="107"/>
      <c r="P223" s="22"/>
      <c r="R223" s="107"/>
      <c r="S223" s="107"/>
      <c r="T223" s="107"/>
      <c r="U223" s="107"/>
      <c r="V223" s="107"/>
    </row>
    <row r="224" spans="4:22" s="12" customFormat="1" x14ac:dyDescent="0.2">
      <c r="D224" s="107"/>
      <c r="E224" s="35"/>
      <c r="F224" s="36"/>
      <c r="G224" s="37"/>
      <c r="H224" s="38"/>
      <c r="I224" s="39"/>
      <c r="J224" s="39"/>
      <c r="K224" s="35"/>
      <c r="L224" s="107"/>
      <c r="M224" s="40"/>
      <c r="O224" s="107"/>
      <c r="P224" s="22"/>
      <c r="R224" s="107"/>
      <c r="S224" s="107"/>
      <c r="T224" s="107"/>
      <c r="U224" s="107"/>
      <c r="V224" s="107"/>
    </row>
    <row r="225" spans="4:22" s="12" customFormat="1" x14ac:dyDescent="0.2">
      <c r="D225" s="107"/>
      <c r="E225" s="35"/>
      <c r="F225" s="36"/>
      <c r="G225" s="37"/>
      <c r="H225" s="38"/>
      <c r="I225" s="39"/>
      <c r="J225" s="39"/>
      <c r="K225" s="35"/>
      <c r="L225" s="107"/>
      <c r="M225" s="40"/>
      <c r="O225" s="107"/>
      <c r="P225" s="22"/>
      <c r="R225" s="107"/>
      <c r="S225" s="107"/>
      <c r="T225" s="107"/>
      <c r="U225" s="107"/>
      <c r="V225" s="107"/>
    </row>
    <row r="226" spans="4:22" s="12" customFormat="1" x14ac:dyDescent="0.2">
      <c r="D226" s="107"/>
      <c r="E226" s="35"/>
      <c r="F226" s="36"/>
      <c r="G226" s="37"/>
      <c r="H226" s="38"/>
      <c r="I226" s="39"/>
      <c r="J226" s="39"/>
      <c r="K226" s="35"/>
      <c r="L226" s="107"/>
      <c r="M226" s="40"/>
      <c r="O226" s="107"/>
      <c r="P226" s="22"/>
      <c r="R226" s="107"/>
      <c r="S226" s="107"/>
      <c r="T226" s="107"/>
      <c r="U226" s="107"/>
      <c r="V226" s="107"/>
    </row>
    <row r="227" spans="4:22" s="12" customFormat="1" x14ac:dyDescent="0.2">
      <c r="D227" s="107"/>
      <c r="E227" s="35"/>
      <c r="F227" s="36"/>
      <c r="G227" s="37"/>
      <c r="H227" s="38"/>
      <c r="I227" s="39"/>
      <c r="J227" s="39"/>
      <c r="K227" s="35"/>
      <c r="L227" s="107"/>
      <c r="M227" s="40"/>
      <c r="O227" s="107"/>
      <c r="P227" s="22"/>
      <c r="R227" s="107"/>
      <c r="S227" s="107"/>
      <c r="T227" s="107"/>
      <c r="U227" s="107"/>
      <c r="V227" s="107"/>
    </row>
    <row r="228" spans="4:22" s="12" customFormat="1" x14ac:dyDescent="0.2">
      <c r="D228" s="107"/>
      <c r="E228" s="35"/>
      <c r="F228" s="36"/>
      <c r="G228" s="37"/>
      <c r="H228" s="38"/>
      <c r="I228" s="39"/>
      <c r="J228" s="39"/>
      <c r="K228" s="35"/>
      <c r="L228" s="107"/>
      <c r="M228" s="40"/>
      <c r="O228" s="107"/>
      <c r="P228" s="22"/>
      <c r="R228" s="107"/>
      <c r="S228" s="107"/>
      <c r="T228" s="107"/>
      <c r="U228" s="107"/>
      <c r="V228" s="107"/>
    </row>
    <row r="229" spans="4:22" s="12" customFormat="1" x14ac:dyDescent="0.2">
      <c r="D229" s="107"/>
      <c r="E229" s="35"/>
      <c r="F229" s="36"/>
      <c r="G229" s="37"/>
      <c r="H229" s="38"/>
      <c r="I229" s="39"/>
      <c r="J229" s="39"/>
      <c r="K229" s="35"/>
      <c r="L229" s="107"/>
      <c r="M229" s="40"/>
      <c r="O229" s="107"/>
      <c r="P229" s="22"/>
      <c r="R229" s="107"/>
      <c r="S229" s="107"/>
      <c r="T229" s="107"/>
      <c r="U229" s="107"/>
      <c r="V229" s="107"/>
    </row>
    <row r="230" spans="4:22" s="12" customFormat="1" x14ac:dyDescent="0.2">
      <c r="D230" s="107"/>
      <c r="E230" s="35"/>
      <c r="F230" s="36"/>
      <c r="G230" s="37"/>
      <c r="H230" s="38"/>
      <c r="I230" s="39"/>
      <c r="J230" s="39"/>
      <c r="K230" s="35"/>
      <c r="L230" s="107"/>
      <c r="M230" s="40"/>
      <c r="O230" s="107"/>
      <c r="P230" s="22"/>
      <c r="R230" s="107"/>
      <c r="S230" s="107"/>
      <c r="T230" s="107"/>
      <c r="U230" s="107"/>
      <c r="V230" s="107"/>
    </row>
    <row r="231" spans="4:22" s="12" customFormat="1" x14ac:dyDescent="0.2">
      <c r="D231" s="107"/>
      <c r="E231" s="35"/>
      <c r="F231" s="36"/>
      <c r="G231" s="37"/>
      <c r="H231" s="38"/>
      <c r="I231" s="39"/>
      <c r="J231" s="39"/>
      <c r="K231" s="35"/>
      <c r="L231" s="107"/>
      <c r="M231" s="40"/>
      <c r="O231" s="107"/>
      <c r="P231" s="22"/>
      <c r="R231" s="107"/>
      <c r="S231" s="107"/>
      <c r="T231" s="107"/>
      <c r="U231" s="107"/>
      <c r="V231" s="107"/>
    </row>
    <row r="232" spans="4:22" s="12" customFormat="1" x14ac:dyDescent="0.2">
      <c r="D232" s="107"/>
      <c r="E232" s="35"/>
      <c r="F232" s="36"/>
      <c r="G232" s="37"/>
      <c r="H232" s="38"/>
      <c r="I232" s="39"/>
      <c r="J232" s="39"/>
      <c r="K232" s="35"/>
      <c r="L232" s="107"/>
      <c r="M232" s="40"/>
      <c r="O232" s="107"/>
      <c r="P232" s="22"/>
      <c r="R232" s="107"/>
      <c r="S232" s="107"/>
      <c r="T232" s="107"/>
      <c r="U232" s="107"/>
      <c r="V232" s="107"/>
    </row>
    <row r="233" spans="4:22" s="12" customFormat="1" x14ac:dyDescent="0.2">
      <c r="D233" s="107"/>
      <c r="E233" s="35"/>
      <c r="F233" s="36"/>
      <c r="G233" s="37"/>
      <c r="H233" s="38"/>
      <c r="I233" s="39"/>
      <c r="J233" s="39"/>
      <c r="K233" s="35"/>
      <c r="L233" s="107"/>
      <c r="M233" s="40"/>
      <c r="O233" s="107"/>
      <c r="P233" s="22"/>
      <c r="R233" s="107"/>
      <c r="S233" s="107"/>
      <c r="T233" s="107"/>
      <c r="U233" s="107"/>
      <c r="V233" s="107"/>
    </row>
    <row r="234" spans="4:22" s="12" customFormat="1" x14ac:dyDescent="0.2">
      <c r="D234" s="107"/>
      <c r="E234" s="35"/>
      <c r="F234" s="36"/>
      <c r="G234" s="37"/>
      <c r="H234" s="38"/>
      <c r="I234" s="39"/>
      <c r="J234" s="39"/>
      <c r="K234" s="35"/>
      <c r="L234" s="107"/>
      <c r="M234" s="40"/>
      <c r="O234" s="107"/>
      <c r="P234" s="22"/>
      <c r="R234" s="107"/>
      <c r="S234" s="107"/>
      <c r="T234" s="107"/>
      <c r="U234" s="107"/>
      <c r="V234" s="107"/>
    </row>
    <row r="235" spans="4:22" s="12" customFormat="1" x14ac:dyDescent="0.2">
      <c r="D235" s="107"/>
      <c r="E235" s="35"/>
      <c r="F235" s="36"/>
      <c r="G235" s="37"/>
      <c r="H235" s="38"/>
      <c r="I235" s="39"/>
      <c r="J235" s="39"/>
      <c r="K235" s="35"/>
      <c r="L235" s="107"/>
      <c r="M235" s="40"/>
      <c r="O235" s="107"/>
      <c r="P235" s="22"/>
      <c r="R235" s="107"/>
      <c r="S235" s="107"/>
      <c r="T235" s="107"/>
      <c r="U235" s="107"/>
      <c r="V235" s="107"/>
    </row>
    <row r="236" spans="4:22" s="12" customFormat="1" x14ac:dyDescent="0.2">
      <c r="D236" s="107"/>
      <c r="E236" s="35"/>
      <c r="F236" s="36"/>
      <c r="G236" s="37"/>
      <c r="H236" s="38"/>
      <c r="I236" s="39"/>
      <c r="J236" s="39"/>
      <c r="K236" s="35"/>
      <c r="L236" s="107"/>
      <c r="M236" s="40"/>
      <c r="O236" s="107"/>
      <c r="P236" s="22"/>
      <c r="R236" s="107"/>
      <c r="S236" s="107"/>
      <c r="T236" s="107"/>
      <c r="U236" s="107"/>
      <c r="V236" s="107"/>
    </row>
    <row r="237" spans="4:22" s="12" customFormat="1" x14ac:dyDescent="0.2">
      <c r="D237" s="107"/>
      <c r="E237" s="35"/>
      <c r="F237" s="36"/>
      <c r="G237" s="37"/>
      <c r="H237" s="38"/>
      <c r="I237" s="39"/>
      <c r="J237" s="39"/>
      <c r="K237" s="35"/>
      <c r="L237" s="107"/>
      <c r="M237" s="40"/>
      <c r="O237" s="107"/>
      <c r="P237" s="22"/>
      <c r="R237" s="107"/>
      <c r="S237" s="107"/>
      <c r="T237" s="107"/>
      <c r="U237" s="107"/>
      <c r="V237" s="107"/>
    </row>
    <row r="238" spans="4:22" s="12" customFormat="1" x14ac:dyDescent="0.2">
      <c r="D238" s="107"/>
      <c r="E238" s="35"/>
      <c r="F238" s="36"/>
      <c r="G238" s="37"/>
      <c r="H238" s="38"/>
      <c r="I238" s="39"/>
      <c r="J238" s="39"/>
      <c r="K238" s="35"/>
      <c r="L238" s="107"/>
      <c r="M238" s="40"/>
      <c r="O238" s="107"/>
      <c r="P238" s="22"/>
      <c r="R238" s="107"/>
      <c r="S238" s="107"/>
      <c r="T238" s="107"/>
      <c r="U238" s="107"/>
      <c r="V238" s="107"/>
    </row>
    <row r="239" spans="4:22" s="12" customFormat="1" x14ac:dyDescent="0.2">
      <c r="D239" s="107"/>
      <c r="E239" s="35"/>
      <c r="F239" s="36"/>
      <c r="G239" s="37"/>
      <c r="H239" s="38"/>
      <c r="I239" s="39"/>
      <c r="J239" s="39"/>
      <c r="K239" s="35"/>
      <c r="L239" s="107"/>
      <c r="M239" s="40"/>
      <c r="O239" s="107"/>
      <c r="P239" s="22"/>
      <c r="R239" s="107"/>
      <c r="S239" s="107"/>
      <c r="T239" s="107"/>
      <c r="U239" s="107"/>
      <c r="V239" s="107"/>
    </row>
    <row r="240" spans="4:22" s="12" customFormat="1" x14ac:dyDescent="0.2">
      <c r="D240" s="107"/>
      <c r="E240" s="35"/>
      <c r="F240" s="36"/>
      <c r="G240" s="37"/>
      <c r="H240" s="38"/>
      <c r="I240" s="39"/>
      <c r="J240" s="39"/>
      <c r="K240" s="35"/>
      <c r="L240" s="107"/>
      <c r="M240" s="40"/>
      <c r="O240" s="107"/>
      <c r="P240" s="22"/>
      <c r="R240" s="107"/>
      <c r="S240" s="107"/>
      <c r="T240" s="107"/>
      <c r="U240" s="107"/>
      <c r="V240" s="107"/>
    </row>
    <row r="241" spans="4:22" s="12" customFormat="1" x14ac:dyDescent="0.2">
      <c r="D241" s="107"/>
      <c r="E241" s="35"/>
      <c r="F241" s="36"/>
      <c r="G241" s="37"/>
      <c r="H241" s="38"/>
      <c r="I241" s="39"/>
      <c r="J241" s="39"/>
      <c r="K241" s="35"/>
      <c r="L241" s="107"/>
      <c r="M241" s="40"/>
      <c r="O241" s="107"/>
      <c r="P241" s="22"/>
      <c r="R241" s="107"/>
      <c r="S241" s="107"/>
      <c r="T241" s="107"/>
      <c r="U241" s="107"/>
      <c r="V241" s="107"/>
    </row>
    <row r="242" spans="4:22" s="12" customFormat="1" x14ac:dyDescent="0.2">
      <c r="D242" s="107"/>
      <c r="E242" s="35"/>
      <c r="F242" s="36"/>
      <c r="G242" s="37"/>
      <c r="H242" s="38"/>
      <c r="I242" s="39"/>
      <c r="J242" s="39"/>
      <c r="K242" s="35"/>
      <c r="L242" s="107"/>
      <c r="M242" s="40"/>
      <c r="O242" s="107"/>
      <c r="P242" s="22"/>
      <c r="R242" s="107"/>
      <c r="S242" s="107"/>
      <c r="T242" s="107"/>
      <c r="U242" s="107"/>
      <c r="V242" s="107"/>
    </row>
    <row r="243" spans="4:22" s="12" customFormat="1" x14ac:dyDescent="0.2">
      <c r="D243" s="107"/>
      <c r="E243" s="35"/>
      <c r="F243" s="36"/>
      <c r="G243" s="37"/>
      <c r="H243" s="38"/>
      <c r="I243" s="39"/>
      <c r="J243" s="39"/>
      <c r="K243" s="35"/>
      <c r="L243" s="107"/>
      <c r="M243" s="40"/>
      <c r="O243" s="107"/>
      <c r="P243" s="22"/>
      <c r="R243" s="107"/>
      <c r="S243" s="107"/>
      <c r="T243" s="107"/>
      <c r="U243" s="107"/>
      <c r="V243" s="107"/>
    </row>
    <row r="244" spans="4:22" s="12" customFormat="1" x14ac:dyDescent="0.2">
      <c r="D244" s="107"/>
      <c r="E244" s="35"/>
      <c r="F244" s="36"/>
      <c r="G244" s="37"/>
      <c r="H244" s="38"/>
      <c r="I244" s="39"/>
      <c r="J244" s="39"/>
      <c r="K244" s="35"/>
      <c r="L244" s="107"/>
      <c r="M244" s="40"/>
      <c r="O244" s="107"/>
      <c r="P244" s="22"/>
      <c r="R244" s="107"/>
      <c r="S244" s="107"/>
      <c r="T244" s="107"/>
      <c r="U244" s="107"/>
      <c r="V244" s="107"/>
    </row>
    <row r="245" spans="4:22" s="12" customFormat="1" x14ac:dyDescent="0.2">
      <c r="D245" s="107"/>
      <c r="E245" s="35"/>
      <c r="F245" s="36"/>
      <c r="G245" s="37"/>
      <c r="H245" s="38"/>
      <c r="I245" s="39"/>
      <c r="J245" s="39"/>
      <c r="K245" s="35"/>
      <c r="L245" s="107"/>
      <c r="M245" s="40"/>
      <c r="O245" s="107"/>
      <c r="P245" s="22"/>
      <c r="R245" s="107"/>
      <c r="S245" s="107"/>
      <c r="T245" s="107"/>
      <c r="U245" s="107"/>
      <c r="V245" s="107"/>
    </row>
    <row r="246" spans="4:22" s="12" customFormat="1" x14ac:dyDescent="0.2">
      <c r="D246" s="107"/>
      <c r="E246" s="35"/>
      <c r="F246" s="36"/>
      <c r="G246" s="37"/>
      <c r="H246" s="38"/>
      <c r="I246" s="39"/>
      <c r="J246" s="39"/>
      <c r="K246" s="35"/>
      <c r="L246" s="107"/>
      <c r="M246" s="40"/>
      <c r="O246" s="107"/>
      <c r="P246" s="22"/>
      <c r="R246" s="107"/>
      <c r="S246" s="107"/>
      <c r="T246" s="107"/>
      <c r="U246" s="107"/>
      <c r="V246" s="107"/>
    </row>
    <row r="247" spans="4:22" s="12" customFormat="1" x14ac:dyDescent="0.2">
      <c r="D247" s="107"/>
      <c r="E247" s="35"/>
      <c r="F247" s="36"/>
      <c r="G247" s="37"/>
      <c r="H247" s="38"/>
      <c r="I247" s="39"/>
      <c r="J247" s="39"/>
      <c r="K247" s="35"/>
      <c r="L247" s="107"/>
      <c r="M247" s="40"/>
      <c r="O247" s="107"/>
      <c r="P247" s="22"/>
      <c r="R247" s="107"/>
      <c r="S247" s="107"/>
      <c r="T247" s="107"/>
      <c r="U247" s="107"/>
      <c r="V247" s="107"/>
    </row>
    <row r="248" spans="4:22" s="12" customFormat="1" x14ac:dyDescent="0.2">
      <c r="D248" s="107"/>
      <c r="E248" s="35"/>
      <c r="F248" s="36"/>
      <c r="G248" s="37"/>
      <c r="H248" s="38"/>
      <c r="I248" s="39"/>
      <c r="J248" s="39"/>
      <c r="K248" s="35"/>
      <c r="L248" s="107"/>
      <c r="M248" s="40"/>
      <c r="O248" s="107"/>
      <c r="P248" s="22"/>
      <c r="R248" s="107"/>
      <c r="S248" s="107"/>
      <c r="T248" s="107"/>
      <c r="U248" s="107"/>
      <c r="V248" s="107"/>
    </row>
    <row r="249" spans="4:22" s="12" customFormat="1" x14ac:dyDescent="0.2">
      <c r="D249" s="107"/>
      <c r="E249" s="35"/>
      <c r="F249" s="36"/>
      <c r="G249" s="37"/>
      <c r="H249" s="38"/>
      <c r="I249" s="39"/>
      <c r="J249" s="39"/>
      <c r="K249" s="35"/>
      <c r="L249" s="107"/>
      <c r="M249" s="40"/>
      <c r="O249" s="107"/>
      <c r="P249" s="22"/>
      <c r="R249" s="107"/>
      <c r="S249" s="107"/>
      <c r="T249" s="107"/>
      <c r="U249" s="107"/>
      <c r="V249" s="107"/>
    </row>
    <row r="250" spans="4:22" s="12" customFormat="1" x14ac:dyDescent="0.2">
      <c r="D250" s="107"/>
      <c r="E250" s="35"/>
      <c r="F250" s="36"/>
      <c r="G250" s="37"/>
      <c r="H250" s="38"/>
      <c r="I250" s="39"/>
      <c r="J250" s="39"/>
      <c r="K250" s="35"/>
      <c r="L250" s="107"/>
      <c r="M250" s="40"/>
      <c r="O250" s="107"/>
      <c r="P250" s="22"/>
      <c r="R250" s="107"/>
      <c r="S250" s="107"/>
      <c r="T250" s="107"/>
      <c r="U250" s="107"/>
      <c r="V250" s="107"/>
    </row>
    <row r="251" spans="4:22" s="12" customFormat="1" x14ac:dyDescent="0.2">
      <c r="D251" s="107"/>
      <c r="E251" s="35"/>
      <c r="F251" s="36"/>
      <c r="G251" s="37"/>
      <c r="H251" s="38"/>
      <c r="I251" s="39"/>
      <c r="J251" s="39"/>
      <c r="K251" s="35"/>
      <c r="L251" s="107"/>
      <c r="M251" s="40"/>
      <c r="O251" s="107"/>
      <c r="P251" s="22"/>
      <c r="R251" s="107"/>
      <c r="S251" s="107"/>
      <c r="T251" s="107"/>
      <c r="U251" s="107"/>
      <c r="V251" s="107"/>
    </row>
    <row r="252" spans="4:22" s="12" customFormat="1" x14ac:dyDescent="0.2">
      <c r="D252" s="107"/>
      <c r="E252" s="35"/>
      <c r="F252" s="36"/>
      <c r="G252" s="37"/>
      <c r="H252" s="38"/>
      <c r="I252" s="39"/>
      <c r="J252" s="39"/>
      <c r="K252" s="35"/>
      <c r="L252" s="107"/>
      <c r="M252" s="40"/>
      <c r="O252" s="107"/>
      <c r="P252" s="22"/>
      <c r="R252" s="107"/>
      <c r="S252" s="107"/>
      <c r="T252" s="107"/>
      <c r="U252" s="107"/>
      <c r="V252" s="107"/>
    </row>
    <row r="253" spans="4:22" s="12" customFormat="1" x14ac:dyDescent="0.2">
      <c r="D253" s="107"/>
      <c r="E253" s="35"/>
      <c r="F253" s="36"/>
      <c r="G253" s="37"/>
      <c r="H253" s="38"/>
      <c r="I253" s="39"/>
      <c r="J253" s="39"/>
      <c r="K253" s="35"/>
      <c r="L253" s="107"/>
      <c r="M253" s="40"/>
      <c r="O253" s="107"/>
      <c r="P253" s="22"/>
      <c r="R253" s="107"/>
      <c r="S253" s="107"/>
      <c r="T253" s="107"/>
      <c r="U253" s="107"/>
      <c r="V253" s="107"/>
    </row>
    <row r="254" spans="4:22" s="12" customFormat="1" x14ac:dyDescent="0.2">
      <c r="D254" s="107"/>
      <c r="E254" s="35"/>
      <c r="F254" s="36"/>
      <c r="G254" s="37"/>
      <c r="H254" s="38"/>
      <c r="I254" s="39"/>
      <c r="J254" s="39"/>
      <c r="K254" s="35"/>
      <c r="L254" s="107"/>
      <c r="M254" s="40"/>
      <c r="O254" s="107"/>
      <c r="P254" s="22"/>
      <c r="R254" s="107"/>
      <c r="S254" s="107"/>
      <c r="T254" s="107"/>
      <c r="U254" s="107"/>
      <c r="V254" s="107"/>
    </row>
    <row r="255" spans="4:22" s="12" customFormat="1" x14ac:dyDescent="0.2">
      <c r="D255" s="107"/>
      <c r="E255" s="35"/>
      <c r="F255" s="36"/>
      <c r="G255" s="37"/>
      <c r="H255" s="38"/>
      <c r="I255" s="39"/>
      <c r="J255" s="39"/>
      <c r="K255" s="35"/>
      <c r="L255" s="107"/>
      <c r="M255" s="40"/>
      <c r="O255" s="107"/>
      <c r="P255" s="22"/>
      <c r="R255" s="107"/>
      <c r="S255" s="107"/>
      <c r="T255" s="107"/>
      <c r="U255" s="107"/>
      <c r="V255" s="107"/>
    </row>
    <row r="256" spans="4:22" s="12" customFormat="1" x14ac:dyDescent="0.2">
      <c r="D256" s="107"/>
      <c r="E256" s="35"/>
      <c r="F256" s="36"/>
      <c r="G256" s="37"/>
      <c r="H256" s="38"/>
      <c r="I256" s="39"/>
      <c r="J256" s="39"/>
      <c r="K256" s="35"/>
      <c r="L256" s="107"/>
      <c r="M256" s="40"/>
      <c r="O256" s="107"/>
      <c r="P256" s="22"/>
      <c r="R256" s="107"/>
      <c r="S256" s="107"/>
      <c r="T256" s="107"/>
      <c r="U256" s="107"/>
      <c r="V256" s="107"/>
    </row>
    <row r="257" spans="4:22" s="12" customFormat="1" x14ac:dyDescent="0.2">
      <c r="D257" s="107"/>
      <c r="E257" s="35"/>
      <c r="F257" s="36"/>
      <c r="G257" s="37"/>
      <c r="H257" s="38"/>
      <c r="I257" s="39"/>
      <c r="J257" s="39"/>
      <c r="K257" s="35"/>
      <c r="L257" s="107"/>
      <c r="M257" s="40"/>
      <c r="O257" s="107"/>
      <c r="P257" s="22"/>
      <c r="R257" s="107"/>
      <c r="S257" s="107"/>
      <c r="T257" s="107"/>
      <c r="U257" s="107"/>
      <c r="V257" s="107"/>
    </row>
    <row r="258" spans="4:22" s="12" customFormat="1" x14ac:dyDescent="0.2">
      <c r="D258" s="107"/>
      <c r="E258" s="35"/>
      <c r="F258" s="36"/>
      <c r="G258" s="37"/>
      <c r="H258" s="38"/>
      <c r="I258" s="39"/>
      <c r="J258" s="39"/>
      <c r="K258" s="35"/>
      <c r="L258" s="107"/>
      <c r="M258" s="40"/>
      <c r="O258" s="107"/>
      <c r="P258" s="22"/>
      <c r="R258" s="107"/>
      <c r="S258" s="107"/>
      <c r="T258" s="107"/>
      <c r="U258" s="107"/>
      <c r="V258" s="107"/>
    </row>
    <row r="259" spans="4:22" s="12" customFormat="1" x14ac:dyDescent="0.2">
      <c r="D259" s="107"/>
      <c r="E259" s="35"/>
      <c r="F259" s="36"/>
      <c r="G259" s="37"/>
      <c r="H259" s="38"/>
      <c r="I259" s="39"/>
      <c r="J259" s="39"/>
      <c r="K259" s="35"/>
      <c r="L259" s="107"/>
      <c r="M259" s="40"/>
      <c r="O259" s="107"/>
      <c r="P259" s="22"/>
      <c r="R259" s="107"/>
      <c r="S259" s="107"/>
      <c r="T259" s="107"/>
      <c r="U259" s="107"/>
      <c r="V259" s="107"/>
    </row>
    <row r="260" spans="4:22" s="12" customFormat="1" x14ac:dyDescent="0.2">
      <c r="D260" s="107"/>
      <c r="E260" s="35"/>
      <c r="F260" s="36"/>
      <c r="G260" s="37"/>
      <c r="H260" s="38"/>
      <c r="I260" s="39"/>
      <c r="J260" s="39"/>
      <c r="K260" s="35"/>
      <c r="L260" s="107"/>
      <c r="M260" s="40"/>
      <c r="O260" s="107"/>
      <c r="P260" s="22"/>
      <c r="R260" s="107"/>
      <c r="S260" s="107"/>
      <c r="T260" s="107"/>
      <c r="U260" s="107"/>
      <c r="V260" s="107"/>
    </row>
    <row r="261" spans="4:22" s="12" customFormat="1" x14ac:dyDescent="0.2">
      <c r="D261" s="107"/>
      <c r="E261" s="35"/>
      <c r="F261" s="36"/>
      <c r="G261" s="37"/>
      <c r="H261" s="38"/>
      <c r="I261" s="39"/>
      <c r="J261" s="39"/>
      <c r="K261" s="35"/>
      <c r="L261" s="107"/>
      <c r="M261" s="40"/>
      <c r="O261" s="107"/>
      <c r="P261" s="22"/>
      <c r="R261" s="107"/>
      <c r="S261" s="107"/>
      <c r="T261" s="107"/>
      <c r="U261" s="107"/>
      <c r="V261" s="107"/>
    </row>
    <row r="262" spans="4:22" s="12" customFormat="1" x14ac:dyDescent="0.2">
      <c r="D262" s="107"/>
      <c r="E262" s="35"/>
      <c r="F262" s="36"/>
      <c r="G262" s="37"/>
      <c r="H262" s="38"/>
      <c r="I262" s="39"/>
      <c r="J262" s="39"/>
      <c r="K262" s="35"/>
      <c r="L262" s="107"/>
      <c r="M262" s="40"/>
      <c r="O262" s="107"/>
      <c r="P262" s="22"/>
      <c r="R262" s="107"/>
      <c r="S262" s="107"/>
      <c r="T262" s="107"/>
      <c r="U262" s="107"/>
      <c r="V262" s="107"/>
    </row>
    <row r="263" spans="4:22" s="12" customFormat="1" x14ac:dyDescent="0.2">
      <c r="D263" s="107"/>
      <c r="E263" s="35"/>
      <c r="F263" s="36"/>
      <c r="G263" s="37"/>
      <c r="H263" s="38"/>
      <c r="I263" s="39"/>
      <c r="J263" s="39"/>
      <c r="K263" s="35"/>
      <c r="L263" s="107"/>
      <c r="M263" s="40"/>
      <c r="O263" s="107"/>
      <c r="P263" s="22"/>
      <c r="R263" s="107"/>
      <c r="S263" s="107"/>
      <c r="T263" s="107"/>
      <c r="U263" s="107"/>
      <c r="V263" s="107"/>
    </row>
    <row r="264" spans="4:22" s="12" customFormat="1" x14ac:dyDescent="0.2">
      <c r="D264" s="107"/>
      <c r="E264" s="35"/>
      <c r="F264" s="36"/>
      <c r="G264" s="37"/>
      <c r="H264" s="38"/>
      <c r="I264" s="39"/>
      <c r="J264" s="39"/>
      <c r="K264" s="35"/>
      <c r="L264" s="107"/>
      <c r="M264" s="40"/>
      <c r="O264" s="107"/>
      <c r="P264" s="22"/>
      <c r="R264" s="107"/>
      <c r="S264" s="107"/>
      <c r="T264" s="107"/>
      <c r="U264" s="107"/>
      <c r="V264" s="107"/>
    </row>
    <row r="265" spans="4:22" s="12" customFormat="1" x14ac:dyDescent="0.2">
      <c r="D265" s="107"/>
      <c r="E265" s="35"/>
      <c r="F265" s="36"/>
      <c r="G265" s="37"/>
      <c r="H265" s="38"/>
      <c r="I265" s="39"/>
      <c r="J265" s="39"/>
      <c r="K265" s="35"/>
      <c r="L265" s="107"/>
      <c r="M265" s="40"/>
      <c r="O265" s="107"/>
      <c r="P265" s="22"/>
      <c r="R265" s="107"/>
      <c r="S265" s="107"/>
      <c r="T265" s="107"/>
      <c r="U265" s="107"/>
      <c r="V265" s="107"/>
    </row>
    <row r="266" spans="4:22" s="12" customFormat="1" x14ac:dyDescent="0.2">
      <c r="D266" s="107"/>
      <c r="E266" s="35"/>
      <c r="F266" s="36"/>
      <c r="G266" s="37"/>
      <c r="H266" s="38"/>
      <c r="I266" s="39"/>
      <c r="J266" s="39"/>
      <c r="K266" s="35"/>
      <c r="L266" s="107"/>
      <c r="M266" s="40"/>
      <c r="O266" s="107"/>
      <c r="P266" s="22"/>
      <c r="R266" s="107"/>
      <c r="S266" s="107"/>
      <c r="T266" s="107"/>
      <c r="U266" s="107"/>
      <c r="V266" s="107"/>
    </row>
    <row r="267" spans="4:22" s="12" customFormat="1" x14ac:dyDescent="0.2">
      <c r="D267" s="107"/>
      <c r="E267" s="35"/>
      <c r="F267" s="36"/>
      <c r="G267" s="37"/>
      <c r="H267" s="38"/>
      <c r="I267" s="39"/>
      <c r="J267" s="39"/>
      <c r="K267" s="35"/>
      <c r="L267" s="107"/>
      <c r="M267" s="40"/>
      <c r="O267" s="107"/>
      <c r="P267" s="22"/>
      <c r="R267" s="107"/>
      <c r="S267" s="107"/>
      <c r="T267" s="107"/>
      <c r="U267" s="107"/>
      <c r="V267" s="107"/>
    </row>
    <row r="268" spans="4:22" s="12" customFormat="1" x14ac:dyDescent="0.2">
      <c r="D268" s="107"/>
      <c r="E268" s="35"/>
      <c r="F268" s="36"/>
      <c r="G268" s="37"/>
      <c r="H268" s="38"/>
      <c r="I268" s="39"/>
      <c r="J268" s="39"/>
      <c r="K268" s="35"/>
      <c r="L268" s="107"/>
      <c r="M268" s="40"/>
      <c r="O268" s="107"/>
      <c r="P268" s="22"/>
      <c r="R268" s="107"/>
      <c r="S268" s="107"/>
      <c r="T268" s="107"/>
      <c r="U268" s="107"/>
      <c r="V268" s="107"/>
    </row>
    <row r="269" spans="4:22" s="12" customFormat="1" x14ac:dyDescent="0.2">
      <c r="D269" s="107"/>
      <c r="E269" s="35"/>
      <c r="F269" s="36"/>
      <c r="G269" s="37"/>
      <c r="H269" s="38"/>
      <c r="I269" s="39"/>
      <c r="J269" s="39"/>
      <c r="K269" s="35"/>
      <c r="L269" s="107"/>
      <c r="M269" s="40"/>
      <c r="O269" s="107"/>
      <c r="P269" s="22"/>
      <c r="R269" s="107"/>
      <c r="S269" s="107"/>
      <c r="T269" s="107"/>
      <c r="U269" s="107"/>
      <c r="V269" s="107"/>
    </row>
    <row r="270" spans="4:22" s="12" customFormat="1" x14ac:dyDescent="0.2">
      <c r="D270" s="107"/>
      <c r="E270" s="35"/>
      <c r="F270" s="36"/>
      <c r="G270" s="37"/>
      <c r="H270" s="38"/>
      <c r="I270" s="39"/>
      <c r="J270" s="39"/>
      <c r="K270" s="35"/>
      <c r="L270" s="107"/>
      <c r="M270" s="40"/>
      <c r="O270" s="107"/>
      <c r="P270" s="22"/>
      <c r="R270" s="107"/>
      <c r="S270" s="107"/>
      <c r="T270" s="107"/>
      <c r="U270" s="107"/>
      <c r="V270" s="107"/>
    </row>
    <row r="271" spans="4:22" s="12" customFormat="1" x14ac:dyDescent="0.2">
      <c r="D271" s="107"/>
      <c r="E271" s="35"/>
      <c r="F271" s="36"/>
      <c r="G271" s="37"/>
      <c r="H271" s="38"/>
      <c r="I271" s="39"/>
      <c r="J271" s="39"/>
      <c r="K271" s="35"/>
      <c r="L271" s="107"/>
      <c r="M271" s="40"/>
      <c r="O271" s="107"/>
      <c r="P271" s="22"/>
      <c r="R271" s="107"/>
      <c r="S271" s="107"/>
      <c r="T271" s="107"/>
      <c r="U271" s="107"/>
      <c r="V271" s="107"/>
    </row>
    <row r="272" spans="4:22" s="12" customFormat="1" x14ac:dyDescent="0.2">
      <c r="D272" s="107"/>
      <c r="E272" s="35"/>
      <c r="F272" s="36"/>
      <c r="G272" s="37"/>
      <c r="H272" s="38"/>
      <c r="I272" s="39"/>
      <c r="J272" s="39"/>
      <c r="K272" s="35"/>
      <c r="L272" s="107"/>
      <c r="M272" s="40"/>
      <c r="O272" s="107"/>
      <c r="P272" s="22"/>
      <c r="R272" s="107"/>
      <c r="S272" s="107"/>
      <c r="T272" s="107"/>
      <c r="U272" s="107"/>
      <c r="V272" s="107"/>
    </row>
    <row r="273" spans="4:22" s="12" customFormat="1" x14ac:dyDescent="0.2">
      <c r="D273" s="107"/>
      <c r="E273" s="35"/>
      <c r="F273" s="36"/>
      <c r="G273" s="37"/>
      <c r="H273" s="38"/>
      <c r="I273" s="39"/>
      <c r="J273" s="39"/>
      <c r="K273" s="35"/>
      <c r="L273" s="107"/>
      <c r="M273" s="40"/>
      <c r="O273" s="107"/>
      <c r="P273" s="22"/>
      <c r="R273" s="107"/>
      <c r="S273" s="107"/>
      <c r="T273" s="107"/>
      <c r="U273" s="107"/>
      <c r="V273" s="107"/>
    </row>
    <row r="274" spans="4:22" s="12" customFormat="1" x14ac:dyDescent="0.2">
      <c r="D274" s="107"/>
      <c r="E274" s="35"/>
      <c r="F274" s="36"/>
      <c r="G274" s="37"/>
      <c r="H274" s="38"/>
      <c r="I274" s="39"/>
      <c r="J274" s="39"/>
      <c r="K274" s="35"/>
      <c r="L274" s="107"/>
      <c r="M274" s="40"/>
      <c r="O274" s="107"/>
      <c r="P274" s="22"/>
      <c r="R274" s="107"/>
      <c r="S274" s="107"/>
      <c r="T274" s="107"/>
      <c r="U274" s="107"/>
      <c r="V274" s="107"/>
    </row>
    <row r="275" spans="4:22" s="12" customFormat="1" x14ac:dyDescent="0.2">
      <c r="D275" s="107"/>
      <c r="E275" s="35"/>
      <c r="F275" s="36"/>
      <c r="G275" s="37"/>
      <c r="H275" s="38"/>
      <c r="I275" s="39"/>
      <c r="J275" s="39"/>
      <c r="K275" s="35"/>
      <c r="L275" s="107"/>
      <c r="M275" s="40"/>
      <c r="O275" s="107"/>
      <c r="P275" s="22"/>
      <c r="R275" s="107"/>
      <c r="S275" s="107"/>
      <c r="T275" s="107"/>
      <c r="U275" s="107"/>
      <c r="V275" s="107"/>
    </row>
    <row r="276" spans="4:22" s="12" customFormat="1" x14ac:dyDescent="0.2">
      <c r="D276" s="107"/>
      <c r="E276" s="35"/>
      <c r="F276" s="36"/>
      <c r="G276" s="37"/>
      <c r="H276" s="38"/>
      <c r="I276" s="39"/>
      <c r="J276" s="39"/>
      <c r="K276" s="35"/>
      <c r="L276" s="107"/>
      <c r="M276" s="40"/>
      <c r="O276" s="107"/>
      <c r="P276" s="22"/>
      <c r="R276" s="107"/>
      <c r="S276" s="107"/>
      <c r="T276" s="107"/>
      <c r="U276" s="107"/>
      <c r="V276" s="107"/>
    </row>
    <row r="277" spans="4:22" s="12" customFormat="1" x14ac:dyDescent="0.2">
      <c r="D277" s="107"/>
      <c r="E277" s="35"/>
      <c r="F277" s="36"/>
      <c r="G277" s="37"/>
      <c r="H277" s="38"/>
      <c r="I277" s="39"/>
      <c r="J277" s="39"/>
      <c r="K277" s="35"/>
      <c r="L277" s="107"/>
      <c r="M277" s="40"/>
      <c r="O277" s="107"/>
      <c r="P277" s="22"/>
      <c r="R277" s="107"/>
      <c r="S277" s="107"/>
      <c r="T277" s="107"/>
      <c r="U277" s="107"/>
      <c r="V277" s="107"/>
    </row>
    <row r="278" spans="4:22" s="12" customFormat="1" x14ac:dyDescent="0.2">
      <c r="D278" s="107"/>
      <c r="E278" s="35"/>
      <c r="F278" s="36"/>
      <c r="G278" s="37"/>
      <c r="H278" s="38"/>
      <c r="I278" s="39"/>
      <c r="J278" s="39"/>
      <c r="K278" s="35"/>
      <c r="L278" s="107"/>
      <c r="M278" s="40"/>
      <c r="O278" s="107"/>
      <c r="P278" s="22"/>
      <c r="R278" s="107"/>
      <c r="S278" s="107"/>
      <c r="T278" s="107"/>
      <c r="U278" s="107"/>
      <c r="V278" s="107"/>
    </row>
    <row r="279" spans="4:22" s="12" customFormat="1" x14ac:dyDescent="0.2">
      <c r="D279" s="107"/>
      <c r="E279" s="35"/>
      <c r="F279" s="36"/>
      <c r="G279" s="37"/>
      <c r="H279" s="38"/>
      <c r="I279" s="39"/>
      <c r="J279" s="39"/>
      <c r="K279" s="35"/>
      <c r="L279" s="107"/>
      <c r="M279" s="40"/>
      <c r="O279" s="107"/>
      <c r="P279" s="22"/>
      <c r="R279" s="107"/>
      <c r="S279" s="107"/>
      <c r="T279" s="107"/>
      <c r="U279" s="107"/>
      <c r="V279" s="107"/>
    </row>
    <row r="280" spans="4:22" s="12" customFormat="1" x14ac:dyDescent="0.2">
      <c r="D280" s="107"/>
      <c r="E280" s="35"/>
      <c r="F280" s="36"/>
      <c r="G280" s="37"/>
      <c r="H280" s="38"/>
      <c r="I280" s="39"/>
      <c r="J280" s="39"/>
      <c r="K280" s="35"/>
      <c r="L280" s="107"/>
      <c r="M280" s="40"/>
      <c r="O280" s="107"/>
      <c r="P280" s="22"/>
      <c r="R280" s="107"/>
      <c r="S280" s="107"/>
      <c r="T280" s="107"/>
      <c r="U280" s="107"/>
      <c r="V280" s="107"/>
    </row>
    <row r="281" spans="4:22" s="12" customFormat="1" x14ac:dyDescent="0.2">
      <c r="D281" s="107"/>
      <c r="E281" s="35"/>
      <c r="F281" s="36"/>
      <c r="G281" s="37"/>
      <c r="H281" s="38"/>
      <c r="I281" s="39"/>
      <c r="J281" s="39"/>
      <c r="K281" s="35"/>
      <c r="L281" s="107"/>
      <c r="M281" s="40"/>
      <c r="O281" s="107"/>
      <c r="P281" s="22"/>
      <c r="R281" s="107"/>
      <c r="S281" s="107"/>
      <c r="T281" s="107"/>
      <c r="U281" s="107"/>
      <c r="V281" s="107"/>
    </row>
    <row r="282" spans="4:22" s="12" customFormat="1" x14ac:dyDescent="0.2">
      <c r="D282" s="107"/>
      <c r="E282" s="35"/>
      <c r="F282" s="36"/>
      <c r="G282" s="37"/>
      <c r="H282" s="38"/>
      <c r="I282" s="39"/>
      <c r="J282" s="39"/>
      <c r="K282" s="35"/>
      <c r="L282" s="107"/>
      <c r="M282" s="40"/>
      <c r="O282" s="107"/>
      <c r="P282" s="22"/>
      <c r="R282" s="107"/>
      <c r="S282" s="107"/>
      <c r="T282" s="107"/>
      <c r="U282" s="107"/>
      <c r="V282" s="107"/>
    </row>
    <row r="283" spans="4:22" s="12" customFormat="1" x14ac:dyDescent="0.2">
      <c r="D283" s="107"/>
      <c r="E283" s="35"/>
      <c r="F283" s="36"/>
      <c r="G283" s="37"/>
      <c r="H283" s="38"/>
      <c r="I283" s="39"/>
      <c r="J283" s="39"/>
      <c r="K283" s="35"/>
      <c r="L283" s="107"/>
      <c r="M283" s="40"/>
      <c r="O283" s="107"/>
      <c r="P283" s="22"/>
      <c r="R283" s="107"/>
      <c r="S283" s="107"/>
      <c r="T283" s="107"/>
      <c r="U283" s="107"/>
      <c r="V283" s="107"/>
    </row>
    <row r="284" spans="4:22" s="12" customFormat="1" x14ac:dyDescent="0.2">
      <c r="D284" s="107"/>
      <c r="E284" s="35"/>
      <c r="F284" s="36"/>
      <c r="G284" s="37"/>
      <c r="H284" s="38"/>
      <c r="I284" s="39"/>
      <c r="J284" s="39"/>
      <c r="K284" s="35"/>
      <c r="L284" s="107"/>
      <c r="M284" s="40"/>
      <c r="O284" s="107"/>
      <c r="P284" s="22"/>
      <c r="R284" s="107"/>
      <c r="S284" s="107"/>
      <c r="T284" s="107"/>
      <c r="U284" s="107"/>
      <c r="V284" s="107"/>
    </row>
    <row r="285" spans="4:22" s="12" customFormat="1" x14ac:dyDescent="0.2">
      <c r="D285" s="107"/>
      <c r="E285" s="35"/>
      <c r="F285" s="36"/>
      <c r="G285" s="37"/>
      <c r="H285" s="38"/>
      <c r="I285" s="39"/>
      <c r="J285" s="39"/>
      <c r="K285" s="35"/>
      <c r="L285" s="107"/>
      <c r="M285" s="40"/>
      <c r="O285" s="107"/>
      <c r="P285" s="22"/>
      <c r="R285" s="107"/>
      <c r="S285" s="107"/>
      <c r="T285" s="107"/>
      <c r="U285" s="107"/>
      <c r="V285" s="107"/>
    </row>
    <row r="286" spans="4:22" s="12" customFormat="1" x14ac:dyDescent="0.2">
      <c r="D286" s="107"/>
      <c r="E286" s="35"/>
      <c r="F286" s="36"/>
      <c r="G286" s="37"/>
      <c r="H286" s="38"/>
      <c r="I286" s="39"/>
      <c r="J286" s="39"/>
      <c r="K286" s="35"/>
      <c r="L286" s="107"/>
      <c r="M286" s="40"/>
      <c r="O286" s="107"/>
      <c r="P286" s="22"/>
      <c r="R286" s="107"/>
      <c r="S286" s="107"/>
      <c r="T286" s="107"/>
      <c r="U286" s="107"/>
      <c r="V286" s="107"/>
    </row>
    <row r="287" spans="4:22" s="12" customFormat="1" x14ac:dyDescent="0.2">
      <c r="D287" s="107"/>
      <c r="E287" s="35"/>
      <c r="F287" s="36"/>
      <c r="G287" s="37"/>
      <c r="H287" s="38"/>
      <c r="I287" s="39"/>
      <c r="J287" s="39"/>
      <c r="K287" s="35"/>
      <c r="L287" s="107"/>
      <c r="M287" s="40"/>
      <c r="O287" s="107"/>
      <c r="P287" s="22"/>
      <c r="R287" s="107"/>
      <c r="S287" s="107"/>
      <c r="T287" s="107"/>
      <c r="U287" s="107"/>
      <c r="V287" s="107"/>
    </row>
    <row r="288" spans="4:22" s="12" customFormat="1" x14ac:dyDescent="0.2">
      <c r="D288" s="107"/>
      <c r="E288" s="35"/>
      <c r="F288" s="36"/>
      <c r="G288" s="37"/>
      <c r="H288" s="38"/>
      <c r="I288" s="39"/>
      <c r="J288" s="39"/>
      <c r="K288" s="35"/>
      <c r="L288" s="107"/>
      <c r="M288" s="40"/>
      <c r="O288" s="107"/>
      <c r="P288" s="22"/>
      <c r="R288" s="107"/>
      <c r="S288" s="107"/>
      <c r="T288" s="107"/>
      <c r="U288" s="107"/>
      <c r="V288" s="107"/>
    </row>
    <row r="289" spans="4:22" s="12" customFormat="1" x14ac:dyDescent="0.2">
      <c r="D289" s="107"/>
      <c r="E289" s="35"/>
      <c r="F289" s="36"/>
      <c r="G289" s="37"/>
      <c r="H289" s="38"/>
      <c r="I289" s="39"/>
      <c r="J289" s="39"/>
      <c r="K289" s="35"/>
      <c r="L289" s="107"/>
      <c r="M289" s="40"/>
      <c r="O289" s="107"/>
      <c r="P289" s="22"/>
      <c r="R289" s="107"/>
      <c r="S289" s="107"/>
      <c r="T289" s="107"/>
      <c r="U289" s="107"/>
      <c r="V289" s="107"/>
    </row>
    <row r="290" spans="4:22" s="12" customFormat="1" x14ac:dyDescent="0.2">
      <c r="D290" s="107"/>
      <c r="E290" s="35"/>
      <c r="F290" s="36"/>
      <c r="G290" s="37"/>
      <c r="H290" s="38"/>
      <c r="I290" s="39"/>
      <c r="J290" s="39"/>
      <c r="K290" s="35"/>
      <c r="L290" s="107"/>
      <c r="M290" s="40"/>
      <c r="O290" s="107"/>
      <c r="P290" s="22"/>
      <c r="R290" s="107"/>
      <c r="S290" s="107"/>
      <c r="T290" s="107"/>
      <c r="U290" s="107"/>
      <c r="V290" s="107"/>
    </row>
    <row r="291" spans="4:22" s="12" customFormat="1" x14ac:dyDescent="0.2">
      <c r="D291" s="107"/>
      <c r="E291" s="35"/>
      <c r="F291" s="36"/>
      <c r="G291" s="37"/>
      <c r="H291" s="38"/>
      <c r="I291" s="39"/>
      <c r="J291" s="39"/>
      <c r="K291" s="35"/>
      <c r="L291" s="107"/>
      <c r="M291" s="40"/>
      <c r="O291" s="107"/>
      <c r="P291" s="22"/>
      <c r="R291" s="107"/>
      <c r="S291" s="107"/>
      <c r="T291" s="107"/>
      <c r="U291" s="107"/>
      <c r="V291" s="107"/>
    </row>
    <row r="292" spans="4:22" s="12" customFormat="1" x14ac:dyDescent="0.2">
      <c r="D292" s="107"/>
      <c r="E292" s="35"/>
      <c r="F292" s="36"/>
      <c r="G292" s="37"/>
      <c r="H292" s="38"/>
      <c r="I292" s="39"/>
      <c r="J292" s="39"/>
      <c r="K292" s="35"/>
      <c r="L292" s="107"/>
      <c r="M292" s="40"/>
      <c r="O292" s="107"/>
      <c r="P292" s="22"/>
      <c r="R292" s="107"/>
      <c r="S292" s="107"/>
      <c r="T292" s="107"/>
      <c r="U292" s="107"/>
      <c r="V292" s="107"/>
    </row>
    <row r="293" spans="4:22" s="12" customFormat="1" x14ac:dyDescent="0.2">
      <c r="D293" s="107"/>
      <c r="E293" s="35"/>
      <c r="F293" s="36"/>
      <c r="G293" s="37"/>
      <c r="H293" s="38"/>
      <c r="I293" s="39"/>
      <c r="J293" s="39"/>
      <c r="K293" s="35"/>
      <c r="L293" s="107"/>
      <c r="M293" s="40"/>
      <c r="O293" s="107"/>
      <c r="P293" s="22"/>
      <c r="R293" s="107"/>
      <c r="S293" s="107"/>
      <c r="T293" s="107"/>
      <c r="U293" s="107"/>
      <c r="V293" s="107"/>
    </row>
    <row r="294" spans="4:22" s="12" customFormat="1" x14ac:dyDescent="0.2">
      <c r="D294" s="107"/>
      <c r="E294" s="35"/>
      <c r="F294" s="36"/>
      <c r="G294" s="37"/>
      <c r="H294" s="38"/>
      <c r="I294" s="39"/>
      <c r="J294" s="39"/>
      <c r="K294" s="35"/>
      <c r="L294" s="107"/>
      <c r="M294" s="40"/>
      <c r="O294" s="107"/>
      <c r="P294" s="22"/>
      <c r="R294" s="107"/>
      <c r="S294" s="107"/>
      <c r="T294" s="107"/>
      <c r="U294" s="107"/>
      <c r="V294" s="107"/>
    </row>
    <row r="295" spans="4:22" s="12" customFormat="1" x14ac:dyDescent="0.2">
      <c r="D295" s="107"/>
      <c r="E295" s="35"/>
      <c r="F295" s="36"/>
      <c r="G295" s="37"/>
      <c r="H295" s="38"/>
      <c r="I295" s="39"/>
      <c r="J295" s="39"/>
      <c r="K295" s="35"/>
      <c r="L295" s="107"/>
      <c r="M295" s="40"/>
      <c r="O295" s="107"/>
      <c r="P295" s="22"/>
      <c r="R295" s="107"/>
      <c r="S295" s="107"/>
      <c r="T295" s="107"/>
      <c r="U295" s="107"/>
      <c r="V295" s="107"/>
    </row>
    <row r="296" spans="4:22" s="12" customFormat="1" x14ac:dyDescent="0.2">
      <c r="D296" s="107"/>
      <c r="E296" s="35"/>
      <c r="F296" s="36"/>
      <c r="G296" s="37"/>
      <c r="H296" s="38"/>
      <c r="I296" s="39"/>
      <c r="J296" s="39"/>
      <c r="K296" s="35"/>
      <c r="L296" s="107"/>
      <c r="M296" s="40"/>
      <c r="O296" s="107"/>
      <c r="P296" s="22"/>
      <c r="R296" s="107"/>
      <c r="S296" s="107"/>
      <c r="T296" s="107"/>
      <c r="U296" s="107"/>
      <c r="V296" s="107"/>
    </row>
    <row r="297" spans="4:22" s="12" customFormat="1" x14ac:dyDescent="0.2">
      <c r="D297" s="107"/>
      <c r="E297" s="35"/>
      <c r="F297" s="36"/>
      <c r="G297" s="37"/>
      <c r="H297" s="38"/>
      <c r="I297" s="39"/>
      <c r="J297" s="39"/>
      <c r="K297" s="35"/>
      <c r="L297" s="107"/>
      <c r="M297" s="40"/>
      <c r="O297" s="107"/>
      <c r="P297" s="22"/>
      <c r="R297" s="107"/>
      <c r="S297" s="107"/>
      <c r="T297" s="107"/>
      <c r="U297" s="107"/>
      <c r="V297" s="107"/>
    </row>
    <row r="298" spans="4:22" s="12" customFormat="1" x14ac:dyDescent="0.2">
      <c r="D298" s="107"/>
      <c r="E298" s="35"/>
      <c r="F298" s="36"/>
      <c r="G298" s="37"/>
      <c r="H298" s="38"/>
      <c r="I298" s="39"/>
      <c r="J298" s="39"/>
      <c r="K298" s="35"/>
      <c r="L298" s="107"/>
      <c r="M298" s="40"/>
      <c r="O298" s="107"/>
      <c r="P298" s="22"/>
      <c r="R298" s="107"/>
      <c r="S298" s="107"/>
      <c r="T298" s="107"/>
      <c r="U298" s="107"/>
      <c r="V298" s="107"/>
    </row>
    <row r="299" spans="4:22" s="12" customFormat="1" x14ac:dyDescent="0.2">
      <c r="D299" s="107"/>
      <c r="E299" s="35"/>
      <c r="F299" s="36"/>
      <c r="G299" s="37"/>
      <c r="H299" s="38"/>
      <c r="I299" s="39"/>
      <c r="J299" s="39"/>
      <c r="K299" s="35"/>
      <c r="L299" s="107"/>
      <c r="M299" s="40"/>
      <c r="O299" s="107"/>
      <c r="P299" s="22"/>
      <c r="R299" s="107"/>
      <c r="S299" s="107"/>
      <c r="T299" s="107"/>
      <c r="U299" s="107"/>
      <c r="V299" s="107"/>
    </row>
    <row r="300" spans="4:22" s="12" customFormat="1" x14ac:dyDescent="0.2">
      <c r="D300" s="107"/>
      <c r="E300" s="35"/>
      <c r="F300" s="36"/>
      <c r="G300" s="37"/>
      <c r="H300" s="38"/>
      <c r="I300" s="39"/>
      <c r="J300" s="39"/>
      <c r="K300" s="35"/>
      <c r="L300" s="107"/>
      <c r="M300" s="40"/>
      <c r="O300" s="107"/>
      <c r="P300" s="22"/>
      <c r="R300" s="107"/>
      <c r="S300" s="107"/>
      <c r="T300" s="107"/>
      <c r="U300" s="107"/>
      <c r="V300" s="107"/>
    </row>
    <row r="301" spans="4:22" s="12" customFormat="1" x14ac:dyDescent="0.2">
      <c r="D301" s="107"/>
      <c r="E301" s="35"/>
      <c r="F301" s="36"/>
      <c r="G301" s="37"/>
      <c r="H301" s="38"/>
      <c r="I301" s="39"/>
      <c r="J301" s="39"/>
      <c r="K301" s="35"/>
      <c r="L301" s="107"/>
      <c r="M301" s="40"/>
      <c r="O301" s="107"/>
      <c r="P301" s="22"/>
      <c r="R301" s="107"/>
      <c r="S301" s="107"/>
      <c r="T301" s="107"/>
      <c r="U301" s="107"/>
      <c r="V301" s="107"/>
    </row>
    <row r="302" spans="4:22" s="12" customFormat="1" x14ac:dyDescent="0.2">
      <c r="D302" s="107"/>
      <c r="E302" s="35"/>
      <c r="F302" s="36"/>
      <c r="G302" s="37"/>
      <c r="H302" s="38"/>
      <c r="I302" s="39"/>
      <c r="J302" s="39"/>
      <c r="K302" s="35"/>
      <c r="L302" s="107"/>
      <c r="M302" s="40"/>
      <c r="O302" s="107"/>
      <c r="P302" s="22"/>
      <c r="R302" s="107"/>
      <c r="S302" s="107"/>
      <c r="T302" s="107"/>
      <c r="U302" s="107"/>
      <c r="V302" s="107"/>
    </row>
    <row r="303" spans="4:22" s="12" customFormat="1" x14ac:dyDescent="0.2">
      <c r="D303" s="107"/>
      <c r="E303" s="35"/>
      <c r="F303" s="36"/>
      <c r="G303" s="37"/>
      <c r="H303" s="38"/>
      <c r="I303" s="39"/>
      <c r="J303" s="39"/>
      <c r="K303" s="35"/>
      <c r="L303" s="107"/>
      <c r="M303" s="40"/>
      <c r="O303" s="107"/>
      <c r="P303" s="22"/>
      <c r="R303" s="107"/>
      <c r="S303" s="107"/>
      <c r="T303" s="107"/>
      <c r="U303" s="107"/>
      <c r="V303" s="107"/>
    </row>
    <row r="304" spans="4:22" s="12" customFormat="1" x14ac:dyDescent="0.2">
      <c r="D304" s="107"/>
      <c r="E304" s="35"/>
      <c r="F304" s="36"/>
      <c r="G304" s="37"/>
      <c r="H304" s="38"/>
      <c r="I304" s="39"/>
      <c r="J304" s="39"/>
      <c r="K304" s="35"/>
      <c r="L304" s="107"/>
      <c r="M304" s="40"/>
      <c r="O304" s="107"/>
      <c r="P304" s="22"/>
      <c r="R304" s="107"/>
      <c r="S304" s="107"/>
      <c r="T304" s="107"/>
      <c r="U304" s="107"/>
      <c r="V304" s="107"/>
    </row>
    <row r="305" spans="4:22" s="12" customFormat="1" x14ac:dyDescent="0.2">
      <c r="D305" s="107"/>
      <c r="E305" s="35"/>
      <c r="F305" s="36"/>
      <c r="G305" s="37"/>
      <c r="H305" s="38"/>
      <c r="I305" s="39"/>
      <c r="J305" s="39"/>
      <c r="K305" s="35"/>
      <c r="L305" s="107"/>
      <c r="M305" s="40"/>
      <c r="O305" s="107"/>
      <c r="P305" s="22"/>
      <c r="R305" s="107"/>
      <c r="S305" s="107"/>
      <c r="T305" s="107"/>
      <c r="U305" s="107"/>
      <c r="V305" s="107"/>
    </row>
    <row r="306" spans="4:22" s="12" customFormat="1" x14ac:dyDescent="0.2">
      <c r="D306" s="107"/>
      <c r="E306" s="35"/>
      <c r="F306" s="36"/>
      <c r="G306" s="37"/>
      <c r="H306" s="38"/>
      <c r="I306" s="39"/>
      <c r="J306" s="39"/>
      <c r="K306" s="35"/>
      <c r="L306" s="107"/>
      <c r="M306" s="40"/>
      <c r="O306" s="107"/>
      <c r="P306" s="22"/>
      <c r="R306" s="107"/>
      <c r="S306" s="107"/>
      <c r="T306" s="107"/>
      <c r="U306" s="107"/>
      <c r="V306" s="107"/>
    </row>
    <row r="307" spans="4:22" s="12" customFormat="1" x14ac:dyDescent="0.2">
      <c r="D307" s="107"/>
      <c r="E307" s="35"/>
      <c r="F307" s="36"/>
      <c r="G307" s="37"/>
      <c r="H307" s="38"/>
      <c r="I307" s="39"/>
      <c r="J307" s="39"/>
      <c r="K307" s="35"/>
      <c r="L307" s="107"/>
      <c r="M307" s="40"/>
      <c r="O307" s="107"/>
      <c r="P307" s="22"/>
      <c r="R307" s="107"/>
      <c r="S307" s="107"/>
      <c r="T307" s="107"/>
      <c r="U307" s="107"/>
      <c r="V307" s="107"/>
    </row>
    <row r="308" spans="4:22" s="12" customFormat="1" x14ac:dyDescent="0.2">
      <c r="D308" s="107"/>
      <c r="E308" s="35"/>
      <c r="F308" s="36"/>
      <c r="G308" s="37"/>
      <c r="H308" s="38"/>
      <c r="I308" s="39"/>
      <c r="J308" s="39"/>
      <c r="K308" s="35"/>
      <c r="L308" s="107"/>
      <c r="M308" s="40"/>
      <c r="O308" s="107"/>
      <c r="P308" s="22"/>
      <c r="R308" s="107"/>
      <c r="S308" s="107"/>
      <c r="T308" s="107"/>
      <c r="U308" s="107"/>
      <c r="V308" s="107"/>
    </row>
    <row r="309" spans="4:22" s="12" customFormat="1" x14ac:dyDescent="0.2">
      <c r="D309" s="107"/>
      <c r="E309" s="35"/>
      <c r="F309" s="36"/>
      <c r="G309" s="37"/>
      <c r="H309" s="38"/>
      <c r="I309" s="39"/>
      <c r="J309" s="39"/>
      <c r="K309" s="35"/>
      <c r="L309" s="107"/>
      <c r="M309" s="40"/>
      <c r="O309" s="107"/>
      <c r="P309" s="22"/>
      <c r="R309" s="107"/>
      <c r="S309" s="107"/>
      <c r="T309" s="107"/>
      <c r="U309" s="107"/>
      <c r="V309" s="107"/>
    </row>
    <row r="310" spans="4:22" s="12" customFormat="1" x14ac:dyDescent="0.2">
      <c r="D310" s="107"/>
      <c r="E310" s="35"/>
      <c r="F310" s="36"/>
      <c r="G310" s="37"/>
      <c r="H310" s="38"/>
      <c r="I310" s="39"/>
      <c r="J310" s="39"/>
      <c r="K310" s="35"/>
      <c r="L310" s="107"/>
      <c r="M310" s="40"/>
      <c r="O310" s="107"/>
      <c r="P310" s="22"/>
      <c r="R310" s="107"/>
      <c r="S310" s="107"/>
      <c r="T310" s="107"/>
      <c r="U310" s="107"/>
      <c r="V310" s="107"/>
    </row>
    <row r="311" spans="4:22" s="12" customFormat="1" x14ac:dyDescent="0.2">
      <c r="D311" s="107"/>
      <c r="E311" s="35"/>
      <c r="F311" s="36"/>
      <c r="G311" s="37"/>
      <c r="H311" s="38"/>
      <c r="I311" s="39"/>
      <c r="J311" s="39"/>
      <c r="K311" s="35"/>
      <c r="L311" s="107"/>
      <c r="M311" s="40"/>
      <c r="O311" s="107"/>
      <c r="P311" s="22"/>
      <c r="R311" s="107"/>
      <c r="S311" s="107"/>
      <c r="T311" s="107"/>
      <c r="U311" s="107"/>
      <c r="V311" s="107"/>
    </row>
    <row r="312" spans="4:22" s="12" customFormat="1" x14ac:dyDescent="0.2">
      <c r="D312" s="107"/>
      <c r="E312" s="35"/>
      <c r="F312" s="36"/>
      <c r="G312" s="37"/>
      <c r="H312" s="38"/>
      <c r="I312" s="39"/>
      <c r="J312" s="39"/>
      <c r="K312" s="35"/>
      <c r="L312" s="107"/>
      <c r="M312" s="40"/>
      <c r="O312" s="107"/>
      <c r="P312" s="22"/>
      <c r="R312" s="107"/>
      <c r="S312" s="107"/>
      <c r="T312" s="107"/>
      <c r="U312" s="107"/>
      <c r="V312" s="107"/>
    </row>
    <row r="313" spans="4:22" s="12" customFormat="1" x14ac:dyDescent="0.2">
      <c r="D313" s="107"/>
      <c r="E313" s="35"/>
      <c r="F313" s="36"/>
      <c r="G313" s="37"/>
      <c r="H313" s="38"/>
      <c r="I313" s="39"/>
      <c r="J313" s="39"/>
      <c r="K313" s="35"/>
      <c r="L313" s="107"/>
      <c r="M313" s="40"/>
      <c r="O313" s="107"/>
      <c r="P313" s="22"/>
      <c r="R313" s="107"/>
      <c r="S313" s="107"/>
      <c r="T313" s="107"/>
      <c r="U313" s="107"/>
      <c r="V313" s="107"/>
    </row>
    <row r="314" spans="4:22" s="12" customFormat="1" x14ac:dyDescent="0.2">
      <c r="D314" s="107"/>
      <c r="E314" s="35"/>
      <c r="F314" s="36"/>
      <c r="G314" s="37"/>
      <c r="H314" s="38"/>
      <c r="I314" s="39"/>
      <c r="J314" s="39"/>
      <c r="K314" s="35"/>
      <c r="L314" s="107"/>
      <c r="M314" s="40"/>
      <c r="O314" s="107"/>
      <c r="P314" s="22"/>
      <c r="R314" s="107"/>
      <c r="S314" s="107"/>
      <c r="T314" s="107"/>
      <c r="U314" s="107"/>
      <c r="V314" s="107"/>
    </row>
    <row r="315" spans="4:22" s="12" customFormat="1" x14ac:dyDescent="0.2">
      <c r="D315" s="107"/>
      <c r="E315" s="35"/>
      <c r="F315" s="36"/>
      <c r="G315" s="37"/>
      <c r="H315" s="38"/>
      <c r="I315" s="39"/>
      <c r="J315" s="39"/>
      <c r="K315" s="35"/>
      <c r="L315" s="107"/>
      <c r="M315" s="40"/>
      <c r="O315" s="107"/>
      <c r="P315" s="22"/>
      <c r="R315" s="107"/>
      <c r="S315" s="107"/>
      <c r="T315" s="107"/>
      <c r="U315" s="107"/>
      <c r="V315" s="107"/>
    </row>
    <row r="316" spans="4:22" s="12" customFormat="1" x14ac:dyDescent="0.2">
      <c r="D316" s="107"/>
      <c r="E316" s="35"/>
      <c r="F316" s="36"/>
      <c r="G316" s="37"/>
      <c r="H316" s="38"/>
      <c r="I316" s="39"/>
      <c r="J316" s="39"/>
      <c r="K316" s="35"/>
      <c r="L316" s="107"/>
      <c r="M316" s="40"/>
      <c r="O316" s="107"/>
      <c r="P316" s="22"/>
      <c r="R316" s="107"/>
      <c r="S316" s="107"/>
      <c r="T316" s="107"/>
      <c r="U316" s="107"/>
      <c r="V316" s="107"/>
    </row>
    <row r="317" spans="4:22" s="12" customFormat="1" x14ac:dyDescent="0.2">
      <c r="D317" s="107"/>
      <c r="E317" s="35"/>
      <c r="F317" s="36"/>
      <c r="G317" s="37"/>
      <c r="H317" s="38"/>
      <c r="I317" s="39"/>
      <c r="J317" s="39"/>
      <c r="K317" s="35"/>
      <c r="L317" s="107"/>
      <c r="M317" s="40"/>
      <c r="O317" s="107"/>
      <c r="P317" s="22"/>
      <c r="R317" s="107"/>
      <c r="S317" s="107"/>
      <c r="T317" s="107"/>
      <c r="U317" s="107"/>
      <c r="V317" s="107"/>
    </row>
    <row r="318" spans="4:22" s="12" customFormat="1" x14ac:dyDescent="0.2">
      <c r="D318" s="107"/>
      <c r="E318" s="35"/>
      <c r="F318" s="36"/>
      <c r="G318" s="37"/>
      <c r="H318" s="38"/>
      <c r="I318" s="39"/>
      <c r="J318" s="39"/>
      <c r="K318" s="35"/>
      <c r="L318" s="107"/>
      <c r="M318" s="40"/>
      <c r="O318" s="107"/>
      <c r="P318" s="22"/>
      <c r="R318" s="107"/>
      <c r="S318" s="107"/>
      <c r="T318" s="107"/>
      <c r="U318" s="107"/>
      <c r="V318" s="107"/>
    </row>
    <row r="319" spans="4:22" s="12" customFormat="1" x14ac:dyDescent="0.2">
      <c r="D319" s="107"/>
      <c r="E319" s="35"/>
      <c r="F319" s="36"/>
      <c r="G319" s="37"/>
      <c r="H319" s="38"/>
      <c r="I319" s="39"/>
      <c r="J319" s="39"/>
      <c r="K319" s="35"/>
      <c r="L319" s="107"/>
      <c r="M319" s="40"/>
      <c r="O319" s="107"/>
      <c r="P319" s="22"/>
      <c r="R319" s="107"/>
      <c r="S319" s="107"/>
      <c r="T319" s="107"/>
      <c r="U319" s="107"/>
      <c r="V319" s="107"/>
    </row>
    <row r="320" spans="4:22" s="12" customFormat="1" x14ac:dyDescent="0.2">
      <c r="D320" s="107"/>
      <c r="E320" s="35"/>
      <c r="F320" s="36"/>
      <c r="G320" s="37"/>
      <c r="H320" s="38"/>
      <c r="I320" s="39"/>
      <c r="J320" s="39"/>
      <c r="K320" s="35"/>
      <c r="L320" s="107"/>
      <c r="M320" s="40"/>
      <c r="O320" s="107"/>
      <c r="P320" s="22"/>
      <c r="R320" s="107"/>
      <c r="S320" s="107"/>
      <c r="T320" s="107"/>
      <c r="U320" s="107"/>
      <c r="V320" s="107"/>
    </row>
    <row r="321" spans="4:22" s="12" customFormat="1" x14ac:dyDescent="0.2">
      <c r="D321" s="107"/>
      <c r="E321" s="35"/>
      <c r="F321" s="36"/>
      <c r="G321" s="37"/>
      <c r="H321" s="38"/>
      <c r="I321" s="39"/>
      <c r="J321" s="39"/>
      <c r="K321" s="35"/>
      <c r="L321" s="107"/>
      <c r="M321" s="40"/>
      <c r="O321" s="107"/>
      <c r="P321" s="22"/>
      <c r="R321" s="107"/>
      <c r="S321" s="107"/>
      <c r="T321" s="107"/>
      <c r="U321" s="107"/>
      <c r="V321" s="107"/>
    </row>
    <row r="322" spans="4:22" s="12" customFormat="1" x14ac:dyDescent="0.2">
      <c r="D322" s="107"/>
      <c r="E322" s="35"/>
      <c r="F322" s="36"/>
      <c r="G322" s="37"/>
      <c r="H322" s="38"/>
      <c r="I322" s="39"/>
      <c r="J322" s="39"/>
      <c r="K322" s="35"/>
      <c r="L322" s="107"/>
      <c r="M322" s="40"/>
      <c r="O322" s="107"/>
      <c r="P322" s="22"/>
      <c r="R322" s="107"/>
      <c r="S322" s="107"/>
      <c r="T322" s="107"/>
      <c r="U322" s="107"/>
      <c r="V322" s="107"/>
    </row>
    <row r="323" spans="4:22" s="12" customFormat="1" x14ac:dyDescent="0.2">
      <c r="D323" s="107"/>
      <c r="E323" s="35"/>
      <c r="F323" s="36"/>
      <c r="G323" s="37"/>
      <c r="H323" s="38"/>
      <c r="I323" s="39"/>
      <c r="J323" s="39"/>
      <c r="K323" s="35"/>
      <c r="L323" s="107"/>
      <c r="M323" s="40"/>
      <c r="O323" s="107"/>
      <c r="P323" s="22"/>
      <c r="R323" s="107"/>
      <c r="S323" s="107"/>
      <c r="T323" s="107"/>
      <c r="U323" s="107"/>
      <c r="V323" s="107"/>
    </row>
    <row r="324" spans="4:22" s="12" customFormat="1" x14ac:dyDescent="0.2">
      <c r="D324" s="107"/>
      <c r="E324" s="35"/>
      <c r="F324" s="36"/>
      <c r="G324" s="37"/>
      <c r="H324" s="38"/>
      <c r="I324" s="39"/>
      <c r="J324" s="39"/>
      <c r="K324" s="35"/>
      <c r="L324" s="107"/>
      <c r="M324" s="40"/>
      <c r="O324" s="107"/>
      <c r="P324" s="22"/>
      <c r="R324" s="107"/>
      <c r="S324" s="107"/>
      <c r="T324" s="107"/>
      <c r="U324" s="107"/>
      <c r="V324" s="107"/>
    </row>
    <row r="325" spans="4:22" s="12" customFormat="1" x14ac:dyDescent="0.2">
      <c r="D325" s="107"/>
      <c r="E325" s="35"/>
      <c r="F325" s="36"/>
      <c r="G325" s="37"/>
      <c r="H325" s="38"/>
      <c r="I325" s="39"/>
      <c r="J325" s="39"/>
      <c r="K325" s="35"/>
      <c r="L325" s="107"/>
      <c r="M325" s="40"/>
      <c r="O325" s="107"/>
      <c r="P325" s="22"/>
      <c r="R325" s="107"/>
      <c r="S325" s="107"/>
      <c r="T325" s="107"/>
      <c r="U325" s="107"/>
      <c r="V325" s="107"/>
    </row>
    <row r="326" spans="4:22" s="12" customFormat="1" x14ac:dyDescent="0.2">
      <c r="D326" s="107"/>
      <c r="E326" s="35"/>
      <c r="F326" s="36"/>
      <c r="G326" s="37"/>
      <c r="H326" s="38"/>
      <c r="I326" s="39"/>
      <c r="J326" s="39"/>
      <c r="K326" s="35"/>
      <c r="L326" s="107"/>
      <c r="M326" s="40"/>
      <c r="O326" s="107"/>
      <c r="P326" s="22"/>
      <c r="R326" s="107"/>
      <c r="S326" s="107"/>
      <c r="T326" s="107"/>
      <c r="U326" s="107"/>
      <c r="V326" s="107"/>
    </row>
    <row r="327" spans="4:22" s="12" customFormat="1" x14ac:dyDescent="0.2">
      <c r="D327" s="107"/>
      <c r="E327" s="35"/>
      <c r="F327" s="36"/>
      <c r="G327" s="37"/>
      <c r="H327" s="38"/>
      <c r="I327" s="39"/>
      <c r="J327" s="39"/>
      <c r="K327" s="35"/>
      <c r="L327" s="107"/>
      <c r="M327" s="40"/>
      <c r="O327" s="107"/>
      <c r="P327" s="22"/>
      <c r="R327" s="107"/>
      <c r="S327" s="107"/>
      <c r="T327" s="107"/>
      <c r="U327" s="107"/>
      <c r="V327" s="107"/>
    </row>
    <row r="328" spans="4:22" s="12" customFormat="1" x14ac:dyDescent="0.2">
      <c r="D328" s="107"/>
      <c r="E328" s="35"/>
      <c r="F328" s="36"/>
      <c r="G328" s="37"/>
      <c r="H328" s="38"/>
      <c r="I328" s="39"/>
      <c r="J328" s="39"/>
      <c r="K328" s="35"/>
      <c r="L328" s="107"/>
      <c r="M328" s="40"/>
      <c r="O328" s="107"/>
      <c r="P328" s="22"/>
      <c r="R328" s="107"/>
      <c r="S328" s="107"/>
      <c r="T328" s="107"/>
      <c r="U328" s="107"/>
      <c r="V328" s="107"/>
    </row>
    <row r="329" spans="4:22" s="12" customFormat="1" x14ac:dyDescent="0.2">
      <c r="D329" s="107"/>
      <c r="E329" s="35"/>
      <c r="F329" s="36"/>
      <c r="G329" s="37"/>
      <c r="H329" s="38"/>
      <c r="I329" s="39"/>
      <c r="J329" s="39"/>
      <c r="K329" s="35"/>
      <c r="L329" s="107"/>
      <c r="M329" s="40"/>
      <c r="O329" s="107"/>
      <c r="P329" s="22"/>
      <c r="R329" s="107"/>
      <c r="S329" s="107"/>
      <c r="T329" s="107"/>
      <c r="U329" s="107"/>
      <c r="V329" s="107"/>
    </row>
    <row r="330" spans="4:22" s="12" customFormat="1" x14ac:dyDescent="0.2">
      <c r="D330" s="107"/>
      <c r="E330" s="35"/>
      <c r="F330" s="36"/>
      <c r="G330" s="37"/>
      <c r="H330" s="38"/>
      <c r="I330" s="39"/>
      <c r="J330" s="39"/>
      <c r="K330" s="35"/>
      <c r="L330" s="107"/>
      <c r="M330" s="40"/>
      <c r="O330" s="107"/>
      <c r="P330" s="22"/>
      <c r="R330" s="107"/>
      <c r="S330" s="107"/>
      <c r="T330" s="107"/>
      <c r="U330" s="107"/>
      <c r="V330" s="107"/>
    </row>
    <row r="331" spans="4:22" s="12" customFormat="1" x14ac:dyDescent="0.2">
      <c r="D331" s="107"/>
      <c r="E331" s="35"/>
      <c r="F331" s="36"/>
      <c r="G331" s="37"/>
      <c r="H331" s="38"/>
      <c r="I331" s="39"/>
      <c r="J331" s="39"/>
      <c r="K331" s="35"/>
      <c r="L331" s="107"/>
      <c r="M331" s="40"/>
      <c r="O331" s="107"/>
      <c r="P331" s="22"/>
      <c r="R331" s="107"/>
      <c r="S331" s="107"/>
      <c r="T331" s="107"/>
      <c r="U331" s="107"/>
      <c r="V331" s="107"/>
    </row>
    <row r="332" spans="4:22" s="12" customFormat="1" x14ac:dyDescent="0.2">
      <c r="D332" s="107"/>
      <c r="E332" s="35"/>
      <c r="F332" s="36"/>
      <c r="G332" s="37"/>
      <c r="H332" s="38"/>
      <c r="I332" s="39"/>
      <c r="J332" s="39"/>
      <c r="K332" s="35"/>
      <c r="L332" s="107"/>
      <c r="M332" s="40"/>
      <c r="O332" s="107"/>
      <c r="P332" s="22"/>
      <c r="R332" s="107"/>
      <c r="S332" s="107"/>
      <c r="T332" s="107"/>
      <c r="U332" s="107"/>
      <c r="V332" s="107"/>
    </row>
    <row r="333" spans="4:22" s="12" customFormat="1" x14ac:dyDescent="0.2">
      <c r="D333" s="107"/>
      <c r="E333" s="35"/>
      <c r="F333" s="36"/>
      <c r="G333" s="37"/>
      <c r="H333" s="38"/>
      <c r="I333" s="39"/>
      <c r="J333" s="39"/>
      <c r="K333" s="35"/>
      <c r="L333" s="107"/>
      <c r="M333" s="40"/>
      <c r="O333" s="107"/>
      <c r="P333" s="22"/>
      <c r="R333" s="107"/>
      <c r="S333" s="107"/>
      <c r="T333" s="107"/>
      <c r="U333" s="107"/>
      <c r="V333" s="107"/>
    </row>
    <row r="334" spans="4:22" s="12" customFormat="1" x14ac:dyDescent="0.2">
      <c r="D334" s="107"/>
      <c r="E334" s="35"/>
      <c r="F334" s="36"/>
      <c r="G334" s="37"/>
      <c r="H334" s="38"/>
      <c r="I334" s="39"/>
      <c r="J334" s="39"/>
      <c r="K334" s="35"/>
      <c r="L334" s="107"/>
      <c r="M334" s="40"/>
      <c r="O334" s="107"/>
      <c r="P334" s="22"/>
      <c r="R334" s="107"/>
      <c r="S334" s="107"/>
      <c r="T334" s="107"/>
      <c r="U334" s="107"/>
      <c r="V334" s="107"/>
    </row>
    <row r="335" spans="4:22" s="12" customFormat="1" x14ac:dyDescent="0.2">
      <c r="D335" s="107"/>
      <c r="E335" s="35"/>
      <c r="F335" s="36"/>
      <c r="G335" s="37"/>
      <c r="H335" s="38"/>
      <c r="I335" s="39"/>
      <c r="J335" s="39"/>
      <c r="K335" s="35"/>
      <c r="L335" s="107"/>
      <c r="M335" s="40"/>
      <c r="O335" s="107"/>
      <c r="P335" s="22"/>
      <c r="R335" s="107"/>
      <c r="S335" s="107"/>
      <c r="T335" s="107"/>
      <c r="U335" s="107"/>
      <c r="V335" s="107"/>
    </row>
    <row r="336" spans="4:22" s="12" customFormat="1" x14ac:dyDescent="0.2">
      <c r="D336" s="107"/>
      <c r="E336" s="35"/>
      <c r="F336" s="36"/>
      <c r="G336" s="37"/>
      <c r="H336" s="38"/>
      <c r="I336" s="39"/>
      <c r="J336" s="39"/>
      <c r="K336" s="35"/>
      <c r="L336" s="107"/>
      <c r="M336" s="40"/>
      <c r="O336" s="107"/>
      <c r="P336" s="22"/>
      <c r="R336" s="107"/>
      <c r="S336" s="107"/>
      <c r="T336" s="107"/>
      <c r="U336" s="107"/>
      <c r="V336" s="107"/>
    </row>
    <row r="337" spans="4:22" s="12" customFormat="1" x14ac:dyDescent="0.2">
      <c r="D337" s="107"/>
      <c r="E337" s="35"/>
      <c r="F337" s="36"/>
      <c r="G337" s="37"/>
      <c r="H337" s="38"/>
      <c r="I337" s="39"/>
      <c r="J337" s="39"/>
      <c r="K337" s="35"/>
      <c r="L337" s="107"/>
      <c r="M337" s="40"/>
      <c r="O337" s="107"/>
      <c r="P337" s="22"/>
      <c r="R337" s="107"/>
      <c r="S337" s="107"/>
      <c r="T337" s="107"/>
      <c r="U337" s="107"/>
      <c r="V337" s="107"/>
    </row>
    <row r="338" spans="4:22" s="12" customFormat="1" x14ac:dyDescent="0.2">
      <c r="D338" s="107"/>
      <c r="E338" s="35"/>
      <c r="F338" s="36"/>
      <c r="G338" s="37"/>
      <c r="H338" s="38"/>
      <c r="I338" s="39"/>
      <c r="J338" s="39"/>
      <c r="K338" s="35"/>
      <c r="L338" s="107"/>
      <c r="M338" s="40"/>
      <c r="O338" s="107"/>
      <c r="P338" s="22"/>
      <c r="R338" s="107"/>
      <c r="S338" s="107"/>
      <c r="T338" s="107"/>
      <c r="U338" s="107"/>
      <c r="V338" s="107"/>
    </row>
    <row r="339" spans="4:22" s="12" customFormat="1" x14ac:dyDescent="0.2">
      <c r="D339" s="107"/>
      <c r="E339" s="35"/>
      <c r="F339" s="36"/>
      <c r="G339" s="37"/>
      <c r="H339" s="38"/>
      <c r="I339" s="39"/>
      <c r="J339" s="39"/>
      <c r="K339" s="35"/>
      <c r="L339" s="107"/>
      <c r="M339" s="40"/>
      <c r="O339" s="107"/>
      <c r="P339" s="22"/>
      <c r="R339" s="107"/>
      <c r="S339" s="107"/>
      <c r="T339" s="107"/>
      <c r="U339" s="107"/>
      <c r="V339" s="107"/>
    </row>
    <row r="340" spans="4:22" s="12" customFormat="1" x14ac:dyDescent="0.2">
      <c r="D340" s="107"/>
      <c r="E340" s="35"/>
      <c r="F340" s="36"/>
      <c r="G340" s="37"/>
      <c r="H340" s="38"/>
      <c r="I340" s="39"/>
      <c r="J340" s="39"/>
      <c r="K340" s="35"/>
      <c r="L340" s="107"/>
      <c r="M340" s="40"/>
      <c r="O340" s="107"/>
      <c r="P340" s="22"/>
      <c r="R340" s="107"/>
      <c r="S340" s="107"/>
      <c r="T340" s="107"/>
      <c r="U340" s="107"/>
      <c r="V340" s="107"/>
    </row>
    <row r="341" spans="4:22" s="12" customFormat="1" x14ac:dyDescent="0.2">
      <c r="D341" s="107"/>
      <c r="E341" s="35"/>
      <c r="F341" s="36"/>
      <c r="G341" s="37"/>
      <c r="H341" s="38"/>
      <c r="I341" s="39"/>
      <c r="J341" s="39"/>
      <c r="K341" s="35"/>
      <c r="L341" s="107"/>
      <c r="M341" s="40"/>
      <c r="O341" s="107"/>
      <c r="P341" s="22"/>
      <c r="R341" s="107"/>
      <c r="S341" s="107"/>
      <c r="T341" s="107"/>
      <c r="U341" s="107"/>
      <c r="V341" s="107"/>
    </row>
    <row r="342" spans="4:22" s="12" customFormat="1" x14ac:dyDescent="0.2">
      <c r="D342" s="107"/>
      <c r="E342" s="35"/>
      <c r="F342" s="36"/>
      <c r="G342" s="37"/>
      <c r="H342" s="38"/>
      <c r="I342" s="39"/>
      <c r="J342" s="39"/>
      <c r="K342" s="35"/>
      <c r="L342" s="107"/>
      <c r="M342" s="40"/>
      <c r="O342" s="107"/>
      <c r="P342" s="22"/>
      <c r="R342" s="107"/>
      <c r="S342" s="107"/>
      <c r="T342" s="107"/>
      <c r="U342" s="107"/>
      <c r="V342" s="107"/>
    </row>
    <row r="343" spans="4:22" s="12" customFormat="1" x14ac:dyDescent="0.2">
      <c r="D343" s="107"/>
      <c r="E343" s="35"/>
      <c r="F343" s="36"/>
      <c r="G343" s="37"/>
      <c r="H343" s="38"/>
      <c r="I343" s="39"/>
      <c r="J343" s="39"/>
      <c r="K343" s="35"/>
      <c r="L343" s="107"/>
      <c r="M343" s="40"/>
      <c r="O343" s="107"/>
      <c r="P343" s="22"/>
      <c r="R343" s="107"/>
      <c r="S343" s="107"/>
      <c r="T343" s="107"/>
      <c r="U343" s="107"/>
      <c r="V343" s="107"/>
    </row>
    <row r="344" spans="4:22" s="12" customFormat="1" x14ac:dyDescent="0.2">
      <c r="D344" s="107"/>
      <c r="E344" s="35"/>
      <c r="F344" s="36"/>
      <c r="G344" s="37"/>
      <c r="H344" s="38"/>
      <c r="I344" s="39"/>
      <c r="J344" s="39"/>
      <c r="K344" s="35"/>
      <c r="L344" s="107"/>
      <c r="M344" s="40"/>
      <c r="O344" s="107"/>
      <c r="P344" s="22"/>
      <c r="R344" s="107"/>
      <c r="S344" s="107"/>
      <c r="T344" s="107"/>
      <c r="U344" s="107"/>
      <c r="V344" s="107"/>
    </row>
    <row r="345" spans="4:22" s="12" customFormat="1" x14ac:dyDescent="0.2">
      <c r="D345" s="107"/>
      <c r="E345" s="35"/>
      <c r="F345" s="36"/>
      <c r="G345" s="37"/>
      <c r="H345" s="38"/>
      <c r="I345" s="39"/>
      <c r="J345" s="39"/>
      <c r="K345" s="35"/>
      <c r="L345" s="107"/>
      <c r="M345" s="40"/>
      <c r="O345" s="107"/>
      <c r="P345" s="22"/>
      <c r="R345" s="107"/>
      <c r="S345" s="107"/>
      <c r="T345" s="107"/>
      <c r="U345" s="107"/>
      <c r="V345" s="107"/>
    </row>
    <row r="346" spans="4:22" s="12" customFormat="1" x14ac:dyDescent="0.2">
      <c r="D346" s="107"/>
      <c r="E346" s="35"/>
      <c r="F346" s="36"/>
      <c r="G346" s="37"/>
      <c r="H346" s="38"/>
      <c r="I346" s="39"/>
      <c r="J346" s="39"/>
      <c r="K346" s="35"/>
      <c r="L346" s="107"/>
      <c r="M346" s="40"/>
      <c r="O346" s="107"/>
      <c r="P346" s="22"/>
      <c r="R346" s="107"/>
      <c r="S346" s="107"/>
      <c r="T346" s="107"/>
      <c r="U346" s="107"/>
      <c r="V346" s="107"/>
    </row>
    <row r="347" spans="4:22" s="12" customFormat="1" x14ac:dyDescent="0.2">
      <c r="D347" s="107"/>
      <c r="E347" s="35"/>
      <c r="F347" s="36"/>
      <c r="G347" s="37"/>
      <c r="H347" s="38"/>
      <c r="I347" s="39"/>
      <c r="J347" s="39"/>
      <c r="K347" s="35"/>
      <c r="L347" s="107"/>
      <c r="M347" s="40"/>
      <c r="O347" s="107"/>
      <c r="P347" s="22"/>
      <c r="R347" s="107"/>
      <c r="S347" s="107"/>
      <c r="T347" s="107"/>
      <c r="U347" s="107"/>
      <c r="V347" s="107"/>
    </row>
    <row r="348" spans="4:22" s="12" customFormat="1" x14ac:dyDescent="0.2">
      <c r="D348" s="107"/>
      <c r="E348" s="35"/>
      <c r="F348" s="36"/>
      <c r="G348" s="37"/>
      <c r="H348" s="38"/>
      <c r="I348" s="39"/>
      <c r="J348" s="39"/>
      <c r="K348" s="35"/>
      <c r="L348" s="107"/>
      <c r="M348" s="40"/>
      <c r="O348" s="107"/>
      <c r="P348" s="22"/>
      <c r="R348" s="107"/>
      <c r="S348" s="107"/>
      <c r="T348" s="107"/>
      <c r="U348" s="107"/>
      <c r="V348" s="107"/>
    </row>
    <row r="349" spans="4:22" s="12" customFormat="1" x14ac:dyDescent="0.2">
      <c r="D349" s="107"/>
      <c r="E349" s="35"/>
      <c r="F349" s="36"/>
      <c r="G349" s="37"/>
      <c r="H349" s="38"/>
      <c r="I349" s="39"/>
      <c r="J349" s="39"/>
      <c r="K349" s="35"/>
      <c r="L349" s="107"/>
      <c r="M349" s="40"/>
      <c r="O349" s="107"/>
      <c r="P349" s="22"/>
      <c r="R349" s="107"/>
      <c r="S349" s="107"/>
      <c r="T349" s="107"/>
      <c r="U349" s="107"/>
      <c r="V349" s="107"/>
    </row>
    <row r="350" spans="4:22" s="12" customFormat="1" x14ac:dyDescent="0.2">
      <c r="D350" s="107"/>
      <c r="E350" s="35"/>
      <c r="F350" s="36"/>
      <c r="G350" s="37"/>
      <c r="H350" s="38"/>
      <c r="I350" s="39"/>
      <c r="J350" s="39"/>
      <c r="K350" s="35"/>
      <c r="L350" s="107"/>
      <c r="M350" s="40"/>
      <c r="O350" s="107"/>
      <c r="P350" s="22"/>
      <c r="R350" s="107"/>
      <c r="S350" s="107"/>
      <c r="T350" s="107"/>
      <c r="U350" s="107"/>
      <c r="V350" s="107"/>
    </row>
    <row r="351" spans="4:22" s="12" customFormat="1" x14ac:dyDescent="0.2">
      <c r="D351" s="107"/>
      <c r="E351" s="35"/>
      <c r="F351" s="36"/>
      <c r="G351" s="37"/>
      <c r="H351" s="38"/>
      <c r="I351" s="39"/>
      <c r="J351" s="39"/>
      <c r="K351" s="35"/>
      <c r="L351" s="107"/>
      <c r="M351" s="40"/>
      <c r="O351" s="107"/>
      <c r="P351" s="22"/>
      <c r="R351" s="107"/>
      <c r="S351" s="107"/>
      <c r="T351" s="107"/>
      <c r="U351" s="107"/>
      <c r="V351" s="107"/>
    </row>
    <row r="352" spans="4:22" s="12" customFormat="1" x14ac:dyDescent="0.2">
      <c r="D352" s="107"/>
      <c r="E352" s="35"/>
      <c r="F352" s="36"/>
      <c r="G352" s="37"/>
      <c r="H352" s="38"/>
      <c r="I352" s="39"/>
      <c r="J352" s="39"/>
      <c r="K352" s="35"/>
      <c r="L352" s="107"/>
      <c r="M352" s="40"/>
      <c r="O352" s="107"/>
      <c r="P352" s="22"/>
      <c r="R352" s="107"/>
      <c r="S352" s="107"/>
      <c r="T352" s="107"/>
      <c r="U352" s="107"/>
      <c r="V352" s="107"/>
    </row>
    <row r="353" spans="4:22" s="12" customFormat="1" x14ac:dyDescent="0.2">
      <c r="D353" s="107"/>
      <c r="E353" s="35"/>
      <c r="F353" s="36"/>
      <c r="G353" s="37"/>
      <c r="H353" s="38"/>
      <c r="I353" s="39"/>
      <c r="J353" s="39"/>
      <c r="K353" s="35"/>
      <c r="L353" s="107"/>
      <c r="M353" s="40"/>
      <c r="O353" s="107"/>
      <c r="P353" s="22"/>
      <c r="R353" s="107"/>
      <c r="S353" s="107"/>
      <c r="T353" s="107"/>
      <c r="U353" s="107"/>
      <c r="V353" s="107"/>
    </row>
    <row r="354" spans="4:22" s="12" customFormat="1" x14ac:dyDescent="0.2">
      <c r="D354" s="107"/>
      <c r="E354" s="35"/>
      <c r="F354" s="36"/>
      <c r="G354" s="37"/>
      <c r="H354" s="38"/>
      <c r="I354" s="39"/>
      <c r="J354" s="39"/>
      <c r="K354" s="35"/>
      <c r="L354" s="107"/>
      <c r="M354" s="40"/>
      <c r="O354" s="107"/>
      <c r="P354" s="22"/>
      <c r="R354" s="107"/>
      <c r="S354" s="107"/>
      <c r="T354" s="107"/>
      <c r="U354" s="107"/>
      <c r="V354" s="107"/>
    </row>
    <row r="355" spans="4:22" s="12" customFormat="1" x14ac:dyDescent="0.2">
      <c r="D355" s="107"/>
      <c r="E355" s="35"/>
      <c r="F355" s="36"/>
      <c r="G355" s="37"/>
      <c r="H355" s="38"/>
      <c r="I355" s="39"/>
      <c r="J355" s="39"/>
      <c r="K355" s="35"/>
      <c r="L355" s="107"/>
      <c r="M355" s="40"/>
      <c r="O355" s="107"/>
      <c r="P355" s="22"/>
      <c r="R355" s="107"/>
      <c r="S355" s="107"/>
      <c r="T355" s="107"/>
      <c r="U355" s="107"/>
      <c r="V355" s="107"/>
    </row>
    <row r="356" spans="4:22" s="12" customFormat="1" x14ac:dyDescent="0.2">
      <c r="D356" s="107"/>
      <c r="E356" s="35"/>
      <c r="F356" s="36"/>
      <c r="G356" s="37"/>
      <c r="H356" s="38"/>
      <c r="I356" s="39"/>
      <c r="J356" s="39"/>
      <c r="K356" s="35"/>
      <c r="L356" s="107"/>
      <c r="M356" s="40"/>
      <c r="O356" s="107"/>
      <c r="P356" s="22"/>
      <c r="R356" s="107"/>
      <c r="S356" s="107"/>
      <c r="T356" s="107"/>
      <c r="U356" s="107"/>
      <c r="V356" s="107"/>
    </row>
    <row r="357" spans="4:22" s="12" customFormat="1" x14ac:dyDescent="0.2">
      <c r="D357" s="107"/>
      <c r="E357" s="35"/>
      <c r="F357" s="36"/>
      <c r="G357" s="37"/>
      <c r="H357" s="38"/>
      <c r="I357" s="39"/>
      <c r="J357" s="39"/>
      <c r="K357" s="35"/>
      <c r="L357" s="107"/>
      <c r="M357" s="40"/>
      <c r="O357" s="107"/>
      <c r="P357" s="22"/>
      <c r="R357" s="107"/>
      <c r="S357" s="107"/>
      <c r="T357" s="107"/>
      <c r="U357" s="107"/>
      <c r="V357" s="107"/>
    </row>
    <row r="358" spans="4:22" s="12" customFormat="1" x14ac:dyDescent="0.2">
      <c r="D358" s="107"/>
      <c r="E358" s="35"/>
      <c r="F358" s="36"/>
      <c r="G358" s="37"/>
      <c r="H358" s="38"/>
      <c r="I358" s="39"/>
      <c r="J358" s="39"/>
      <c r="K358" s="35"/>
      <c r="L358" s="107"/>
      <c r="M358" s="40"/>
      <c r="O358" s="107"/>
      <c r="P358" s="22"/>
      <c r="R358" s="107"/>
      <c r="S358" s="107"/>
      <c r="T358" s="107"/>
      <c r="U358" s="107"/>
      <c r="V358" s="107"/>
    </row>
    <row r="359" spans="4:22" s="12" customFormat="1" x14ac:dyDescent="0.2">
      <c r="D359" s="107"/>
      <c r="E359" s="35"/>
      <c r="F359" s="36"/>
      <c r="G359" s="37"/>
      <c r="H359" s="38"/>
      <c r="I359" s="39"/>
      <c r="J359" s="39"/>
      <c r="K359" s="35"/>
      <c r="L359" s="107"/>
      <c r="M359" s="40"/>
      <c r="O359" s="107"/>
      <c r="P359" s="22"/>
      <c r="R359" s="107"/>
      <c r="S359" s="107"/>
      <c r="T359" s="107"/>
      <c r="U359" s="107"/>
      <c r="V359" s="107"/>
    </row>
    <row r="360" spans="4:22" s="12" customFormat="1" x14ac:dyDescent="0.2">
      <c r="D360" s="107"/>
      <c r="E360" s="35"/>
      <c r="F360" s="36"/>
      <c r="G360" s="37"/>
      <c r="H360" s="38"/>
      <c r="I360" s="39"/>
      <c r="J360" s="39"/>
      <c r="K360" s="35"/>
      <c r="L360" s="107"/>
      <c r="M360" s="40"/>
      <c r="O360" s="107"/>
      <c r="P360" s="22"/>
      <c r="R360" s="107"/>
      <c r="S360" s="107"/>
      <c r="T360" s="107"/>
      <c r="U360" s="107"/>
      <c r="V360" s="107"/>
    </row>
    <row r="361" spans="4:22" s="12" customFormat="1" x14ac:dyDescent="0.2">
      <c r="D361" s="107"/>
      <c r="E361" s="35"/>
      <c r="F361" s="36"/>
      <c r="G361" s="37"/>
      <c r="H361" s="38"/>
      <c r="I361" s="39"/>
      <c r="J361" s="39"/>
      <c r="K361" s="35"/>
      <c r="L361" s="107"/>
      <c r="M361" s="40"/>
      <c r="O361" s="107"/>
      <c r="P361" s="22"/>
      <c r="R361" s="107"/>
      <c r="S361" s="107"/>
      <c r="T361" s="107"/>
      <c r="U361" s="107"/>
      <c r="V361" s="107"/>
    </row>
    <row r="362" spans="4:22" s="12" customFormat="1" x14ac:dyDescent="0.2">
      <c r="D362" s="107"/>
      <c r="E362" s="35"/>
      <c r="F362" s="36"/>
      <c r="G362" s="37"/>
      <c r="H362" s="38"/>
      <c r="I362" s="39"/>
      <c r="J362" s="39"/>
      <c r="K362" s="35"/>
      <c r="L362" s="107"/>
      <c r="M362" s="40"/>
      <c r="O362" s="107"/>
      <c r="P362" s="22"/>
      <c r="R362" s="107"/>
      <c r="S362" s="107"/>
      <c r="T362" s="107"/>
      <c r="U362" s="107"/>
      <c r="V362" s="107"/>
    </row>
    <row r="363" spans="4:22" s="12" customFormat="1" x14ac:dyDescent="0.2">
      <c r="D363" s="107"/>
      <c r="E363" s="35"/>
      <c r="F363" s="36"/>
      <c r="G363" s="37"/>
      <c r="H363" s="38"/>
      <c r="I363" s="39"/>
      <c r="J363" s="39"/>
      <c r="K363" s="35"/>
      <c r="L363" s="107"/>
      <c r="M363" s="40"/>
      <c r="O363" s="107"/>
      <c r="P363" s="22"/>
      <c r="R363" s="107"/>
      <c r="S363" s="107"/>
      <c r="T363" s="107"/>
      <c r="U363" s="107"/>
      <c r="V363" s="107"/>
    </row>
    <row r="364" spans="4:22" s="12" customFormat="1" x14ac:dyDescent="0.2">
      <c r="D364" s="107"/>
      <c r="E364" s="35"/>
      <c r="F364" s="36"/>
      <c r="G364" s="37"/>
      <c r="H364" s="38"/>
      <c r="I364" s="39"/>
      <c r="J364" s="39"/>
      <c r="K364" s="35"/>
      <c r="L364" s="107"/>
      <c r="M364" s="40"/>
      <c r="O364" s="107"/>
      <c r="P364" s="22"/>
      <c r="R364" s="107"/>
      <c r="S364" s="107"/>
      <c r="T364" s="107"/>
      <c r="U364" s="107"/>
      <c r="V364" s="107"/>
    </row>
    <row r="365" spans="4:22" s="12" customFormat="1" x14ac:dyDescent="0.2">
      <c r="D365" s="107"/>
      <c r="E365" s="35"/>
      <c r="F365" s="36"/>
      <c r="G365" s="37"/>
      <c r="H365" s="38"/>
      <c r="I365" s="39"/>
      <c r="J365" s="39"/>
      <c r="K365" s="35"/>
      <c r="L365" s="107"/>
      <c r="M365" s="40"/>
      <c r="O365" s="107"/>
      <c r="P365" s="22"/>
      <c r="R365" s="107"/>
      <c r="S365" s="107"/>
      <c r="T365" s="107"/>
      <c r="U365" s="107"/>
      <c r="V365" s="107"/>
    </row>
    <row r="366" spans="4:22" s="12" customFormat="1" x14ac:dyDescent="0.2">
      <c r="D366" s="107"/>
      <c r="E366" s="35"/>
      <c r="F366" s="36"/>
      <c r="G366" s="37"/>
      <c r="H366" s="38"/>
      <c r="I366" s="39"/>
      <c r="J366" s="39"/>
      <c r="K366" s="35"/>
      <c r="L366" s="107"/>
      <c r="M366" s="40"/>
      <c r="O366" s="107"/>
      <c r="P366" s="22"/>
      <c r="R366" s="107"/>
      <c r="S366" s="107"/>
      <c r="T366" s="107"/>
      <c r="U366" s="107"/>
      <c r="V366" s="107"/>
    </row>
    <row r="367" spans="4:22" s="12" customFormat="1" x14ac:dyDescent="0.2">
      <c r="D367" s="107"/>
      <c r="E367" s="35"/>
      <c r="F367" s="36"/>
      <c r="G367" s="37"/>
      <c r="H367" s="38"/>
      <c r="I367" s="39"/>
      <c r="J367" s="39"/>
      <c r="K367" s="35"/>
      <c r="L367" s="107"/>
      <c r="M367" s="40"/>
      <c r="O367" s="107"/>
      <c r="P367" s="22"/>
      <c r="R367" s="107"/>
      <c r="S367" s="107"/>
      <c r="T367" s="107"/>
      <c r="U367" s="107"/>
      <c r="V367" s="107"/>
    </row>
    <row r="368" spans="4:22" s="12" customFormat="1" x14ac:dyDescent="0.2">
      <c r="D368" s="107"/>
      <c r="E368" s="35"/>
      <c r="F368" s="36"/>
      <c r="G368" s="37"/>
      <c r="H368" s="38"/>
      <c r="I368" s="39"/>
      <c r="J368" s="39"/>
      <c r="K368" s="35"/>
      <c r="L368" s="107"/>
      <c r="M368" s="40"/>
      <c r="O368" s="107"/>
      <c r="P368" s="22"/>
      <c r="R368" s="107"/>
      <c r="S368" s="107"/>
      <c r="T368" s="107"/>
      <c r="U368" s="107"/>
      <c r="V368" s="107"/>
    </row>
    <row r="369" spans="4:22" s="12" customFormat="1" x14ac:dyDescent="0.2">
      <c r="D369" s="107"/>
      <c r="E369" s="35"/>
      <c r="F369" s="36"/>
      <c r="G369" s="37"/>
      <c r="H369" s="38"/>
      <c r="I369" s="39"/>
      <c r="J369" s="39"/>
      <c r="K369" s="35"/>
      <c r="L369" s="107"/>
      <c r="M369" s="40"/>
      <c r="O369" s="107"/>
      <c r="P369" s="22"/>
      <c r="R369" s="107"/>
      <c r="S369" s="107"/>
      <c r="T369" s="107"/>
      <c r="U369" s="107"/>
      <c r="V369" s="107"/>
    </row>
    <row r="370" spans="4:22" s="12" customFormat="1" x14ac:dyDescent="0.2">
      <c r="D370" s="107"/>
      <c r="E370" s="35"/>
      <c r="F370" s="36"/>
      <c r="G370" s="37"/>
      <c r="H370" s="38"/>
      <c r="I370" s="39"/>
      <c r="J370" s="39"/>
      <c r="K370" s="35"/>
      <c r="L370" s="107"/>
      <c r="M370" s="40"/>
      <c r="O370" s="107"/>
      <c r="P370" s="22"/>
      <c r="R370" s="107"/>
      <c r="S370" s="107"/>
      <c r="T370" s="107"/>
      <c r="U370" s="107"/>
      <c r="V370" s="107"/>
    </row>
    <row r="371" spans="4:22" s="12" customFormat="1" x14ac:dyDescent="0.2">
      <c r="D371" s="107"/>
      <c r="E371" s="35"/>
      <c r="F371" s="36"/>
      <c r="G371" s="37"/>
      <c r="H371" s="38"/>
      <c r="I371" s="39"/>
      <c r="J371" s="39"/>
      <c r="K371" s="35"/>
      <c r="L371" s="107"/>
      <c r="M371" s="40"/>
      <c r="O371" s="107"/>
      <c r="P371" s="22"/>
      <c r="R371" s="107"/>
      <c r="S371" s="107"/>
      <c r="T371" s="107"/>
      <c r="U371" s="107"/>
      <c r="V371" s="107"/>
    </row>
    <row r="372" spans="4:22" s="12" customFormat="1" x14ac:dyDescent="0.2">
      <c r="D372" s="107"/>
      <c r="E372" s="35"/>
      <c r="F372" s="36"/>
      <c r="G372" s="37"/>
      <c r="H372" s="38"/>
      <c r="I372" s="39"/>
      <c r="J372" s="39"/>
      <c r="K372" s="35"/>
      <c r="L372" s="107"/>
      <c r="M372" s="40"/>
      <c r="O372" s="107"/>
      <c r="P372" s="22"/>
      <c r="R372" s="107"/>
      <c r="S372" s="107"/>
      <c r="T372" s="107"/>
      <c r="U372" s="107"/>
      <c r="V372" s="107"/>
    </row>
    <row r="373" spans="4:22" s="12" customFormat="1" x14ac:dyDescent="0.2">
      <c r="D373" s="107"/>
      <c r="E373" s="35"/>
      <c r="F373" s="36"/>
      <c r="G373" s="37"/>
      <c r="H373" s="38"/>
      <c r="I373" s="39"/>
      <c r="J373" s="39"/>
      <c r="K373" s="35"/>
      <c r="L373" s="107"/>
      <c r="M373" s="40"/>
      <c r="O373" s="107"/>
      <c r="P373" s="22"/>
      <c r="R373" s="107"/>
      <c r="S373" s="107"/>
      <c r="T373" s="107"/>
      <c r="U373" s="107"/>
      <c r="V373" s="107"/>
    </row>
    <row r="374" spans="4:22" s="12" customFormat="1" x14ac:dyDescent="0.2">
      <c r="D374" s="107"/>
      <c r="E374" s="35"/>
      <c r="F374" s="36"/>
      <c r="G374" s="37"/>
      <c r="H374" s="38"/>
      <c r="I374" s="39"/>
      <c r="J374" s="39"/>
      <c r="K374" s="35"/>
      <c r="L374" s="107"/>
      <c r="M374" s="40"/>
      <c r="O374" s="107"/>
      <c r="P374" s="22"/>
      <c r="R374" s="107"/>
      <c r="S374" s="107"/>
      <c r="T374" s="107"/>
      <c r="U374" s="107"/>
      <c r="V374" s="107"/>
    </row>
    <row r="375" spans="4:22" s="12" customFormat="1" x14ac:dyDescent="0.2">
      <c r="D375" s="107"/>
      <c r="E375" s="35"/>
      <c r="F375" s="36"/>
      <c r="G375" s="37"/>
      <c r="H375" s="38"/>
      <c r="I375" s="39"/>
      <c r="J375" s="39"/>
      <c r="K375" s="35"/>
      <c r="L375" s="107"/>
      <c r="M375" s="40"/>
      <c r="O375" s="107"/>
      <c r="P375" s="22"/>
      <c r="R375" s="107"/>
      <c r="S375" s="107"/>
      <c r="T375" s="107"/>
      <c r="U375" s="107"/>
      <c r="V375" s="107"/>
    </row>
    <row r="376" spans="4:22" s="12" customFormat="1" x14ac:dyDescent="0.2">
      <c r="D376" s="107"/>
      <c r="E376" s="35"/>
      <c r="F376" s="36"/>
      <c r="G376" s="37"/>
      <c r="H376" s="38"/>
      <c r="I376" s="39"/>
      <c r="J376" s="39"/>
      <c r="K376" s="35"/>
      <c r="L376" s="107"/>
      <c r="M376" s="40"/>
      <c r="O376" s="107"/>
      <c r="P376" s="22"/>
      <c r="R376" s="107"/>
      <c r="S376" s="107"/>
      <c r="T376" s="107"/>
      <c r="U376" s="107"/>
      <c r="V376" s="107"/>
    </row>
    <row r="377" spans="4:22" s="12" customFormat="1" x14ac:dyDescent="0.2">
      <c r="D377" s="107"/>
      <c r="E377" s="35"/>
      <c r="F377" s="36"/>
      <c r="G377" s="37"/>
      <c r="H377" s="38"/>
      <c r="I377" s="39"/>
      <c r="J377" s="39"/>
      <c r="K377" s="35"/>
      <c r="L377" s="107"/>
      <c r="M377" s="40"/>
      <c r="O377" s="107"/>
      <c r="P377" s="22"/>
      <c r="R377" s="107"/>
      <c r="S377" s="107"/>
      <c r="T377" s="107"/>
      <c r="U377" s="107"/>
      <c r="V377" s="107"/>
    </row>
    <row r="378" spans="4:22" s="12" customFormat="1" x14ac:dyDescent="0.2">
      <c r="D378" s="107"/>
      <c r="E378" s="35"/>
      <c r="F378" s="36"/>
      <c r="G378" s="37"/>
      <c r="H378" s="38"/>
      <c r="I378" s="39"/>
      <c r="J378" s="39"/>
      <c r="K378" s="35"/>
      <c r="L378" s="107"/>
      <c r="M378" s="40"/>
      <c r="O378" s="107"/>
      <c r="P378" s="22"/>
      <c r="R378" s="107"/>
      <c r="S378" s="107"/>
      <c r="T378" s="107"/>
      <c r="U378" s="107"/>
      <c r="V378" s="107"/>
    </row>
    <row r="379" spans="4:22" s="12" customFormat="1" x14ac:dyDescent="0.2">
      <c r="D379" s="107"/>
      <c r="E379" s="35"/>
      <c r="F379" s="36"/>
      <c r="G379" s="37"/>
      <c r="H379" s="38"/>
      <c r="I379" s="39"/>
      <c r="J379" s="39"/>
      <c r="K379" s="35"/>
      <c r="L379" s="107"/>
      <c r="M379" s="40"/>
      <c r="O379" s="107"/>
      <c r="P379" s="22"/>
      <c r="R379" s="107"/>
      <c r="S379" s="107"/>
      <c r="T379" s="107"/>
      <c r="U379" s="107"/>
      <c r="V379" s="107"/>
    </row>
    <row r="380" spans="4:22" s="12" customFormat="1" x14ac:dyDescent="0.2">
      <c r="D380" s="107"/>
      <c r="E380" s="35"/>
      <c r="F380" s="36"/>
      <c r="G380" s="37"/>
      <c r="H380" s="38"/>
      <c r="I380" s="39"/>
      <c r="J380" s="39"/>
      <c r="K380" s="35"/>
      <c r="L380" s="107"/>
      <c r="M380" s="40"/>
      <c r="O380" s="107"/>
      <c r="P380" s="22"/>
      <c r="R380" s="107"/>
      <c r="S380" s="107"/>
      <c r="T380" s="107"/>
      <c r="U380" s="107"/>
      <c r="V380" s="107"/>
    </row>
    <row r="381" spans="4:22" s="12" customFormat="1" x14ac:dyDescent="0.2">
      <c r="D381" s="107"/>
      <c r="E381" s="35"/>
      <c r="F381" s="36"/>
      <c r="G381" s="37"/>
      <c r="H381" s="38"/>
      <c r="I381" s="39"/>
      <c r="J381" s="39"/>
      <c r="K381" s="35"/>
      <c r="L381" s="107"/>
      <c r="M381" s="40"/>
      <c r="O381" s="107"/>
      <c r="P381" s="22"/>
      <c r="R381" s="107"/>
      <c r="S381" s="107"/>
      <c r="T381" s="107"/>
      <c r="U381" s="107"/>
      <c r="V381" s="107"/>
    </row>
    <row r="382" spans="4:22" s="12" customFormat="1" x14ac:dyDescent="0.2">
      <c r="D382" s="107"/>
      <c r="E382" s="35"/>
      <c r="F382" s="36"/>
      <c r="G382" s="37"/>
      <c r="H382" s="38"/>
      <c r="I382" s="39"/>
      <c r="J382" s="39"/>
      <c r="K382" s="35"/>
      <c r="L382" s="107"/>
      <c r="M382" s="40"/>
      <c r="O382" s="107"/>
      <c r="P382" s="22"/>
      <c r="R382" s="107"/>
      <c r="S382" s="107"/>
      <c r="T382" s="107"/>
      <c r="U382" s="107"/>
      <c r="V382" s="107"/>
    </row>
    <row r="383" spans="4:22" s="12" customFormat="1" x14ac:dyDescent="0.2">
      <c r="D383" s="107"/>
      <c r="E383" s="35"/>
      <c r="F383" s="36"/>
      <c r="G383" s="37"/>
      <c r="H383" s="38"/>
      <c r="I383" s="39"/>
      <c r="J383" s="39"/>
      <c r="K383" s="35"/>
      <c r="L383" s="107"/>
      <c r="M383" s="40"/>
      <c r="O383" s="107"/>
      <c r="P383" s="22"/>
      <c r="R383" s="107"/>
      <c r="S383" s="107"/>
      <c r="T383" s="107"/>
      <c r="U383" s="107"/>
      <c r="V383" s="107"/>
    </row>
    <row r="384" spans="4:22" s="12" customFormat="1" x14ac:dyDescent="0.2">
      <c r="D384" s="107"/>
      <c r="E384" s="35"/>
      <c r="F384" s="36"/>
      <c r="G384" s="37"/>
      <c r="H384" s="38"/>
      <c r="I384" s="39"/>
      <c r="J384" s="39"/>
      <c r="K384" s="35"/>
      <c r="L384" s="107"/>
      <c r="M384" s="40"/>
      <c r="O384" s="107"/>
      <c r="P384" s="22"/>
      <c r="R384" s="107"/>
      <c r="S384" s="107"/>
      <c r="T384" s="107"/>
      <c r="U384" s="107"/>
      <c r="V384" s="107"/>
    </row>
    <row r="385" spans="4:22" s="12" customFormat="1" x14ac:dyDescent="0.2">
      <c r="D385" s="107"/>
      <c r="E385" s="35"/>
      <c r="F385" s="36"/>
      <c r="G385" s="37"/>
      <c r="H385" s="38"/>
      <c r="I385" s="39"/>
      <c r="J385" s="39"/>
      <c r="K385" s="35"/>
      <c r="L385" s="107"/>
      <c r="M385" s="40"/>
      <c r="O385" s="107"/>
      <c r="P385" s="22"/>
      <c r="R385" s="107"/>
      <c r="S385" s="107"/>
      <c r="T385" s="107"/>
      <c r="U385" s="107"/>
      <c r="V385" s="107"/>
    </row>
    <row r="386" spans="4:22" s="12" customFormat="1" x14ac:dyDescent="0.2">
      <c r="D386" s="107"/>
      <c r="E386" s="35"/>
      <c r="F386" s="36"/>
      <c r="G386" s="37"/>
      <c r="H386" s="38"/>
      <c r="I386" s="39"/>
      <c r="J386" s="39"/>
      <c r="K386" s="35"/>
      <c r="L386" s="107"/>
      <c r="M386" s="40"/>
      <c r="O386" s="107"/>
      <c r="P386" s="22"/>
      <c r="R386" s="107"/>
      <c r="S386" s="107"/>
      <c r="T386" s="107"/>
      <c r="U386" s="107"/>
      <c r="V386" s="107"/>
    </row>
    <row r="387" spans="4:22" s="12" customFormat="1" x14ac:dyDescent="0.2">
      <c r="D387" s="107"/>
      <c r="E387" s="35"/>
      <c r="F387" s="36"/>
      <c r="G387" s="37"/>
      <c r="H387" s="38"/>
      <c r="I387" s="39"/>
      <c r="J387" s="39"/>
      <c r="K387" s="35"/>
      <c r="L387" s="107"/>
      <c r="M387" s="40"/>
      <c r="O387" s="107"/>
      <c r="P387" s="22"/>
      <c r="R387" s="107"/>
      <c r="S387" s="107"/>
      <c r="T387" s="107"/>
      <c r="U387" s="107"/>
      <c r="V387" s="107"/>
    </row>
    <row r="388" spans="4:22" s="12" customFormat="1" x14ac:dyDescent="0.2">
      <c r="D388" s="107"/>
      <c r="E388" s="35"/>
      <c r="F388" s="36"/>
      <c r="G388" s="37"/>
      <c r="H388" s="38"/>
      <c r="I388" s="39"/>
      <c r="J388" s="39"/>
      <c r="K388" s="35"/>
      <c r="L388" s="107"/>
      <c r="M388" s="40"/>
      <c r="O388" s="107"/>
      <c r="P388" s="22"/>
      <c r="R388" s="107"/>
      <c r="S388" s="107"/>
      <c r="T388" s="107"/>
      <c r="U388" s="107"/>
      <c r="V388" s="107"/>
    </row>
    <row r="389" spans="4:22" s="12" customFormat="1" x14ac:dyDescent="0.2">
      <c r="D389" s="107"/>
      <c r="E389" s="35"/>
      <c r="F389" s="36"/>
      <c r="G389" s="37"/>
      <c r="H389" s="38"/>
      <c r="I389" s="39"/>
      <c r="J389" s="39"/>
      <c r="K389" s="35"/>
      <c r="L389" s="107"/>
      <c r="M389" s="40"/>
      <c r="O389" s="107"/>
      <c r="P389" s="22"/>
      <c r="R389" s="107"/>
      <c r="S389" s="107"/>
      <c r="T389" s="107"/>
      <c r="U389" s="107"/>
      <c r="V389" s="107"/>
    </row>
    <row r="390" spans="4:22" s="12" customFormat="1" x14ac:dyDescent="0.2">
      <c r="D390" s="107"/>
      <c r="E390" s="35"/>
      <c r="F390" s="36"/>
      <c r="G390" s="37"/>
      <c r="H390" s="38"/>
      <c r="I390" s="39"/>
      <c r="J390" s="39"/>
      <c r="K390" s="35"/>
      <c r="L390" s="107"/>
      <c r="M390" s="40"/>
      <c r="O390" s="107"/>
      <c r="P390" s="22"/>
      <c r="R390" s="107"/>
      <c r="S390" s="107"/>
      <c r="T390" s="107"/>
      <c r="U390" s="107"/>
      <c r="V390" s="107"/>
    </row>
    <row r="391" spans="4:22" s="12" customFormat="1" x14ac:dyDescent="0.2">
      <c r="D391" s="107"/>
      <c r="E391" s="35"/>
      <c r="F391" s="36"/>
      <c r="G391" s="37"/>
      <c r="H391" s="38"/>
      <c r="I391" s="39"/>
      <c r="J391" s="39"/>
      <c r="K391" s="35"/>
      <c r="L391" s="107"/>
      <c r="M391" s="40"/>
      <c r="O391" s="107"/>
      <c r="P391" s="22"/>
      <c r="R391" s="107"/>
      <c r="S391" s="107"/>
      <c r="T391" s="107"/>
      <c r="U391" s="107"/>
      <c r="V391" s="107"/>
    </row>
    <row r="392" spans="4:22" s="12" customFormat="1" x14ac:dyDescent="0.2">
      <c r="D392" s="107"/>
      <c r="E392" s="35"/>
      <c r="F392" s="36"/>
      <c r="G392" s="37"/>
      <c r="H392" s="38"/>
      <c r="I392" s="39"/>
      <c r="J392" s="39"/>
      <c r="K392" s="35"/>
      <c r="L392" s="107"/>
      <c r="M392" s="40"/>
      <c r="O392" s="107"/>
      <c r="P392" s="22"/>
      <c r="R392" s="107"/>
      <c r="S392" s="107"/>
      <c r="T392" s="107"/>
      <c r="U392" s="107"/>
      <c r="V392" s="107"/>
    </row>
    <row r="393" spans="4:22" s="12" customFormat="1" x14ac:dyDescent="0.2">
      <c r="D393" s="107"/>
      <c r="E393" s="35"/>
      <c r="F393" s="36"/>
      <c r="G393" s="37"/>
      <c r="H393" s="38"/>
      <c r="I393" s="39"/>
      <c r="J393" s="39"/>
      <c r="K393" s="35"/>
      <c r="L393" s="107"/>
      <c r="M393" s="40"/>
      <c r="O393" s="107"/>
      <c r="P393" s="22"/>
      <c r="R393" s="107"/>
      <c r="S393" s="107"/>
      <c r="T393" s="107"/>
      <c r="U393" s="107"/>
      <c r="V393" s="107"/>
    </row>
    <row r="394" spans="4:22" s="12" customFormat="1" x14ac:dyDescent="0.2">
      <c r="D394" s="107"/>
      <c r="E394" s="35"/>
      <c r="F394" s="36"/>
      <c r="G394" s="37"/>
      <c r="H394" s="38"/>
      <c r="I394" s="39"/>
      <c r="J394" s="39"/>
      <c r="K394" s="35"/>
      <c r="L394" s="107"/>
      <c r="M394" s="40"/>
      <c r="O394" s="107"/>
      <c r="P394" s="22"/>
      <c r="R394" s="107"/>
      <c r="S394" s="107"/>
      <c r="T394" s="107"/>
      <c r="U394" s="107"/>
      <c r="V394" s="107"/>
    </row>
    <row r="395" spans="4:22" s="12" customFormat="1" x14ac:dyDescent="0.2">
      <c r="D395" s="107"/>
      <c r="E395" s="35"/>
      <c r="F395" s="36"/>
      <c r="G395" s="37"/>
      <c r="H395" s="38"/>
      <c r="I395" s="39"/>
      <c r="J395" s="39"/>
      <c r="K395" s="35"/>
      <c r="L395" s="107"/>
      <c r="M395" s="40"/>
      <c r="O395" s="107"/>
      <c r="P395" s="22"/>
      <c r="R395" s="107"/>
      <c r="S395" s="107"/>
      <c r="T395" s="107"/>
      <c r="U395" s="107"/>
      <c r="V395" s="107"/>
    </row>
    <row r="396" spans="4:22" s="12" customFormat="1" x14ac:dyDescent="0.2">
      <c r="D396" s="107"/>
      <c r="E396" s="35"/>
      <c r="F396" s="36"/>
      <c r="G396" s="37"/>
      <c r="H396" s="38"/>
      <c r="I396" s="39"/>
      <c r="J396" s="39"/>
      <c r="K396" s="35"/>
      <c r="L396" s="107"/>
      <c r="M396" s="40"/>
      <c r="O396" s="107"/>
      <c r="P396" s="22"/>
      <c r="R396" s="107"/>
      <c r="S396" s="107"/>
      <c r="T396" s="107"/>
      <c r="U396" s="107"/>
      <c r="V396" s="107"/>
    </row>
    <row r="397" spans="4:22" s="12" customFormat="1" x14ac:dyDescent="0.2">
      <c r="D397" s="107"/>
      <c r="E397" s="35"/>
      <c r="F397" s="36"/>
      <c r="G397" s="37"/>
      <c r="H397" s="38"/>
      <c r="I397" s="39"/>
      <c r="J397" s="39"/>
      <c r="K397" s="35"/>
      <c r="L397" s="107"/>
      <c r="M397" s="40"/>
      <c r="O397" s="107"/>
      <c r="P397" s="22"/>
      <c r="R397" s="107"/>
      <c r="S397" s="107"/>
      <c r="T397" s="107"/>
      <c r="U397" s="107"/>
      <c r="V397" s="107"/>
    </row>
    <row r="398" spans="4:22" s="12" customFormat="1" x14ac:dyDescent="0.2">
      <c r="D398" s="107"/>
      <c r="E398" s="35"/>
      <c r="F398" s="36"/>
      <c r="G398" s="37"/>
      <c r="H398" s="38"/>
      <c r="I398" s="39"/>
      <c r="J398" s="39"/>
      <c r="K398" s="35"/>
      <c r="L398" s="107"/>
      <c r="M398" s="40"/>
      <c r="O398" s="107"/>
      <c r="P398" s="22"/>
      <c r="R398" s="107"/>
      <c r="S398" s="107"/>
      <c r="T398" s="107"/>
      <c r="U398" s="107"/>
      <c r="V398" s="107"/>
    </row>
    <row r="399" spans="4:22" s="12" customFormat="1" x14ac:dyDescent="0.2">
      <c r="D399" s="107"/>
      <c r="E399" s="35"/>
      <c r="F399" s="36"/>
      <c r="G399" s="37"/>
      <c r="H399" s="38"/>
      <c r="I399" s="39"/>
      <c r="J399" s="39"/>
      <c r="K399" s="35"/>
      <c r="L399" s="107"/>
      <c r="M399" s="40"/>
      <c r="O399" s="107"/>
      <c r="P399" s="22"/>
      <c r="R399" s="107"/>
      <c r="S399" s="107"/>
      <c r="T399" s="107"/>
      <c r="U399" s="107"/>
      <c r="V399" s="107"/>
    </row>
    <row r="400" spans="4:22" s="12" customFormat="1" x14ac:dyDescent="0.2">
      <c r="D400" s="107"/>
      <c r="E400" s="35"/>
      <c r="F400" s="36"/>
      <c r="G400" s="37"/>
      <c r="H400" s="38"/>
      <c r="I400" s="39"/>
      <c r="J400" s="39"/>
      <c r="K400" s="35"/>
      <c r="L400" s="107"/>
      <c r="M400" s="40"/>
      <c r="O400" s="107"/>
      <c r="P400" s="22"/>
      <c r="R400" s="107"/>
      <c r="S400" s="107"/>
      <c r="T400" s="107"/>
      <c r="U400" s="107"/>
      <c r="V400" s="107"/>
    </row>
    <row r="401" spans="4:22" s="12" customFormat="1" x14ac:dyDescent="0.2">
      <c r="D401" s="107"/>
      <c r="E401" s="35"/>
      <c r="F401" s="36"/>
      <c r="G401" s="37"/>
      <c r="H401" s="38"/>
      <c r="I401" s="39"/>
      <c r="J401" s="39"/>
      <c r="K401" s="35"/>
      <c r="L401" s="107"/>
      <c r="M401" s="40"/>
      <c r="O401" s="107"/>
      <c r="P401" s="22"/>
      <c r="R401" s="107"/>
      <c r="S401" s="107"/>
      <c r="T401" s="107"/>
      <c r="U401" s="107"/>
      <c r="V401" s="107"/>
    </row>
    <row r="402" spans="4:22" s="12" customFormat="1" x14ac:dyDescent="0.2">
      <c r="D402" s="107"/>
      <c r="E402" s="35"/>
      <c r="F402" s="36"/>
      <c r="G402" s="37"/>
      <c r="H402" s="38"/>
      <c r="I402" s="39"/>
      <c r="J402" s="39"/>
      <c r="K402" s="35"/>
      <c r="L402" s="107"/>
      <c r="M402" s="40"/>
      <c r="O402" s="107"/>
      <c r="P402" s="22"/>
      <c r="R402" s="107"/>
      <c r="S402" s="107"/>
      <c r="T402" s="107"/>
      <c r="U402" s="107"/>
      <c r="V402" s="107"/>
    </row>
    <row r="403" spans="4:22" s="12" customFormat="1" x14ac:dyDescent="0.2">
      <c r="D403" s="107"/>
      <c r="E403" s="35"/>
      <c r="F403" s="36"/>
      <c r="G403" s="37"/>
      <c r="H403" s="38"/>
      <c r="I403" s="39"/>
      <c r="J403" s="39"/>
      <c r="K403" s="35"/>
      <c r="L403" s="107"/>
      <c r="M403" s="40"/>
      <c r="O403" s="107"/>
      <c r="P403" s="22"/>
      <c r="R403" s="107"/>
      <c r="S403" s="107"/>
      <c r="T403" s="107"/>
      <c r="U403" s="107"/>
      <c r="V403" s="107"/>
    </row>
    <row r="404" spans="4:22" s="12" customFormat="1" x14ac:dyDescent="0.2">
      <c r="D404" s="107"/>
      <c r="E404" s="35"/>
      <c r="F404" s="36"/>
      <c r="G404" s="37"/>
      <c r="H404" s="38"/>
      <c r="I404" s="39"/>
      <c r="J404" s="39"/>
      <c r="K404" s="35"/>
      <c r="L404" s="107"/>
      <c r="M404" s="40"/>
      <c r="O404" s="107"/>
      <c r="P404" s="22"/>
      <c r="R404" s="107"/>
      <c r="S404" s="107"/>
      <c r="T404" s="107"/>
      <c r="U404" s="107"/>
      <c r="V404" s="107"/>
    </row>
    <row r="405" spans="4:22" s="12" customFormat="1" x14ac:dyDescent="0.2">
      <c r="D405" s="107"/>
      <c r="E405" s="35"/>
      <c r="F405" s="36"/>
      <c r="G405" s="37"/>
      <c r="H405" s="38"/>
      <c r="I405" s="39"/>
      <c r="J405" s="39"/>
      <c r="K405" s="35"/>
      <c r="L405" s="107"/>
      <c r="M405" s="40"/>
      <c r="O405" s="107"/>
      <c r="P405" s="22"/>
      <c r="R405" s="107"/>
      <c r="S405" s="107"/>
      <c r="T405" s="107"/>
      <c r="U405" s="107"/>
      <c r="V405" s="107"/>
    </row>
    <row r="406" spans="4:22" s="12" customFormat="1" x14ac:dyDescent="0.2">
      <c r="D406" s="107"/>
      <c r="E406" s="35"/>
      <c r="F406" s="36"/>
      <c r="G406" s="37"/>
      <c r="H406" s="38"/>
      <c r="I406" s="39"/>
      <c r="J406" s="39"/>
      <c r="K406" s="35"/>
      <c r="L406" s="107"/>
      <c r="M406" s="40"/>
      <c r="O406" s="107"/>
      <c r="P406" s="22"/>
      <c r="R406" s="107"/>
      <c r="S406" s="107"/>
      <c r="T406" s="107"/>
      <c r="U406" s="107"/>
      <c r="V406" s="107"/>
    </row>
    <row r="407" spans="4:22" s="12" customFormat="1" x14ac:dyDescent="0.2">
      <c r="D407" s="107"/>
      <c r="E407" s="35"/>
      <c r="F407" s="36"/>
      <c r="G407" s="37"/>
      <c r="H407" s="38"/>
      <c r="I407" s="39"/>
      <c r="J407" s="39"/>
      <c r="K407" s="35"/>
      <c r="L407" s="107"/>
      <c r="M407" s="40"/>
      <c r="O407" s="107"/>
      <c r="P407" s="22"/>
      <c r="R407" s="107"/>
      <c r="S407" s="107"/>
      <c r="T407" s="107"/>
      <c r="U407" s="107"/>
      <c r="V407" s="107"/>
    </row>
    <row r="408" spans="4:22" s="12" customFormat="1" x14ac:dyDescent="0.2">
      <c r="D408" s="107"/>
      <c r="E408" s="35"/>
      <c r="F408" s="36"/>
      <c r="G408" s="37"/>
      <c r="H408" s="38"/>
      <c r="I408" s="39"/>
      <c r="J408" s="39"/>
      <c r="K408" s="35"/>
      <c r="L408" s="107"/>
      <c r="M408" s="40"/>
      <c r="O408" s="107"/>
      <c r="P408" s="22"/>
      <c r="R408" s="107"/>
      <c r="S408" s="107"/>
      <c r="T408" s="107"/>
      <c r="U408" s="107"/>
      <c r="V408" s="107"/>
    </row>
    <row r="409" spans="4:22" s="12" customFormat="1" x14ac:dyDescent="0.2">
      <c r="D409" s="107"/>
      <c r="E409" s="35"/>
      <c r="F409" s="36"/>
      <c r="G409" s="37"/>
      <c r="H409" s="38"/>
      <c r="I409" s="39"/>
      <c r="J409" s="39"/>
      <c r="K409" s="35"/>
      <c r="L409" s="107"/>
      <c r="M409" s="40"/>
      <c r="O409" s="107"/>
      <c r="P409" s="22"/>
      <c r="R409" s="107"/>
      <c r="S409" s="107"/>
      <c r="T409" s="107"/>
      <c r="U409" s="107"/>
      <c r="V409" s="107"/>
    </row>
    <row r="410" spans="4:22" s="12" customFormat="1" x14ac:dyDescent="0.2">
      <c r="D410" s="107"/>
      <c r="E410" s="35"/>
      <c r="F410" s="36"/>
      <c r="G410" s="37"/>
      <c r="H410" s="38"/>
      <c r="I410" s="39"/>
      <c r="J410" s="39"/>
      <c r="K410" s="35"/>
      <c r="L410" s="107"/>
      <c r="M410" s="40"/>
      <c r="O410" s="107"/>
      <c r="P410" s="22"/>
      <c r="R410" s="107"/>
      <c r="S410" s="107"/>
      <c r="T410" s="107"/>
      <c r="U410" s="107"/>
      <c r="V410" s="107"/>
    </row>
    <row r="411" spans="4:22" s="12" customFormat="1" x14ac:dyDescent="0.2">
      <c r="D411" s="107"/>
      <c r="E411" s="35"/>
      <c r="F411" s="36"/>
      <c r="G411" s="37"/>
      <c r="H411" s="38"/>
      <c r="I411" s="39"/>
      <c r="J411" s="39"/>
      <c r="K411" s="35"/>
      <c r="L411" s="107"/>
      <c r="M411" s="40"/>
      <c r="O411" s="107"/>
      <c r="P411" s="22"/>
      <c r="R411" s="107"/>
      <c r="S411" s="107"/>
      <c r="T411" s="107"/>
      <c r="U411" s="107"/>
      <c r="V411" s="107"/>
    </row>
    <row r="412" spans="4:22" s="12" customFormat="1" x14ac:dyDescent="0.2">
      <c r="D412" s="107"/>
      <c r="E412" s="35"/>
      <c r="F412" s="36"/>
      <c r="G412" s="37"/>
      <c r="H412" s="38"/>
      <c r="I412" s="39"/>
      <c r="J412" s="39"/>
      <c r="K412" s="35"/>
      <c r="L412" s="107"/>
      <c r="M412" s="40"/>
      <c r="O412" s="107"/>
      <c r="P412" s="22"/>
      <c r="R412" s="107"/>
      <c r="S412" s="107"/>
      <c r="T412" s="107"/>
      <c r="U412" s="107"/>
      <c r="V412" s="107"/>
    </row>
    <row r="413" spans="4:22" s="12" customFormat="1" x14ac:dyDescent="0.2">
      <c r="D413" s="107"/>
      <c r="E413" s="35"/>
      <c r="F413" s="36"/>
      <c r="G413" s="37"/>
      <c r="H413" s="38"/>
      <c r="I413" s="39"/>
      <c r="J413" s="39"/>
      <c r="K413" s="35"/>
      <c r="L413" s="107"/>
      <c r="M413" s="40"/>
      <c r="O413" s="107"/>
      <c r="P413" s="22"/>
      <c r="R413" s="107"/>
      <c r="S413" s="107"/>
      <c r="T413" s="107"/>
      <c r="U413" s="107"/>
      <c r="V413" s="107"/>
    </row>
    <row r="414" spans="4:22" s="12" customFormat="1" x14ac:dyDescent="0.2">
      <c r="D414" s="107"/>
      <c r="E414" s="35"/>
      <c r="F414" s="36"/>
      <c r="G414" s="37"/>
      <c r="H414" s="38"/>
      <c r="I414" s="39"/>
      <c r="J414" s="39"/>
      <c r="K414" s="35"/>
      <c r="L414" s="107"/>
      <c r="M414" s="40"/>
      <c r="O414" s="107"/>
      <c r="P414" s="22"/>
      <c r="R414" s="107"/>
      <c r="S414" s="107"/>
      <c r="T414" s="107"/>
      <c r="U414" s="107"/>
      <c r="V414" s="107"/>
    </row>
    <row r="415" spans="4:22" s="12" customFormat="1" x14ac:dyDescent="0.2">
      <c r="D415" s="107"/>
      <c r="E415" s="35"/>
      <c r="F415" s="36"/>
      <c r="G415" s="37"/>
      <c r="H415" s="38"/>
      <c r="I415" s="39"/>
      <c r="J415" s="39"/>
      <c r="K415" s="35"/>
      <c r="L415" s="107"/>
      <c r="M415" s="40"/>
      <c r="O415" s="107"/>
      <c r="P415" s="22"/>
      <c r="R415" s="107"/>
      <c r="S415" s="107"/>
      <c r="T415" s="107"/>
      <c r="U415" s="107"/>
      <c r="V415" s="107"/>
    </row>
    <row r="416" spans="4:22" s="12" customFormat="1" x14ac:dyDescent="0.2">
      <c r="D416" s="107"/>
      <c r="E416" s="35"/>
      <c r="F416" s="36"/>
      <c r="G416" s="37"/>
      <c r="H416" s="38"/>
      <c r="I416" s="39"/>
      <c r="J416" s="39"/>
      <c r="K416" s="35"/>
      <c r="L416" s="107"/>
      <c r="M416" s="40"/>
      <c r="O416" s="107"/>
      <c r="P416" s="22"/>
      <c r="R416" s="107"/>
      <c r="S416" s="107"/>
      <c r="T416" s="107"/>
      <c r="U416" s="107"/>
      <c r="V416" s="107"/>
    </row>
    <row r="417" spans="4:22" s="12" customFormat="1" x14ac:dyDescent="0.2">
      <c r="D417" s="107"/>
      <c r="E417" s="35"/>
      <c r="F417" s="36"/>
      <c r="G417" s="37"/>
      <c r="H417" s="38"/>
      <c r="I417" s="39"/>
      <c r="J417" s="39"/>
      <c r="K417" s="35"/>
      <c r="L417" s="107"/>
      <c r="M417" s="40"/>
      <c r="O417" s="107"/>
      <c r="P417" s="22"/>
      <c r="R417" s="107"/>
      <c r="S417" s="107"/>
      <c r="T417" s="107"/>
      <c r="U417" s="107"/>
      <c r="V417" s="107"/>
    </row>
    <row r="418" spans="4:22" s="12" customFormat="1" x14ac:dyDescent="0.2">
      <c r="D418" s="107"/>
      <c r="E418" s="35"/>
      <c r="F418" s="36"/>
      <c r="G418" s="37"/>
      <c r="H418" s="38"/>
      <c r="I418" s="39"/>
      <c r="J418" s="39"/>
      <c r="K418" s="35"/>
      <c r="L418" s="107"/>
      <c r="M418" s="40"/>
      <c r="O418" s="107"/>
      <c r="P418" s="22"/>
      <c r="R418" s="107"/>
      <c r="S418" s="107"/>
      <c r="T418" s="107"/>
      <c r="U418" s="107"/>
      <c r="V418" s="107"/>
    </row>
    <row r="419" spans="4:22" s="12" customFormat="1" x14ac:dyDescent="0.2">
      <c r="D419" s="107"/>
      <c r="E419" s="35"/>
      <c r="F419" s="36"/>
      <c r="G419" s="37"/>
      <c r="H419" s="38"/>
      <c r="I419" s="39"/>
      <c r="J419" s="39"/>
      <c r="K419" s="35"/>
      <c r="L419" s="107"/>
      <c r="M419" s="40"/>
      <c r="O419" s="107"/>
      <c r="P419" s="22"/>
      <c r="R419" s="107"/>
      <c r="S419" s="107"/>
      <c r="T419" s="107"/>
      <c r="U419" s="107"/>
      <c r="V419" s="107"/>
    </row>
    <row r="420" spans="4:22" s="12" customFormat="1" x14ac:dyDescent="0.2">
      <c r="D420" s="107"/>
      <c r="E420" s="35"/>
      <c r="F420" s="36"/>
      <c r="G420" s="37"/>
      <c r="H420" s="38"/>
      <c r="I420" s="39"/>
      <c r="J420" s="39"/>
      <c r="K420" s="35"/>
      <c r="L420" s="107"/>
      <c r="M420" s="40"/>
      <c r="O420" s="107"/>
      <c r="P420" s="22"/>
      <c r="R420" s="107"/>
      <c r="S420" s="107"/>
      <c r="T420" s="107"/>
      <c r="U420" s="107"/>
      <c r="V420" s="107"/>
    </row>
    <row r="421" spans="4:22" s="12" customFormat="1" x14ac:dyDescent="0.2">
      <c r="D421" s="107"/>
      <c r="E421" s="35"/>
      <c r="F421" s="36"/>
      <c r="G421" s="37"/>
      <c r="H421" s="38"/>
      <c r="I421" s="39"/>
      <c r="J421" s="39"/>
      <c r="K421" s="35"/>
      <c r="L421" s="107"/>
      <c r="M421" s="40"/>
      <c r="O421" s="107"/>
      <c r="P421" s="22"/>
      <c r="R421" s="107"/>
      <c r="S421" s="107"/>
      <c r="T421" s="107"/>
      <c r="U421" s="107"/>
      <c r="V421" s="107"/>
    </row>
    <row r="422" spans="4:22" s="12" customFormat="1" x14ac:dyDescent="0.2">
      <c r="D422" s="107"/>
      <c r="E422" s="35"/>
      <c r="F422" s="36"/>
      <c r="G422" s="37"/>
      <c r="H422" s="38"/>
      <c r="I422" s="39"/>
      <c r="J422" s="39"/>
      <c r="K422" s="35"/>
      <c r="L422" s="107"/>
      <c r="M422" s="40"/>
      <c r="O422" s="107"/>
      <c r="P422" s="22"/>
      <c r="R422" s="107"/>
      <c r="S422" s="107"/>
      <c r="T422" s="107"/>
      <c r="U422" s="107"/>
      <c r="V422" s="107"/>
    </row>
    <row r="423" spans="4:22" s="12" customFormat="1" x14ac:dyDescent="0.2">
      <c r="D423" s="107"/>
      <c r="E423" s="35"/>
      <c r="F423" s="36"/>
      <c r="G423" s="37"/>
      <c r="H423" s="38"/>
      <c r="I423" s="39"/>
      <c r="J423" s="39"/>
      <c r="K423" s="35"/>
      <c r="L423" s="107"/>
      <c r="M423" s="40"/>
      <c r="O423" s="107"/>
      <c r="P423" s="22"/>
      <c r="R423" s="107"/>
      <c r="S423" s="107"/>
      <c r="T423" s="107"/>
      <c r="U423" s="107"/>
      <c r="V423" s="107"/>
    </row>
    <row r="424" spans="4:22" s="12" customFormat="1" x14ac:dyDescent="0.2">
      <c r="D424" s="107"/>
      <c r="E424" s="35"/>
      <c r="F424" s="36"/>
      <c r="G424" s="37"/>
      <c r="H424" s="38"/>
      <c r="I424" s="39"/>
      <c r="J424" s="39"/>
      <c r="K424" s="35"/>
      <c r="L424" s="107"/>
      <c r="M424" s="40"/>
      <c r="O424" s="107"/>
      <c r="P424" s="22"/>
      <c r="R424" s="107"/>
      <c r="S424" s="107"/>
      <c r="T424" s="107"/>
      <c r="U424" s="107"/>
      <c r="V424" s="107"/>
    </row>
    <row r="425" spans="4:22" s="12" customFormat="1" x14ac:dyDescent="0.2">
      <c r="D425" s="107"/>
      <c r="E425" s="35"/>
      <c r="F425" s="36"/>
      <c r="G425" s="37"/>
      <c r="H425" s="38"/>
      <c r="I425" s="39"/>
      <c r="J425" s="39"/>
      <c r="K425" s="35"/>
      <c r="L425" s="107"/>
      <c r="M425" s="40"/>
      <c r="O425" s="107"/>
      <c r="P425" s="22"/>
      <c r="R425" s="107"/>
      <c r="S425" s="107"/>
      <c r="T425" s="107"/>
      <c r="U425" s="107"/>
      <c r="V425" s="107"/>
    </row>
    <row r="426" spans="4:22" s="12" customFormat="1" x14ac:dyDescent="0.2">
      <c r="D426" s="107"/>
      <c r="E426" s="35"/>
      <c r="F426" s="36"/>
      <c r="G426" s="37"/>
      <c r="H426" s="38"/>
      <c r="I426" s="39"/>
      <c r="J426" s="39"/>
      <c r="K426" s="35"/>
      <c r="L426" s="107"/>
      <c r="M426" s="40"/>
      <c r="O426" s="107"/>
      <c r="P426" s="22"/>
      <c r="R426" s="107"/>
      <c r="S426" s="107"/>
      <c r="T426" s="107"/>
      <c r="U426" s="107"/>
      <c r="V426" s="107"/>
    </row>
    <row r="427" spans="4:22" s="12" customFormat="1" x14ac:dyDescent="0.2">
      <c r="D427" s="107"/>
      <c r="E427" s="35"/>
      <c r="F427" s="36"/>
      <c r="G427" s="37"/>
      <c r="H427" s="38"/>
      <c r="I427" s="39"/>
      <c r="J427" s="39"/>
      <c r="K427" s="35"/>
      <c r="L427" s="107"/>
      <c r="M427" s="40"/>
      <c r="O427" s="107"/>
      <c r="P427" s="22"/>
      <c r="R427" s="107"/>
      <c r="S427" s="107"/>
      <c r="T427" s="107"/>
      <c r="U427" s="107"/>
      <c r="V427" s="107"/>
    </row>
    <row r="428" spans="4:22" s="12" customFormat="1" x14ac:dyDescent="0.2">
      <c r="D428" s="107"/>
      <c r="E428" s="35"/>
      <c r="F428" s="36"/>
      <c r="G428" s="37"/>
      <c r="H428" s="38"/>
      <c r="I428" s="39"/>
      <c r="J428" s="39"/>
      <c r="K428" s="35"/>
      <c r="L428" s="107"/>
      <c r="M428" s="40"/>
      <c r="O428" s="107"/>
      <c r="P428" s="22"/>
      <c r="R428" s="107"/>
      <c r="S428" s="107"/>
      <c r="T428" s="107"/>
      <c r="U428" s="107"/>
      <c r="V428" s="107"/>
    </row>
    <row r="429" spans="4:22" s="12" customFormat="1" x14ac:dyDescent="0.2">
      <c r="D429" s="107"/>
      <c r="E429" s="35"/>
      <c r="F429" s="36"/>
      <c r="G429" s="37"/>
      <c r="H429" s="38"/>
      <c r="I429" s="39"/>
      <c r="J429" s="39"/>
      <c r="K429" s="35"/>
      <c r="L429" s="107"/>
      <c r="M429" s="40"/>
      <c r="O429" s="107"/>
      <c r="P429" s="22"/>
      <c r="R429" s="107"/>
      <c r="S429" s="107"/>
      <c r="T429" s="107"/>
      <c r="U429" s="107"/>
      <c r="V429" s="107"/>
    </row>
    <row r="430" spans="4:22" s="12" customFormat="1" x14ac:dyDescent="0.2">
      <c r="D430" s="107"/>
      <c r="E430" s="35"/>
      <c r="F430" s="36"/>
      <c r="G430" s="37"/>
      <c r="H430" s="38"/>
      <c r="I430" s="39"/>
      <c r="J430" s="39"/>
      <c r="K430" s="35"/>
      <c r="L430" s="107"/>
      <c r="M430" s="40"/>
      <c r="O430" s="107"/>
      <c r="P430" s="22"/>
      <c r="R430" s="107"/>
      <c r="S430" s="107"/>
      <c r="T430" s="107"/>
      <c r="U430" s="107"/>
      <c r="V430" s="107"/>
    </row>
    <row r="431" spans="4:22" s="12" customFormat="1" x14ac:dyDescent="0.2">
      <c r="D431" s="107"/>
      <c r="E431" s="35"/>
      <c r="F431" s="36"/>
      <c r="G431" s="37"/>
      <c r="H431" s="38"/>
      <c r="I431" s="39"/>
      <c r="J431" s="39"/>
      <c r="K431" s="35"/>
      <c r="L431" s="107"/>
      <c r="M431" s="40"/>
      <c r="O431" s="107"/>
      <c r="P431" s="22"/>
      <c r="R431" s="107"/>
      <c r="S431" s="107"/>
      <c r="T431" s="107"/>
      <c r="U431" s="107"/>
      <c r="V431" s="107"/>
    </row>
    <row r="432" spans="4:22" s="12" customFormat="1" x14ac:dyDescent="0.2">
      <c r="D432" s="107"/>
      <c r="E432" s="35"/>
      <c r="F432" s="36"/>
      <c r="G432" s="37"/>
      <c r="H432" s="38"/>
      <c r="I432" s="39"/>
      <c r="J432" s="39"/>
      <c r="K432" s="35"/>
      <c r="L432" s="107"/>
      <c r="M432" s="40"/>
      <c r="O432" s="107"/>
      <c r="P432" s="22"/>
      <c r="R432" s="107"/>
      <c r="S432" s="107"/>
      <c r="T432" s="107"/>
      <c r="U432" s="107"/>
      <c r="V432" s="107"/>
    </row>
    <row r="433" spans="4:22" s="12" customFormat="1" x14ac:dyDescent="0.2">
      <c r="D433" s="107"/>
      <c r="E433" s="35"/>
      <c r="F433" s="36"/>
      <c r="G433" s="37"/>
      <c r="H433" s="38"/>
      <c r="I433" s="39"/>
      <c r="J433" s="39"/>
      <c r="K433" s="35"/>
      <c r="L433" s="107"/>
      <c r="M433" s="40"/>
      <c r="O433" s="107"/>
      <c r="P433" s="22"/>
      <c r="R433" s="107"/>
      <c r="S433" s="107"/>
      <c r="T433" s="107"/>
      <c r="U433" s="107"/>
      <c r="V433" s="107"/>
    </row>
    <row r="434" spans="4:22" s="12" customFormat="1" x14ac:dyDescent="0.2">
      <c r="D434" s="107"/>
      <c r="E434" s="35"/>
      <c r="F434" s="36"/>
      <c r="G434" s="37"/>
      <c r="H434" s="38"/>
      <c r="I434" s="39"/>
      <c r="J434" s="39"/>
      <c r="K434" s="35"/>
      <c r="L434" s="107"/>
      <c r="M434" s="40"/>
      <c r="O434" s="107"/>
      <c r="P434" s="22"/>
      <c r="R434" s="107"/>
      <c r="S434" s="107"/>
      <c r="T434" s="107"/>
      <c r="U434" s="107"/>
      <c r="V434" s="107"/>
    </row>
    <row r="435" spans="4:22" s="12" customFormat="1" x14ac:dyDescent="0.2">
      <c r="D435" s="107"/>
      <c r="E435" s="35"/>
      <c r="F435" s="36"/>
      <c r="G435" s="37"/>
      <c r="H435" s="38"/>
      <c r="I435" s="39"/>
      <c r="J435" s="39"/>
      <c r="K435" s="35"/>
      <c r="L435" s="107"/>
      <c r="M435" s="40"/>
      <c r="O435" s="107"/>
      <c r="P435" s="22"/>
      <c r="R435" s="107"/>
      <c r="S435" s="107"/>
      <c r="T435" s="107"/>
      <c r="U435" s="107"/>
      <c r="V435" s="107"/>
    </row>
    <row r="436" spans="4:22" s="12" customFormat="1" x14ac:dyDescent="0.2">
      <c r="D436" s="107"/>
      <c r="E436" s="35"/>
      <c r="F436" s="36"/>
      <c r="G436" s="37"/>
      <c r="H436" s="38"/>
      <c r="I436" s="39"/>
      <c r="J436" s="39"/>
      <c r="K436" s="35"/>
      <c r="L436" s="107"/>
      <c r="M436" s="40"/>
      <c r="O436" s="107"/>
      <c r="P436" s="22"/>
      <c r="R436" s="107"/>
      <c r="S436" s="107"/>
      <c r="T436" s="107"/>
      <c r="U436" s="107"/>
      <c r="V436" s="107"/>
    </row>
    <row r="437" spans="4:22" s="12" customFormat="1" x14ac:dyDescent="0.2">
      <c r="D437" s="107"/>
      <c r="E437" s="35"/>
      <c r="F437" s="36"/>
      <c r="G437" s="37"/>
      <c r="H437" s="38"/>
      <c r="I437" s="39"/>
      <c r="J437" s="39"/>
      <c r="K437" s="35"/>
      <c r="L437" s="107"/>
      <c r="M437" s="40"/>
      <c r="O437" s="107"/>
      <c r="P437" s="22"/>
      <c r="R437" s="107"/>
      <c r="S437" s="107"/>
      <c r="T437" s="107"/>
      <c r="U437" s="107"/>
      <c r="V437" s="107"/>
    </row>
    <row r="438" spans="4:22" s="12" customFormat="1" x14ac:dyDescent="0.2">
      <c r="D438" s="107"/>
      <c r="E438" s="35"/>
      <c r="F438" s="36"/>
      <c r="G438" s="37"/>
      <c r="H438" s="38"/>
      <c r="I438" s="39"/>
      <c r="J438" s="39"/>
      <c r="K438" s="35"/>
      <c r="L438" s="107"/>
      <c r="M438" s="40"/>
      <c r="O438" s="107"/>
      <c r="P438" s="22"/>
      <c r="R438" s="107"/>
      <c r="S438" s="107"/>
      <c r="T438" s="107"/>
      <c r="U438" s="107"/>
      <c r="V438" s="107"/>
    </row>
    <row r="439" spans="4:22" s="12" customFormat="1" x14ac:dyDescent="0.2">
      <c r="D439" s="107"/>
      <c r="E439" s="35"/>
      <c r="F439" s="36"/>
      <c r="G439" s="37"/>
      <c r="H439" s="38"/>
      <c r="I439" s="39"/>
      <c r="J439" s="39"/>
      <c r="K439" s="35"/>
      <c r="L439" s="107"/>
      <c r="M439" s="40"/>
      <c r="O439" s="107"/>
      <c r="P439" s="22"/>
      <c r="R439" s="107"/>
      <c r="S439" s="107"/>
      <c r="T439" s="107"/>
      <c r="U439" s="107"/>
      <c r="V439" s="107"/>
    </row>
    <row r="440" spans="4:22" s="12" customFormat="1" x14ac:dyDescent="0.2">
      <c r="D440" s="107"/>
      <c r="E440" s="35"/>
      <c r="F440" s="36"/>
      <c r="G440" s="37"/>
      <c r="H440" s="38"/>
      <c r="I440" s="39"/>
      <c r="J440" s="39"/>
      <c r="K440" s="35"/>
      <c r="L440" s="107"/>
      <c r="M440" s="40"/>
      <c r="O440" s="107"/>
      <c r="P440" s="22"/>
      <c r="R440" s="107"/>
      <c r="S440" s="107"/>
      <c r="T440" s="107"/>
      <c r="U440" s="107"/>
      <c r="V440" s="107"/>
    </row>
    <row r="441" spans="4:22" s="12" customFormat="1" x14ac:dyDescent="0.2">
      <c r="D441" s="107"/>
      <c r="E441" s="35"/>
      <c r="F441" s="36"/>
      <c r="G441" s="37"/>
      <c r="H441" s="38"/>
      <c r="I441" s="39"/>
      <c r="J441" s="39"/>
      <c r="K441" s="35"/>
      <c r="L441" s="107"/>
      <c r="M441" s="40"/>
      <c r="O441" s="107"/>
      <c r="P441" s="22"/>
      <c r="R441" s="107"/>
      <c r="S441" s="107"/>
      <c r="T441" s="107"/>
      <c r="U441" s="107"/>
      <c r="V441" s="107"/>
    </row>
    <row r="442" spans="4:22" s="12" customFormat="1" x14ac:dyDescent="0.2">
      <c r="D442" s="107"/>
      <c r="E442" s="35"/>
      <c r="F442" s="36"/>
      <c r="G442" s="37"/>
      <c r="H442" s="38"/>
      <c r="I442" s="39"/>
      <c r="J442" s="39"/>
      <c r="K442" s="35"/>
      <c r="L442" s="107"/>
      <c r="M442" s="40"/>
      <c r="O442" s="107"/>
      <c r="P442" s="22"/>
      <c r="R442" s="107"/>
      <c r="S442" s="107"/>
      <c r="T442" s="107"/>
      <c r="U442" s="107"/>
      <c r="V442" s="107"/>
    </row>
    <row r="443" spans="4:22" s="12" customFormat="1" x14ac:dyDescent="0.2">
      <c r="D443" s="107"/>
      <c r="E443" s="35"/>
      <c r="F443" s="36"/>
      <c r="G443" s="37"/>
      <c r="H443" s="38"/>
      <c r="I443" s="39"/>
      <c r="J443" s="39"/>
      <c r="K443" s="35"/>
      <c r="L443" s="107"/>
      <c r="M443" s="40"/>
      <c r="O443" s="107"/>
      <c r="P443" s="22"/>
      <c r="R443" s="107"/>
      <c r="S443" s="107"/>
      <c r="T443" s="107"/>
      <c r="U443" s="107"/>
      <c r="V443" s="107"/>
    </row>
    <row r="444" spans="4:22" s="12" customFormat="1" x14ac:dyDescent="0.2">
      <c r="D444" s="107"/>
      <c r="E444" s="35"/>
      <c r="F444" s="36"/>
      <c r="G444" s="37"/>
      <c r="H444" s="38"/>
      <c r="I444" s="39"/>
      <c r="J444" s="39"/>
      <c r="K444" s="35"/>
      <c r="L444" s="107"/>
      <c r="M444" s="40"/>
      <c r="O444" s="107"/>
      <c r="P444" s="22"/>
      <c r="R444" s="107"/>
      <c r="S444" s="107"/>
      <c r="T444" s="107"/>
      <c r="U444" s="107"/>
      <c r="V444" s="107"/>
    </row>
    <row r="445" spans="4:22" s="12" customFormat="1" x14ac:dyDescent="0.2">
      <c r="D445" s="107"/>
      <c r="E445" s="35"/>
      <c r="F445" s="36"/>
      <c r="G445" s="37"/>
      <c r="H445" s="38"/>
      <c r="I445" s="39"/>
      <c r="J445" s="39"/>
      <c r="K445" s="35"/>
      <c r="L445" s="107"/>
      <c r="M445" s="40"/>
      <c r="O445" s="107"/>
      <c r="P445" s="22"/>
      <c r="R445" s="107"/>
      <c r="S445" s="107"/>
      <c r="T445" s="107"/>
      <c r="U445" s="107"/>
      <c r="V445" s="107"/>
    </row>
    <row r="446" spans="4:22" s="12" customFormat="1" x14ac:dyDescent="0.2">
      <c r="D446" s="107"/>
      <c r="E446" s="35"/>
      <c r="F446" s="36"/>
      <c r="G446" s="37"/>
      <c r="H446" s="38"/>
      <c r="I446" s="39"/>
      <c r="J446" s="39"/>
      <c r="K446" s="35"/>
      <c r="L446" s="107"/>
      <c r="M446" s="40"/>
      <c r="O446" s="107"/>
      <c r="P446" s="22"/>
      <c r="R446" s="107"/>
      <c r="S446" s="107"/>
      <c r="T446" s="107"/>
      <c r="U446" s="107"/>
      <c r="V446" s="107"/>
    </row>
    <row r="447" spans="4:22" s="12" customFormat="1" x14ac:dyDescent="0.2">
      <c r="D447" s="107"/>
      <c r="E447" s="35"/>
      <c r="F447" s="36"/>
      <c r="G447" s="37"/>
      <c r="H447" s="38"/>
      <c r="I447" s="39"/>
      <c r="J447" s="39"/>
      <c r="K447" s="35"/>
      <c r="L447" s="107"/>
      <c r="M447" s="40"/>
      <c r="O447" s="107"/>
      <c r="P447" s="22"/>
      <c r="R447" s="107"/>
      <c r="S447" s="107"/>
      <c r="T447" s="107"/>
      <c r="U447" s="107"/>
      <c r="V447" s="107"/>
    </row>
    <row r="448" spans="4:22" s="12" customFormat="1" x14ac:dyDescent="0.2">
      <c r="D448" s="107"/>
      <c r="E448" s="35"/>
      <c r="F448" s="36"/>
      <c r="G448" s="37"/>
      <c r="H448" s="38"/>
      <c r="I448" s="39"/>
      <c r="J448" s="39"/>
      <c r="K448" s="35"/>
      <c r="L448" s="107"/>
      <c r="M448" s="40"/>
      <c r="O448" s="107"/>
      <c r="P448" s="22"/>
      <c r="R448" s="107"/>
      <c r="S448" s="107"/>
      <c r="T448" s="107"/>
      <c r="U448" s="107"/>
      <c r="V448" s="107"/>
    </row>
    <row r="449" spans="4:22" s="12" customFormat="1" x14ac:dyDescent="0.2">
      <c r="D449" s="107"/>
      <c r="E449" s="35"/>
      <c r="F449" s="36"/>
      <c r="G449" s="37"/>
      <c r="H449" s="38"/>
      <c r="I449" s="39"/>
      <c r="J449" s="39"/>
      <c r="K449" s="35"/>
      <c r="L449" s="107"/>
      <c r="M449" s="40"/>
      <c r="O449" s="107"/>
      <c r="P449" s="22"/>
      <c r="R449" s="107"/>
      <c r="S449" s="107"/>
      <c r="T449" s="107"/>
      <c r="U449" s="107"/>
      <c r="V449" s="107"/>
    </row>
    <row r="450" spans="4:22" s="12" customFormat="1" x14ac:dyDescent="0.2">
      <c r="D450" s="107"/>
      <c r="E450" s="35"/>
      <c r="F450" s="36"/>
      <c r="G450" s="37"/>
      <c r="H450" s="38"/>
      <c r="I450" s="39"/>
      <c r="J450" s="39"/>
      <c r="K450" s="35"/>
      <c r="L450" s="107"/>
      <c r="M450" s="40"/>
      <c r="O450" s="107"/>
      <c r="P450" s="22"/>
      <c r="R450" s="107"/>
      <c r="S450" s="107"/>
      <c r="T450" s="107"/>
      <c r="U450" s="107"/>
      <c r="V450" s="107"/>
    </row>
    <row r="451" spans="4:22" s="12" customFormat="1" x14ac:dyDescent="0.2">
      <c r="D451" s="107"/>
      <c r="E451" s="35"/>
      <c r="F451" s="36"/>
      <c r="G451" s="37"/>
      <c r="H451" s="38"/>
      <c r="I451" s="39"/>
      <c r="J451" s="39"/>
      <c r="K451" s="35"/>
      <c r="L451" s="107"/>
      <c r="M451" s="40"/>
      <c r="O451" s="107"/>
      <c r="P451" s="22"/>
      <c r="R451" s="107"/>
      <c r="S451" s="107"/>
      <c r="T451" s="107"/>
      <c r="U451" s="107"/>
      <c r="V451" s="107"/>
    </row>
    <row r="452" spans="4:22" s="12" customFormat="1" x14ac:dyDescent="0.2">
      <c r="D452" s="107"/>
      <c r="E452" s="35"/>
      <c r="F452" s="36"/>
      <c r="G452" s="37"/>
      <c r="H452" s="38"/>
      <c r="I452" s="39"/>
      <c r="J452" s="39"/>
      <c r="K452" s="35"/>
      <c r="L452" s="107"/>
      <c r="M452" s="40"/>
      <c r="O452" s="107"/>
      <c r="P452" s="22"/>
      <c r="R452" s="107"/>
      <c r="S452" s="107"/>
      <c r="T452" s="107"/>
      <c r="U452" s="107"/>
      <c r="V452" s="107"/>
    </row>
    <row r="453" spans="4:22" s="12" customFormat="1" x14ac:dyDescent="0.2">
      <c r="D453" s="107"/>
      <c r="E453" s="35"/>
      <c r="F453" s="36"/>
      <c r="G453" s="37"/>
      <c r="H453" s="38"/>
      <c r="I453" s="39"/>
      <c r="J453" s="39"/>
      <c r="K453" s="35"/>
      <c r="L453" s="107"/>
      <c r="M453" s="40"/>
      <c r="O453" s="107"/>
      <c r="P453" s="22"/>
      <c r="R453" s="107"/>
      <c r="S453" s="107"/>
      <c r="T453" s="107"/>
      <c r="U453" s="107"/>
      <c r="V453" s="107"/>
    </row>
    <row r="454" spans="4:22" s="12" customFormat="1" x14ac:dyDescent="0.2">
      <c r="D454" s="107"/>
      <c r="E454" s="35"/>
      <c r="F454" s="36"/>
      <c r="G454" s="37"/>
      <c r="H454" s="38"/>
      <c r="I454" s="39"/>
      <c r="J454" s="39"/>
      <c r="K454" s="35"/>
      <c r="L454" s="107"/>
      <c r="M454" s="40"/>
      <c r="O454" s="107"/>
      <c r="P454" s="22"/>
      <c r="R454" s="107"/>
      <c r="S454" s="107"/>
      <c r="T454" s="107"/>
      <c r="U454" s="107"/>
      <c r="V454" s="107"/>
    </row>
    <row r="455" spans="4:22" s="12" customFormat="1" x14ac:dyDescent="0.2">
      <c r="D455" s="107"/>
      <c r="E455" s="35"/>
      <c r="F455" s="36"/>
      <c r="G455" s="37"/>
      <c r="H455" s="38"/>
      <c r="I455" s="39"/>
      <c r="J455" s="39"/>
      <c r="K455" s="35"/>
      <c r="L455" s="107"/>
      <c r="M455" s="40"/>
      <c r="O455" s="107"/>
      <c r="P455" s="22"/>
      <c r="R455" s="107"/>
      <c r="S455" s="107"/>
      <c r="T455" s="107"/>
      <c r="U455" s="107"/>
      <c r="V455" s="107"/>
    </row>
    <row r="456" spans="4:22" s="12" customFormat="1" x14ac:dyDescent="0.2">
      <c r="D456" s="107"/>
      <c r="E456" s="35"/>
      <c r="F456" s="36"/>
      <c r="G456" s="37"/>
      <c r="H456" s="38"/>
      <c r="I456" s="39"/>
      <c r="J456" s="39"/>
      <c r="K456" s="35"/>
      <c r="L456" s="107"/>
      <c r="M456" s="40"/>
      <c r="O456" s="107"/>
      <c r="P456" s="22"/>
      <c r="R456" s="107"/>
      <c r="S456" s="107"/>
      <c r="T456" s="107"/>
      <c r="U456" s="107"/>
      <c r="V456" s="107"/>
    </row>
    <row r="457" spans="4:22" s="12" customFormat="1" x14ac:dyDescent="0.2">
      <c r="D457" s="107"/>
      <c r="E457" s="35"/>
      <c r="F457" s="36"/>
      <c r="G457" s="37"/>
      <c r="H457" s="38"/>
      <c r="I457" s="39"/>
      <c r="J457" s="39"/>
      <c r="K457" s="35"/>
      <c r="L457" s="107"/>
      <c r="M457" s="40"/>
      <c r="O457" s="107"/>
      <c r="P457" s="22"/>
      <c r="R457" s="107"/>
      <c r="S457" s="107"/>
      <c r="T457" s="107"/>
      <c r="U457" s="107"/>
      <c r="V457" s="107"/>
    </row>
    <row r="458" spans="4:22" s="12" customFormat="1" x14ac:dyDescent="0.2">
      <c r="D458" s="107"/>
      <c r="E458" s="35"/>
      <c r="F458" s="36"/>
      <c r="G458" s="37"/>
      <c r="H458" s="38"/>
      <c r="I458" s="39"/>
      <c r="J458" s="39"/>
      <c r="K458" s="35"/>
      <c r="L458" s="107"/>
      <c r="M458" s="40"/>
      <c r="O458" s="107"/>
      <c r="P458" s="22"/>
      <c r="R458" s="107"/>
      <c r="S458" s="107"/>
      <c r="T458" s="107"/>
      <c r="U458" s="107"/>
      <c r="V458" s="107"/>
    </row>
    <row r="459" spans="4:22" s="12" customFormat="1" x14ac:dyDescent="0.2">
      <c r="D459" s="107"/>
      <c r="E459" s="35"/>
      <c r="F459" s="36"/>
      <c r="G459" s="37"/>
      <c r="H459" s="38"/>
      <c r="I459" s="39"/>
      <c r="J459" s="39"/>
      <c r="K459" s="35"/>
      <c r="L459" s="107"/>
      <c r="M459" s="40"/>
      <c r="O459" s="107"/>
      <c r="P459" s="22"/>
      <c r="R459" s="107"/>
      <c r="S459" s="107"/>
      <c r="T459" s="107"/>
      <c r="U459" s="107"/>
      <c r="V459" s="107"/>
    </row>
    <row r="460" spans="4:22" s="12" customFormat="1" x14ac:dyDescent="0.2">
      <c r="D460" s="107"/>
      <c r="E460" s="35"/>
      <c r="F460" s="36"/>
      <c r="G460" s="37"/>
      <c r="H460" s="38"/>
      <c r="I460" s="39"/>
      <c r="J460" s="39"/>
      <c r="K460" s="35"/>
      <c r="L460" s="107"/>
      <c r="M460" s="40"/>
      <c r="O460" s="107"/>
      <c r="P460" s="22"/>
      <c r="R460" s="107"/>
      <c r="S460" s="107"/>
      <c r="T460" s="107"/>
      <c r="U460" s="107"/>
      <c r="V460" s="107"/>
    </row>
    <row r="461" spans="4:22" s="12" customFormat="1" x14ac:dyDescent="0.2">
      <c r="D461" s="107"/>
      <c r="E461" s="35"/>
      <c r="F461" s="36"/>
      <c r="G461" s="37"/>
      <c r="H461" s="38"/>
      <c r="I461" s="39"/>
      <c r="J461" s="39"/>
      <c r="K461" s="35"/>
      <c r="L461" s="107"/>
      <c r="M461" s="40"/>
      <c r="O461" s="107"/>
      <c r="P461" s="22"/>
      <c r="R461" s="107"/>
      <c r="S461" s="107"/>
      <c r="T461" s="107"/>
      <c r="U461" s="107"/>
      <c r="V461" s="107"/>
    </row>
    <row r="462" spans="4:22" s="12" customFormat="1" x14ac:dyDescent="0.2">
      <c r="D462" s="107"/>
      <c r="E462" s="35"/>
      <c r="F462" s="36"/>
      <c r="G462" s="37"/>
      <c r="H462" s="38"/>
      <c r="I462" s="39"/>
      <c r="J462" s="39"/>
      <c r="K462" s="35"/>
      <c r="L462" s="107"/>
      <c r="M462" s="40"/>
      <c r="O462" s="107"/>
      <c r="P462" s="22"/>
      <c r="R462" s="107"/>
      <c r="S462" s="107"/>
      <c r="T462" s="107"/>
      <c r="U462" s="107"/>
      <c r="V462" s="107"/>
    </row>
    <row r="463" spans="4:22" s="12" customFormat="1" x14ac:dyDescent="0.2">
      <c r="D463" s="107"/>
      <c r="E463" s="35"/>
      <c r="F463" s="36"/>
      <c r="G463" s="37"/>
      <c r="H463" s="38"/>
      <c r="I463" s="39"/>
      <c r="J463" s="39"/>
      <c r="K463" s="35"/>
      <c r="L463" s="107"/>
      <c r="M463" s="40"/>
      <c r="O463" s="107"/>
      <c r="P463" s="22"/>
      <c r="R463" s="107"/>
      <c r="S463" s="107"/>
      <c r="T463" s="107"/>
      <c r="U463" s="107"/>
      <c r="V463" s="107"/>
    </row>
    <row r="464" spans="4:22" s="12" customFormat="1" x14ac:dyDescent="0.2">
      <c r="D464" s="107"/>
      <c r="E464" s="35"/>
      <c r="F464" s="36"/>
      <c r="G464" s="37"/>
      <c r="H464" s="38"/>
      <c r="I464" s="39"/>
      <c r="J464" s="39"/>
      <c r="K464" s="35"/>
      <c r="L464" s="107"/>
      <c r="M464" s="40"/>
      <c r="O464" s="107"/>
      <c r="P464" s="22"/>
      <c r="R464" s="107"/>
      <c r="S464" s="107"/>
      <c r="T464" s="107"/>
      <c r="U464" s="107"/>
      <c r="V464" s="107"/>
    </row>
    <row r="465" spans="4:22" s="12" customFormat="1" x14ac:dyDescent="0.2">
      <c r="D465" s="107"/>
      <c r="E465" s="35"/>
      <c r="F465" s="36"/>
      <c r="G465" s="37"/>
      <c r="H465" s="38"/>
      <c r="I465" s="39"/>
      <c r="J465" s="39"/>
      <c r="K465" s="35"/>
      <c r="L465" s="107"/>
      <c r="M465" s="40"/>
      <c r="O465" s="107"/>
      <c r="P465" s="22"/>
      <c r="R465" s="107"/>
      <c r="S465" s="107"/>
      <c r="T465" s="107"/>
      <c r="U465" s="107"/>
      <c r="V465" s="107"/>
    </row>
    <row r="466" spans="4:22" s="12" customFormat="1" x14ac:dyDescent="0.2">
      <c r="D466" s="107"/>
      <c r="E466" s="35"/>
      <c r="F466" s="36"/>
      <c r="G466" s="37"/>
      <c r="H466" s="38"/>
      <c r="I466" s="39"/>
      <c r="J466" s="39"/>
      <c r="K466" s="35"/>
      <c r="L466" s="107"/>
      <c r="M466" s="40"/>
      <c r="O466" s="107"/>
      <c r="P466" s="22"/>
      <c r="R466" s="107"/>
      <c r="S466" s="107"/>
      <c r="T466" s="107"/>
      <c r="U466" s="107"/>
      <c r="V466" s="107"/>
    </row>
    <row r="467" spans="4:22" s="12" customFormat="1" x14ac:dyDescent="0.2">
      <c r="D467" s="107"/>
      <c r="E467" s="35"/>
      <c r="F467" s="36"/>
      <c r="G467" s="37"/>
      <c r="H467" s="38"/>
      <c r="I467" s="39"/>
      <c r="J467" s="39"/>
      <c r="K467" s="35"/>
      <c r="L467" s="107"/>
      <c r="M467" s="40"/>
      <c r="O467" s="107"/>
      <c r="P467" s="22"/>
      <c r="R467" s="107"/>
      <c r="S467" s="107"/>
      <c r="T467" s="107"/>
      <c r="U467" s="107"/>
      <c r="V467" s="107"/>
    </row>
    <row r="468" spans="4:22" s="12" customFormat="1" x14ac:dyDescent="0.2">
      <c r="D468" s="107"/>
      <c r="E468" s="35"/>
      <c r="F468" s="36"/>
      <c r="G468" s="37"/>
      <c r="H468" s="38"/>
      <c r="I468" s="39"/>
      <c r="J468" s="39"/>
      <c r="K468" s="35"/>
      <c r="L468" s="107"/>
      <c r="M468" s="40"/>
      <c r="O468" s="107"/>
      <c r="P468" s="22"/>
      <c r="R468" s="107"/>
      <c r="S468" s="107"/>
      <c r="T468" s="107"/>
      <c r="U468" s="107"/>
      <c r="V468" s="107"/>
    </row>
    <row r="469" spans="4:22" s="12" customFormat="1" x14ac:dyDescent="0.2">
      <c r="D469" s="107"/>
      <c r="E469" s="35"/>
      <c r="F469" s="36"/>
      <c r="G469" s="37"/>
      <c r="H469" s="38"/>
      <c r="I469" s="39"/>
      <c r="J469" s="39"/>
      <c r="K469" s="35"/>
      <c r="L469" s="107"/>
      <c r="M469" s="40"/>
      <c r="O469" s="107"/>
      <c r="P469" s="22"/>
      <c r="R469" s="107"/>
      <c r="S469" s="107"/>
      <c r="T469" s="107"/>
      <c r="U469" s="107"/>
      <c r="V469" s="107"/>
    </row>
    <row r="470" spans="4:22" s="12" customFormat="1" x14ac:dyDescent="0.2">
      <c r="D470" s="107"/>
      <c r="E470" s="35"/>
      <c r="F470" s="36"/>
      <c r="G470" s="37"/>
      <c r="H470" s="38"/>
      <c r="I470" s="39"/>
      <c r="J470" s="39"/>
      <c r="K470" s="35"/>
      <c r="L470" s="107"/>
      <c r="M470" s="40"/>
      <c r="O470" s="107"/>
      <c r="P470" s="22"/>
      <c r="R470" s="107"/>
      <c r="S470" s="107"/>
      <c r="T470" s="107"/>
      <c r="U470" s="107"/>
      <c r="V470" s="107"/>
    </row>
    <row r="471" spans="4:22" s="12" customFormat="1" x14ac:dyDescent="0.2">
      <c r="D471" s="107"/>
      <c r="E471" s="35"/>
      <c r="F471" s="36"/>
      <c r="G471" s="37"/>
      <c r="H471" s="38"/>
      <c r="I471" s="39"/>
      <c r="J471" s="39"/>
      <c r="K471" s="35"/>
      <c r="L471" s="107"/>
      <c r="M471" s="40"/>
      <c r="O471" s="107"/>
      <c r="P471" s="22"/>
      <c r="R471" s="107"/>
      <c r="S471" s="107"/>
      <c r="T471" s="107"/>
      <c r="U471" s="107"/>
      <c r="V471" s="107"/>
    </row>
    <row r="472" spans="4:22" s="12" customFormat="1" x14ac:dyDescent="0.2">
      <c r="D472" s="107"/>
      <c r="E472" s="35"/>
      <c r="F472" s="36"/>
      <c r="G472" s="37"/>
      <c r="H472" s="38"/>
      <c r="I472" s="39"/>
      <c r="J472" s="39"/>
      <c r="K472" s="35"/>
      <c r="L472" s="107"/>
      <c r="M472" s="40"/>
      <c r="O472" s="107"/>
      <c r="P472" s="22"/>
      <c r="R472" s="107"/>
      <c r="S472" s="107"/>
      <c r="T472" s="107"/>
      <c r="U472" s="107"/>
      <c r="V472" s="107"/>
    </row>
    <row r="473" spans="4:22" s="12" customFormat="1" x14ac:dyDescent="0.2">
      <c r="D473" s="107"/>
      <c r="E473" s="35"/>
      <c r="F473" s="36"/>
      <c r="G473" s="37"/>
      <c r="H473" s="38"/>
      <c r="I473" s="39"/>
      <c r="J473" s="39"/>
      <c r="K473" s="35"/>
      <c r="L473" s="107"/>
      <c r="M473" s="40"/>
      <c r="O473" s="107"/>
      <c r="P473" s="22"/>
      <c r="R473" s="107"/>
      <c r="S473" s="107"/>
      <c r="T473" s="107"/>
      <c r="U473" s="107"/>
      <c r="V473" s="107"/>
    </row>
    <row r="474" spans="4:22" s="12" customFormat="1" x14ac:dyDescent="0.2">
      <c r="D474" s="107"/>
      <c r="E474" s="35"/>
      <c r="F474" s="36"/>
      <c r="G474" s="37"/>
      <c r="H474" s="38"/>
      <c r="I474" s="39"/>
      <c r="J474" s="39"/>
      <c r="K474" s="35"/>
      <c r="L474" s="107"/>
      <c r="M474" s="40"/>
      <c r="O474" s="107"/>
      <c r="P474" s="22"/>
      <c r="R474" s="107"/>
      <c r="S474" s="107"/>
      <c r="T474" s="107"/>
      <c r="U474" s="107"/>
      <c r="V474" s="107"/>
    </row>
    <row r="475" spans="4:22" s="12" customFormat="1" x14ac:dyDescent="0.2">
      <c r="D475" s="107"/>
      <c r="E475" s="35"/>
      <c r="F475" s="36"/>
      <c r="G475" s="37"/>
      <c r="H475" s="38"/>
      <c r="I475" s="39"/>
      <c r="J475" s="39"/>
      <c r="K475" s="35"/>
      <c r="L475" s="107"/>
      <c r="M475" s="40"/>
      <c r="O475" s="107"/>
      <c r="P475" s="22"/>
      <c r="R475" s="107"/>
      <c r="S475" s="107"/>
      <c r="T475" s="107"/>
      <c r="U475" s="107"/>
      <c r="V475" s="107"/>
    </row>
    <row r="476" spans="4:22" s="12" customFormat="1" x14ac:dyDescent="0.2">
      <c r="D476" s="107"/>
      <c r="E476" s="35"/>
      <c r="F476" s="36"/>
      <c r="G476" s="37"/>
      <c r="H476" s="38"/>
      <c r="I476" s="39"/>
      <c r="J476" s="39"/>
      <c r="K476" s="35"/>
      <c r="L476" s="107"/>
      <c r="M476" s="40"/>
      <c r="O476" s="107"/>
      <c r="P476" s="22"/>
      <c r="R476" s="107"/>
      <c r="S476" s="107"/>
      <c r="T476" s="107"/>
      <c r="U476" s="107"/>
      <c r="V476" s="107"/>
    </row>
    <row r="477" spans="4:22" s="12" customFormat="1" x14ac:dyDescent="0.2">
      <c r="D477" s="107"/>
      <c r="E477" s="35"/>
      <c r="F477" s="36"/>
      <c r="G477" s="37"/>
      <c r="H477" s="38"/>
      <c r="I477" s="39"/>
      <c r="J477" s="39"/>
      <c r="K477" s="35"/>
      <c r="L477" s="107"/>
      <c r="M477" s="40"/>
      <c r="O477" s="107"/>
      <c r="P477" s="22"/>
      <c r="R477" s="107"/>
      <c r="S477" s="107"/>
      <c r="T477" s="107"/>
      <c r="U477" s="107"/>
      <c r="V477" s="107"/>
    </row>
    <row r="478" spans="4:22" s="12" customFormat="1" x14ac:dyDescent="0.2">
      <c r="D478" s="107"/>
      <c r="E478" s="35"/>
      <c r="F478" s="36"/>
      <c r="G478" s="37"/>
      <c r="H478" s="38"/>
      <c r="I478" s="39"/>
      <c r="J478" s="39"/>
      <c r="K478" s="35"/>
      <c r="L478" s="107"/>
      <c r="M478" s="40"/>
      <c r="O478" s="107"/>
      <c r="P478" s="22"/>
      <c r="R478" s="107"/>
      <c r="S478" s="107"/>
      <c r="T478" s="107"/>
      <c r="U478" s="107"/>
      <c r="V478" s="107"/>
    </row>
    <row r="479" spans="4:22" s="12" customFormat="1" x14ac:dyDescent="0.2">
      <c r="D479" s="107"/>
      <c r="E479" s="35"/>
      <c r="F479" s="36"/>
      <c r="G479" s="37"/>
      <c r="H479" s="38"/>
      <c r="I479" s="39"/>
      <c r="J479" s="39"/>
      <c r="K479" s="35"/>
      <c r="L479" s="107"/>
      <c r="M479" s="40"/>
      <c r="O479" s="107"/>
      <c r="P479" s="22"/>
      <c r="R479" s="107"/>
      <c r="S479" s="107"/>
      <c r="T479" s="107"/>
      <c r="U479" s="107"/>
      <c r="V479" s="107"/>
    </row>
    <row r="480" spans="4:22" s="12" customFormat="1" x14ac:dyDescent="0.2">
      <c r="D480" s="107"/>
      <c r="E480" s="35"/>
      <c r="F480" s="36"/>
      <c r="G480" s="37"/>
      <c r="H480" s="38"/>
      <c r="I480" s="39"/>
      <c r="J480" s="39"/>
      <c r="K480" s="35"/>
      <c r="L480" s="107"/>
      <c r="M480" s="40"/>
      <c r="O480" s="107"/>
      <c r="P480" s="22"/>
      <c r="R480" s="107"/>
      <c r="S480" s="107"/>
      <c r="T480" s="107"/>
      <c r="U480" s="107"/>
      <c r="V480" s="107"/>
    </row>
    <row r="481" spans="4:22" s="12" customFormat="1" x14ac:dyDescent="0.2">
      <c r="D481" s="107"/>
      <c r="E481" s="35"/>
      <c r="F481" s="36"/>
      <c r="G481" s="37"/>
      <c r="H481" s="38"/>
      <c r="I481" s="39"/>
      <c r="J481" s="39"/>
      <c r="K481" s="35"/>
      <c r="L481" s="107"/>
      <c r="M481" s="40"/>
      <c r="O481" s="107"/>
      <c r="P481" s="22"/>
      <c r="R481" s="107"/>
      <c r="S481" s="107"/>
      <c r="T481" s="107"/>
      <c r="U481" s="107"/>
      <c r="V481" s="107"/>
    </row>
    <row r="482" spans="4:22" s="12" customFormat="1" x14ac:dyDescent="0.2">
      <c r="D482" s="107"/>
      <c r="E482" s="35"/>
      <c r="F482" s="36"/>
      <c r="G482" s="37"/>
      <c r="H482" s="38"/>
      <c r="I482" s="39"/>
      <c r="J482" s="39"/>
      <c r="K482" s="35"/>
      <c r="L482" s="107"/>
      <c r="M482" s="40"/>
      <c r="O482" s="107"/>
      <c r="P482" s="22"/>
      <c r="R482" s="107"/>
      <c r="S482" s="107"/>
      <c r="T482" s="107"/>
      <c r="U482" s="107"/>
      <c r="V482" s="107"/>
    </row>
    <row r="483" spans="4:22" s="12" customFormat="1" x14ac:dyDescent="0.2">
      <c r="D483" s="107"/>
      <c r="E483" s="35"/>
      <c r="F483" s="36"/>
      <c r="G483" s="37"/>
      <c r="H483" s="38"/>
      <c r="I483" s="39"/>
      <c r="J483" s="39"/>
      <c r="K483" s="35"/>
      <c r="L483" s="107"/>
      <c r="M483" s="40"/>
      <c r="O483" s="107"/>
      <c r="P483" s="22"/>
      <c r="R483" s="107"/>
      <c r="S483" s="107"/>
      <c r="T483" s="107"/>
      <c r="U483" s="107"/>
      <c r="V483" s="107"/>
    </row>
    <row r="484" spans="4:22" s="12" customFormat="1" x14ac:dyDescent="0.2">
      <c r="D484" s="107"/>
      <c r="E484" s="35"/>
      <c r="F484" s="36"/>
      <c r="G484" s="37"/>
      <c r="H484" s="38"/>
      <c r="I484" s="39"/>
      <c r="J484" s="39"/>
      <c r="K484" s="35"/>
      <c r="L484" s="107"/>
      <c r="M484" s="40"/>
      <c r="O484" s="107"/>
      <c r="P484" s="22"/>
      <c r="R484" s="107"/>
      <c r="S484" s="107"/>
      <c r="T484" s="107"/>
      <c r="U484" s="107"/>
      <c r="V484" s="107"/>
    </row>
    <row r="485" spans="4:22" s="12" customFormat="1" x14ac:dyDescent="0.2">
      <c r="D485" s="107"/>
      <c r="E485" s="35"/>
      <c r="F485" s="36"/>
      <c r="G485" s="37"/>
      <c r="H485" s="38"/>
      <c r="I485" s="39"/>
      <c r="J485" s="39"/>
      <c r="K485" s="35"/>
      <c r="L485" s="107"/>
      <c r="M485" s="40"/>
      <c r="O485" s="107"/>
      <c r="P485" s="22"/>
      <c r="R485" s="107"/>
      <c r="S485" s="107"/>
      <c r="T485" s="107"/>
      <c r="U485" s="107"/>
      <c r="V485" s="107"/>
    </row>
    <row r="486" spans="4:22" s="12" customFormat="1" x14ac:dyDescent="0.2">
      <c r="D486" s="107"/>
      <c r="E486" s="35"/>
      <c r="F486" s="36"/>
      <c r="G486" s="37"/>
      <c r="H486" s="38"/>
      <c r="I486" s="39"/>
      <c r="J486" s="39"/>
      <c r="K486" s="35"/>
      <c r="L486" s="107"/>
      <c r="M486" s="40"/>
      <c r="O486" s="107"/>
      <c r="P486" s="22"/>
      <c r="R486" s="107"/>
      <c r="S486" s="107"/>
      <c r="T486" s="107"/>
      <c r="U486" s="107"/>
      <c r="V486" s="107"/>
    </row>
    <row r="487" spans="4:22" s="12" customFormat="1" x14ac:dyDescent="0.2">
      <c r="D487" s="107"/>
      <c r="E487" s="35"/>
      <c r="F487" s="36"/>
      <c r="G487" s="37"/>
      <c r="H487" s="38"/>
      <c r="I487" s="39"/>
      <c r="J487" s="39"/>
      <c r="K487" s="35"/>
      <c r="L487" s="107"/>
      <c r="M487" s="40"/>
      <c r="O487" s="107"/>
      <c r="P487" s="22"/>
      <c r="R487" s="107"/>
      <c r="S487" s="107"/>
      <c r="T487" s="107"/>
      <c r="U487" s="107"/>
      <c r="V487" s="107"/>
    </row>
    <row r="488" spans="4:22" s="12" customFormat="1" x14ac:dyDescent="0.2">
      <c r="D488" s="107"/>
      <c r="E488" s="35"/>
      <c r="F488" s="36"/>
      <c r="G488" s="37"/>
      <c r="H488" s="38"/>
      <c r="I488" s="39"/>
      <c r="J488" s="39"/>
      <c r="K488" s="35"/>
      <c r="L488" s="107"/>
      <c r="M488" s="40"/>
      <c r="O488" s="107"/>
      <c r="P488" s="22"/>
      <c r="R488" s="107"/>
      <c r="S488" s="107"/>
      <c r="T488" s="107"/>
      <c r="U488" s="107"/>
      <c r="V488" s="107"/>
    </row>
    <row r="489" spans="4:22" s="12" customFormat="1" x14ac:dyDescent="0.2">
      <c r="D489" s="107"/>
      <c r="E489" s="35"/>
      <c r="F489" s="36"/>
      <c r="G489" s="37"/>
      <c r="H489" s="38"/>
      <c r="I489" s="39"/>
      <c r="J489" s="39"/>
      <c r="K489" s="35"/>
      <c r="L489" s="107"/>
      <c r="M489" s="40"/>
      <c r="O489" s="107"/>
      <c r="P489" s="22"/>
      <c r="R489" s="107"/>
      <c r="S489" s="107"/>
      <c r="T489" s="107"/>
      <c r="U489" s="107"/>
      <c r="V489" s="107"/>
    </row>
    <row r="490" spans="4:22" s="12" customFormat="1" x14ac:dyDescent="0.2">
      <c r="D490" s="107"/>
      <c r="E490" s="35"/>
      <c r="F490" s="36"/>
      <c r="G490" s="37"/>
      <c r="H490" s="38"/>
      <c r="I490" s="39"/>
      <c r="J490" s="39"/>
      <c r="K490" s="35"/>
      <c r="L490" s="107"/>
      <c r="M490" s="40"/>
      <c r="O490" s="107"/>
      <c r="P490" s="22"/>
      <c r="R490" s="107"/>
      <c r="S490" s="107"/>
      <c r="T490" s="107"/>
      <c r="U490" s="107"/>
      <c r="V490" s="107"/>
    </row>
    <row r="491" spans="4:22" s="12" customFormat="1" x14ac:dyDescent="0.2">
      <c r="D491" s="107"/>
      <c r="E491" s="35"/>
      <c r="F491" s="36"/>
      <c r="G491" s="37"/>
      <c r="H491" s="38"/>
      <c r="I491" s="39"/>
      <c r="J491" s="39"/>
      <c r="K491" s="35"/>
      <c r="L491" s="107"/>
      <c r="M491" s="40"/>
      <c r="O491" s="107"/>
      <c r="P491" s="22"/>
      <c r="R491" s="107"/>
      <c r="S491" s="107"/>
      <c r="T491" s="107"/>
      <c r="U491" s="107"/>
      <c r="V491" s="107"/>
    </row>
    <row r="492" spans="4:22" s="12" customFormat="1" x14ac:dyDescent="0.2">
      <c r="D492" s="107"/>
      <c r="E492" s="35"/>
      <c r="F492" s="36"/>
      <c r="G492" s="37"/>
      <c r="H492" s="38"/>
      <c r="I492" s="39"/>
      <c r="J492" s="39"/>
      <c r="K492" s="35"/>
      <c r="L492" s="107"/>
      <c r="M492" s="40"/>
      <c r="O492" s="107"/>
      <c r="P492" s="22"/>
      <c r="R492" s="107"/>
      <c r="S492" s="107"/>
      <c r="T492" s="107"/>
      <c r="U492" s="107"/>
      <c r="V492" s="107"/>
    </row>
    <row r="493" spans="4:22" s="12" customFormat="1" x14ac:dyDescent="0.2">
      <c r="D493" s="107"/>
      <c r="E493" s="35"/>
      <c r="F493" s="36"/>
      <c r="G493" s="37"/>
      <c r="H493" s="38"/>
      <c r="I493" s="39"/>
      <c r="J493" s="39"/>
      <c r="K493" s="35"/>
      <c r="L493" s="107"/>
      <c r="M493" s="40"/>
      <c r="O493" s="107"/>
      <c r="P493" s="22"/>
      <c r="R493" s="107"/>
      <c r="S493" s="107"/>
      <c r="T493" s="107"/>
      <c r="U493" s="107"/>
      <c r="V493" s="107"/>
    </row>
    <row r="494" spans="4:22" s="12" customFormat="1" x14ac:dyDescent="0.2">
      <c r="D494" s="107"/>
      <c r="E494" s="35"/>
      <c r="F494" s="36"/>
      <c r="G494" s="37"/>
      <c r="H494" s="38"/>
      <c r="I494" s="39"/>
      <c r="J494" s="39"/>
      <c r="K494" s="35"/>
      <c r="L494" s="107"/>
      <c r="M494" s="40"/>
      <c r="O494" s="107"/>
      <c r="P494" s="22"/>
      <c r="R494" s="107"/>
      <c r="S494" s="107"/>
      <c r="T494" s="107"/>
      <c r="U494" s="107"/>
      <c r="V494" s="107"/>
    </row>
    <row r="495" spans="4:22" s="12" customFormat="1" x14ac:dyDescent="0.2">
      <c r="D495" s="107"/>
      <c r="E495" s="35"/>
      <c r="F495" s="36"/>
      <c r="G495" s="37"/>
      <c r="H495" s="38"/>
      <c r="I495" s="39"/>
      <c r="J495" s="39"/>
      <c r="K495" s="35"/>
      <c r="L495" s="107"/>
      <c r="M495" s="40"/>
      <c r="O495" s="107"/>
      <c r="P495" s="22"/>
      <c r="R495" s="107"/>
      <c r="S495" s="107"/>
      <c r="T495" s="107"/>
      <c r="U495" s="107"/>
      <c r="V495" s="107"/>
    </row>
    <row r="496" spans="4:22" s="12" customFormat="1" x14ac:dyDescent="0.2">
      <c r="D496" s="107"/>
      <c r="E496" s="35"/>
      <c r="F496" s="36"/>
      <c r="G496" s="37"/>
      <c r="H496" s="38"/>
      <c r="I496" s="39"/>
      <c r="J496" s="39"/>
      <c r="K496" s="35"/>
      <c r="L496" s="107"/>
      <c r="M496" s="40"/>
      <c r="O496" s="107"/>
      <c r="P496" s="22"/>
      <c r="R496" s="107"/>
      <c r="S496" s="107"/>
      <c r="T496" s="107"/>
      <c r="U496" s="107"/>
      <c r="V496" s="107"/>
    </row>
    <row r="497" spans="4:22" s="12" customFormat="1" x14ac:dyDescent="0.2">
      <c r="D497" s="107"/>
      <c r="E497" s="35"/>
      <c r="F497" s="36"/>
      <c r="G497" s="37"/>
      <c r="H497" s="38"/>
      <c r="I497" s="39"/>
      <c r="J497" s="39"/>
      <c r="K497" s="35"/>
      <c r="L497" s="107"/>
      <c r="M497" s="40"/>
      <c r="O497" s="107"/>
      <c r="P497" s="22"/>
      <c r="R497" s="107"/>
      <c r="S497" s="107"/>
      <c r="T497" s="107"/>
      <c r="U497" s="107"/>
      <c r="V497" s="107"/>
    </row>
    <row r="498" spans="4:22" s="12" customFormat="1" x14ac:dyDescent="0.2">
      <c r="D498" s="107"/>
      <c r="E498" s="35"/>
      <c r="F498" s="36"/>
      <c r="G498" s="37"/>
      <c r="H498" s="38"/>
      <c r="I498" s="39"/>
      <c r="J498" s="39"/>
      <c r="K498" s="35"/>
      <c r="L498" s="107"/>
      <c r="M498" s="40"/>
      <c r="O498" s="107"/>
      <c r="P498" s="22"/>
      <c r="R498" s="107"/>
      <c r="S498" s="107"/>
      <c r="T498" s="107"/>
      <c r="U498" s="107"/>
      <c r="V498" s="107"/>
    </row>
    <row r="499" spans="4:22" s="12" customFormat="1" x14ac:dyDescent="0.2">
      <c r="D499" s="107"/>
      <c r="E499" s="35"/>
      <c r="F499" s="36"/>
      <c r="G499" s="37"/>
      <c r="H499" s="38"/>
      <c r="I499" s="39"/>
      <c r="J499" s="39"/>
      <c r="K499" s="35"/>
      <c r="L499" s="107"/>
      <c r="M499" s="40"/>
      <c r="O499" s="107"/>
      <c r="P499" s="22"/>
      <c r="R499" s="107"/>
      <c r="S499" s="107"/>
      <c r="T499" s="107"/>
      <c r="U499" s="107"/>
      <c r="V499" s="107"/>
    </row>
    <row r="500" spans="4:22" s="12" customFormat="1" x14ac:dyDescent="0.2">
      <c r="D500" s="107"/>
      <c r="E500" s="35"/>
      <c r="F500" s="36"/>
      <c r="G500" s="37"/>
      <c r="H500" s="38"/>
      <c r="I500" s="39"/>
      <c r="J500" s="39"/>
      <c r="K500" s="35"/>
      <c r="L500" s="107"/>
      <c r="M500" s="40"/>
      <c r="O500" s="107"/>
      <c r="P500" s="22"/>
      <c r="R500" s="107"/>
      <c r="S500" s="107"/>
      <c r="T500" s="107"/>
      <c r="U500" s="107"/>
      <c r="V500" s="107"/>
    </row>
  </sheetData>
  <mergeCells count="55">
    <mergeCell ref="A52:C52"/>
    <mergeCell ref="A46:C46"/>
    <mergeCell ref="A47:C47"/>
    <mergeCell ref="A48:C48"/>
    <mergeCell ref="A49:C49"/>
    <mergeCell ref="A50:C50"/>
    <mergeCell ref="A51:C51"/>
    <mergeCell ref="A45:C45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21:C21"/>
    <mergeCell ref="A13:C13"/>
    <mergeCell ref="R13:T13"/>
    <mergeCell ref="A14:C14"/>
    <mergeCell ref="R14:T14"/>
    <mergeCell ref="A15:C15"/>
    <mergeCell ref="R15:T15"/>
    <mergeCell ref="A16:C16"/>
    <mergeCell ref="R16:T16"/>
    <mergeCell ref="A17:C17"/>
    <mergeCell ref="R17:T17"/>
    <mergeCell ref="A18:C18"/>
    <mergeCell ref="A10:C10"/>
    <mergeCell ref="R10:T10"/>
    <mergeCell ref="A11:C11"/>
    <mergeCell ref="R11:T11"/>
    <mergeCell ref="A12:C12"/>
    <mergeCell ref="R12:T12"/>
    <mergeCell ref="A7:C7"/>
    <mergeCell ref="R7:T7"/>
    <mergeCell ref="A8:C8"/>
    <mergeCell ref="R8:T8"/>
    <mergeCell ref="A9:C9"/>
    <mergeCell ref="R9:T9"/>
    <mergeCell ref="A4:C4"/>
    <mergeCell ref="R4:T4"/>
    <mergeCell ref="A5:C5"/>
    <mergeCell ref="R5:T5"/>
    <mergeCell ref="A6:C6"/>
    <mergeCell ref="R6:T6"/>
    <mergeCell ref="A1:B1"/>
    <mergeCell ref="R1:T1"/>
    <mergeCell ref="A2:B2"/>
    <mergeCell ref="R2:T2"/>
    <mergeCell ref="A3:C3"/>
    <mergeCell ref="R3:T3"/>
  </mergeCells>
  <conditionalFormatting sqref="L2">
    <cfRule type="cellIs" dxfId="23" priority="4" operator="equal">
      <formula>"EARLY"</formula>
    </cfRule>
    <cfRule type="cellIs" dxfId="22" priority="5" operator="equal">
      <formula>"DEF"</formula>
    </cfRule>
    <cfRule type="cellIs" dxfId="21" priority="6" operator="equal">
      <formula>"LATE"</formula>
    </cfRule>
  </conditionalFormatting>
  <conditionalFormatting sqref="L2:L123">
    <cfRule type="expression" dxfId="20" priority="1">
      <formula>K2="Paid"</formula>
    </cfRule>
    <cfRule type="expression" dxfId="19" priority="2">
      <formula>K2="Check!"</formula>
    </cfRule>
    <cfRule type="expression" dxfId="18" priority="3">
      <formula>K2="Waiting"</formula>
    </cfRule>
  </conditionalFormatting>
  <conditionalFormatting sqref="L3:L300">
    <cfRule type="cellIs" dxfId="17" priority="7" operator="equal">
      <formula>"EARLY"</formula>
    </cfRule>
    <cfRule type="cellIs" dxfId="16" priority="8" operator="equal">
      <formula>"DEF"</formula>
    </cfRule>
    <cfRule type="cellIs" dxfId="15" priority="9" operator="equal">
      <formula>"LATE"</formula>
    </cfRule>
  </conditionalFormatting>
  <conditionalFormatting sqref="L134:L578">
    <cfRule type="expression" dxfId="14" priority="10">
      <formula>K134="Paid"</formula>
    </cfRule>
    <cfRule type="expression" dxfId="13" priority="11">
      <formula>K134="Check!"</formula>
    </cfRule>
    <cfRule type="expression" dxfId="12" priority="12">
      <formula>K134="Waiting"</formula>
    </cfRule>
  </conditionalFormatting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DBD81-DA88-418F-97CA-3239A3AEC759}">
  <sheetPr>
    <tabColor theme="1" tint="4.9989318521683403E-2"/>
  </sheetPr>
  <dimension ref="A1:V500"/>
  <sheetViews>
    <sheetView topLeftCell="G29" zoomScale="130" zoomScaleNormal="130" workbookViewId="0">
      <selection activeCell="A26" sqref="A26"/>
    </sheetView>
  </sheetViews>
  <sheetFormatPr defaultColWidth="8.7421875" defaultRowHeight="15" x14ac:dyDescent="0.2"/>
  <cols>
    <col min="1" max="3" width="15.6015625" style="41" customWidth="1"/>
    <col min="4" max="4" width="2.6875" style="42" customWidth="1"/>
    <col min="5" max="5" width="5.6484375" style="7" customWidth="1"/>
    <col min="6" max="6" width="12.64453125" style="43" customWidth="1"/>
    <col min="7" max="7" width="12.64453125" style="44" customWidth="1"/>
    <col min="8" max="8" width="15.6015625" style="45" customWidth="1"/>
    <col min="9" max="10" width="15.6015625" style="46" customWidth="1"/>
    <col min="11" max="11" width="7.6640625" style="7" customWidth="1"/>
    <col min="12" max="12" width="5.6484375" style="104" customWidth="1"/>
    <col min="13" max="13" width="15.6015625" style="47" customWidth="1"/>
    <col min="14" max="14" width="10.35546875" style="41" customWidth="1"/>
    <col min="15" max="15" width="2.6875" style="42" customWidth="1"/>
    <col min="16" max="16" width="10.35546875" style="48" customWidth="1"/>
    <col min="17" max="17" width="10.35546875" style="26" customWidth="1"/>
    <col min="18" max="20" width="11.8359375" style="42" customWidth="1"/>
    <col min="21" max="22" width="8.47265625" style="42" customWidth="1"/>
    <col min="23" max="24" width="8.47265625" style="41" customWidth="1"/>
    <col min="25" max="16384" width="8.7421875" style="41"/>
  </cols>
  <sheetData>
    <row r="1" spans="1:22" s="12" customFormat="1" ht="23.1" customHeight="1" x14ac:dyDescent="0.2">
      <c r="A1" s="233" t="s">
        <v>17</v>
      </c>
      <c r="B1" s="233"/>
      <c r="C1" s="178" t="s">
        <v>18</v>
      </c>
      <c r="D1" s="99"/>
      <c r="E1" s="178" t="s">
        <v>19</v>
      </c>
      <c r="F1" s="175" t="s">
        <v>20</v>
      </c>
      <c r="G1" s="145" t="s">
        <v>21</v>
      </c>
      <c r="H1" s="146" t="s">
        <v>22</v>
      </c>
      <c r="I1" s="136" t="s">
        <v>23</v>
      </c>
      <c r="J1" s="136" t="s">
        <v>24</v>
      </c>
      <c r="K1" s="136" t="s">
        <v>25</v>
      </c>
      <c r="L1" s="136" t="s">
        <v>26</v>
      </c>
      <c r="M1" s="147" t="s">
        <v>110</v>
      </c>
      <c r="N1" s="136" t="s">
        <v>111</v>
      </c>
      <c r="O1" s="89"/>
      <c r="P1" s="148" t="s">
        <v>28</v>
      </c>
      <c r="Q1" s="138" t="s">
        <v>29</v>
      </c>
      <c r="R1" s="226" t="s">
        <v>112</v>
      </c>
      <c r="S1" s="226"/>
      <c r="T1" s="226"/>
      <c r="U1" s="107"/>
      <c r="V1" s="107"/>
    </row>
    <row r="2" spans="1:22" s="12" customFormat="1" ht="19.149999999999999" customHeight="1" x14ac:dyDescent="0.2">
      <c r="A2" s="232">
        <f>SUMIFS(J2:J300,F2:F300,"&lt;&gt;")+B19+A19+C2</f>
        <v>1067.2</v>
      </c>
      <c r="B2" s="232"/>
      <c r="C2" s="176">
        <v>0</v>
      </c>
      <c r="D2" s="107"/>
      <c r="E2" s="14">
        <v>3</v>
      </c>
      <c r="F2" s="24"/>
      <c r="G2" s="25">
        <v>45516</v>
      </c>
      <c r="H2" s="17">
        <v>2000</v>
      </c>
      <c r="I2" s="18">
        <v>64.8</v>
      </c>
      <c r="J2" s="19">
        <f>SUM(H2:I2)</f>
        <v>2064.8000000000002</v>
      </c>
      <c r="K2" s="56" t="s">
        <v>31</v>
      </c>
      <c r="L2" s="100"/>
      <c r="M2" s="20" t="s">
        <v>212</v>
      </c>
      <c r="N2" s="21">
        <v>12.96</v>
      </c>
      <c r="O2" s="107"/>
      <c r="P2" s="22">
        <v>45778</v>
      </c>
      <c r="Q2" s="105">
        <f t="shared" ref="Q2:Q65" si="0">SUMIFS(J$2:J$1000, F$2:F$1000, "&gt;=" &amp; DATE(YEAR(P2), MONTH(P2), 1), F$2:F$1000, "&lt;=" &amp; EOMONTH(P2, 0))</f>
        <v>0</v>
      </c>
      <c r="R2" s="222"/>
      <c r="S2" s="222"/>
      <c r="T2" s="222"/>
      <c r="U2" s="107"/>
      <c r="V2" s="107"/>
    </row>
    <row r="3" spans="1:22" s="12" customFormat="1" ht="19.149999999999999" customHeight="1" thickBot="1" x14ac:dyDescent="0.25">
      <c r="A3" s="234"/>
      <c r="B3" s="234"/>
      <c r="C3" s="234"/>
      <c r="D3" s="107"/>
      <c r="E3" s="14">
        <v>4</v>
      </c>
      <c r="F3" s="24"/>
      <c r="G3" s="25">
        <v>45577</v>
      </c>
      <c r="H3" s="17">
        <v>1000</v>
      </c>
      <c r="I3" s="18">
        <v>48</v>
      </c>
      <c r="J3" s="19">
        <f t="shared" ref="J3:J10" si="1">SUM(H3:I3)</f>
        <v>1048</v>
      </c>
      <c r="K3" s="14" t="s">
        <v>31</v>
      </c>
      <c r="L3" s="100"/>
      <c r="M3" s="20" t="s">
        <v>212</v>
      </c>
      <c r="N3" s="21">
        <v>14.4</v>
      </c>
      <c r="O3" s="107"/>
      <c r="P3" s="22">
        <v>45809</v>
      </c>
      <c r="Q3" s="105">
        <f t="shared" si="0"/>
        <v>0</v>
      </c>
      <c r="R3" s="225" t="s">
        <v>115</v>
      </c>
      <c r="S3" s="225"/>
      <c r="T3" s="225"/>
      <c r="U3" s="107"/>
      <c r="V3" s="107"/>
    </row>
    <row r="4" spans="1:22" s="12" customFormat="1" ht="19.149999999999999" customHeight="1" x14ac:dyDescent="0.2">
      <c r="A4" s="230" t="s">
        <v>116</v>
      </c>
      <c r="B4" s="230"/>
      <c r="C4" s="230"/>
      <c r="D4" s="107"/>
      <c r="E4" s="14">
        <v>6</v>
      </c>
      <c r="F4" s="24"/>
      <c r="G4" s="25">
        <v>45603</v>
      </c>
      <c r="H4" s="17">
        <v>1000</v>
      </c>
      <c r="I4" s="18">
        <v>64.8</v>
      </c>
      <c r="J4" s="19">
        <f t="shared" si="1"/>
        <v>1064.8</v>
      </c>
      <c r="K4" s="14" t="s">
        <v>31</v>
      </c>
      <c r="L4" s="100"/>
      <c r="M4" s="20" t="s">
        <v>212</v>
      </c>
      <c r="N4" s="21">
        <v>12.96</v>
      </c>
      <c r="O4" s="107"/>
      <c r="P4" s="22">
        <v>45839</v>
      </c>
      <c r="Q4" s="105">
        <f t="shared" si="0"/>
        <v>0</v>
      </c>
      <c r="R4" s="222" t="s">
        <v>118</v>
      </c>
      <c r="S4" s="222"/>
      <c r="T4" s="222"/>
      <c r="U4" s="107"/>
      <c r="V4" s="107"/>
    </row>
    <row r="5" spans="1:22" s="12" customFormat="1" ht="19.149999999999999" customHeight="1" x14ac:dyDescent="0.2">
      <c r="A5" s="218" t="s">
        <v>214</v>
      </c>
      <c r="B5" s="219"/>
      <c r="C5" s="219"/>
      <c r="D5" s="107"/>
      <c r="E5" s="14">
        <v>3</v>
      </c>
      <c r="F5" s="24"/>
      <c r="G5" s="25">
        <v>45604</v>
      </c>
      <c r="H5" s="17">
        <v>1000</v>
      </c>
      <c r="I5" s="18">
        <v>32.4</v>
      </c>
      <c r="J5" s="19">
        <f t="shared" si="1"/>
        <v>1032.4000000000001</v>
      </c>
      <c r="K5" s="14" t="s">
        <v>31</v>
      </c>
      <c r="L5" s="100"/>
      <c r="M5" s="20" t="s">
        <v>212</v>
      </c>
      <c r="N5" s="21">
        <v>12.96</v>
      </c>
      <c r="O5" s="107"/>
      <c r="P5" s="22">
        <v>45870</v>
      </c>
      <c r="Q5" s="105">
        <f t="shared" si="0"/>
        <v>0</v>
      </c>
      <c r="R5" s="222" t="s">
        <v>120</v>
      </c>
      <c r="S5" s="222"/>
      <c r="T5" s="222"/>
      <c r="U5" s="107"/>
      <c r="V5" s="107"/>
    </row>
    <row r="6" spans="1:22" s="12" customFormat="1" ht="19.149999999999999" customHeight="1" x14ac:dyDescent="0.2">
      <c r="A6" s="216" t="s">
        <v>134</v>
      </c>
      <c r="B6" s="217"/>
      <c r="C6" s="217"/>
      <c r="D6" s="107"/>
      <c r="E6" s="14">
        <v>6</v>
      </c>
      <c r="F6" s="24"/>
      <c r="G6" s="25">
        <v>45612</v>
      </c>
      <c r="H6" s="17">
        <v>2000</v>
      </c>
      <c r="I6" s="18">
        <v>115.2</v>
      </c>
      <c r="J6" s="19">
        <f t="shared" si="1"/>
        <v>2115.1999999999998</v>
      </c>
      <c r="K6" s="14" t="s">
        <v>31</v>
      </c>
      <c r="L6" s="100"/>
      <c r="M6" s="20" t="s">
        <v>212</v>
      </c>
      <c r="N6" s="21">
        <v>11.52</v>
      </c>
      <c r="O6" s="107"/>
      <c r="P6" s="22">
        <v>45901</v>
      </c>
      <c r="Q6" s="105">
        <f t="shared" si="0"/>
        <v>0</v>
      </c>
      <c r="R6" s="222" t="s">
        <v>123</v>
      </c>
      <c r="S6" s="222"/>
      <c r="T6" s="222"/>
      <c r="U6" s="107"/>
      <c r="V6" s="107"/>
    </row>
    <row r="7" spans="1:22" s="12" customFormat="1" ht="19.149999999999999" customHeight="1" x14ac:dyDescent="0.2">
      <c r="A7" s="214"/>
      <c r="B7" s="215"/>
      <c r="C7" s="215"/>
      <c r="D7" s="107"/>
      <c r="E7" s="14">
        <v>4</v>
      </c>
      <c r="F7" s="24"/>
      <c r="G7" s="25">
        <v>45613</v>
      </c>
      <c r="H7" s="17">
        <v>1000</v>
      </c>
      <c r="I7" s="18">
        <v>43.2</v>
      </c>
      <c r="J7" s="19">
        <f t="shared" si="1"/>
        <v>1043.2</v>
      </c>
      <c r="K7" s="14" t="s">
        <v>31</v>
      </c>
      <c r="L7" s="100"/>
      <c r="M7" s="20" t="s">
        <v>212</v>
      </c>
      <c r="N7" s="21">
        <v>12.96</v>
      </c>
      <c r="O7" s="107"/>
      <c r="P7" s="22">
        <v>45931</v>
      </c>
      <c r="Q7" s="105">
        <f t="shared" si="0"/>
        <v>0</v>
      </c>
      <c r="R7" s="222" t="s">
        <v>125</v>
      </c>
      <c r="S7" s="222"/>
      <c r="T7" s="222"/>
      <c r="U7" s="107"/>
      <c r="V7" s="107"/>
    </row>
    <row r="8" spans="1:22" s="12" customFormat="1" ht="19.149999999999999" customHeight="1" x14ac:dyDescent="0.2">
      <c r="A8" s="216" t="s">
        <v>254</v>
      </c>
      <c r="B8" s="217"/>
      <c r="C8" s="217"/>
      <c r="D8" s="107"/>
      <c r="E8" s="14">
        <v>4</v>
      </c>
      <c r="F8" s="24"/>
      <c r="G8" s="25">
        <v>45613</v>
      </c>
      <c r="H8" s="17">
        <v>1000</v>
      </c>
      <c r="I8" s="18">
        <v>43.2</v>
      </c>
      <c r="J8" s="19">
        <f t="shared" ref="J8" si="2">SUM(H8:I8)</f>
        <v>1043.2</v>
      </c>
      <c r="K8" s="14" t="s">
        <v>31</v>
      </c>
      <c r="L8" s="100"/>
      <c r="M8" s="20" t="s">
        <v>212</v>
      </c>
      <c r="N8" s="21">
        <v>12.96</v>
      </c>
      <c r="O8" s="107"/>
      <c r="P8" s="22">
        <v>45962</v>
      </c>
      <c r="Q8" s="105">
        <f t="shared" si="0"/>
        <v>0</v>
      </c>
      <c r="R8" s="223"/>
      <c r="S8" s="223"/>
      <c r="T8" s="223"/>
      <c r="U8" s="107"/>
      <c r="V8" s="107"/>
    </row>
    <row r="9" spans="1:22" s="12" customFormat="1" ht="19.149999999999999" customHeight="1" x14ac:dyDescent="0.2">
      <c r="A9" s="216" t="s">
        <v>233</v>
      </c>
      <c r="B9" s="217"/>
      <c r="C9" s="217"/>
      <c r="D9" s="107"/>
      <c r="E9" s="14">
        <v>6</v>
      </c>
      <c r="F9" s="24"/>
      <c r="G9" s="25">
        <v>45615</v>
      </c>
      <c r="H9" s="17">
        <v>1000</v>
      </c>
      <c r="I9" s="18">
        <v>69.599999999999994</v>
      </c>
      <c r="J9" s="19">
        <f t="shared" si="1"/>
        <v>1069.5999999999999</v>
      </c>
      <c r="K9" s="14" t="s">
        <v>31</v>
      </c>
      <c r="L9" s="100"/>
      <c r="M9" s="20" t="s">
        <v>212</v>
      </c>
      <c r="N9" s="21">
        <v>13.92</v>
      </c>
      <c r="O9" s="107"/>
      <c r="P9" s="22">
        <v>45992</v>
      </c>
      <c r="Q9" s="105">
        <f t="shared" si="0"/>
        <v>0</v>
      </c>
      <c r="R9" s="224"/>
      <c r="S9" s="224"/>
      <c r="T9" s="224"/>
      <c r="U9" s="107"/>
      <c r="V9" s="107"/>
    </row>
    <row r="10" spans="1:22" s="12" customFormat="1" ht="19.149999999999999" customHeight="1" x14ac:dyDescent="0.2">
      <c r="A10" s="216" t="s">
        <v>255</v>
      </c>
      <c r="B10" s="217"/>
      <c r="C10" s="217"/>
      <c r="D10" s="107"/>
      <c r="E10" s="14">
        <v>6</v>
      </c>
      <c r="F10" s="24"/>
      <c r="G10" s="25">
        <v>45615</v>
      </c>
      <c r="H10" s="17">
        <v>2000</v>
      </c>
      <c r="I10" s="18">
        <v>139.19999999999999</v>
      </c>
      <c r="J10" s="19">
        <f t="shared" si="1"/>
        <v>2139.1999999999998</v>
      </c>
      <c r="K10" s="14" t="s">
        <v>31</v>
      </c>
      <c r="L10" s="100"/>
      <c r="M10" s="20" t="s">
        <v>212</v>
      </c>
      <c r="N10" s="21">
        <v>13.92</v>
      </c>
      <c r="O10" s="107"/>
      <c r="P10" s="22">
        <v>46023</v>
      </c>
      <c r="Q10" s="105">
        <f t="shared" si="0"/>
        <v>0</v>
      </c>
      <c r="R10" s="225" t="s">
        <v>130</v>
      </c>
      <c r="S10" s="225"/>
      <c r="T10" s="225"/>
      <c r="U10" s="107"/>
      <c r="V10" s="107"/>
    </row>
    <row r="11" spans="1:22" s="12" customFormat="1" ht="19.149999999999999" customHeight="1" x14ac:dyDescent="0.2">
      <c r="A11" s="218" t="s">
        <v>256</v>
      </c>
      <c r="B11" s="219"/>
      <c r="C11" s="219"/>
      <c r="D11" s="107"/>
      <c r="E11" s="14">
        <v>6</v>
      </c>
      <c r="F11" s="24"/>
      <c r="G11" s="25">
        <v>45624</v>
      </c>
      <c r="H11" s="17">
        <v>2000</v>
      </c>
      <c r="I11" s="18">
        <v>115.2</v>
      </c>
      <c r="J11" s="19">
        <f t="shared" ref="J11" si="3">SUM(H11:I11)</f>
        <v>2115.1999999999998</v>
      </c>
      <c r="K11" s="14" t="s">
        <v>31</v>
      </c>
      <c r="L11" s="100"/>
      <c r="M11" s="20" t="s">
        <v>212</v>
      </c>
      <c r="N11" s="21">
        <v>11.52</v>
      </c>
      <c r="O11" s="107"/>
      <c r="P11" s="22">
        <v>46054</v>
      </c>
      <c r="Q11" s="105">
        <f t="shared" si="0"/>
        <v>0</v>
      </c>
      <c r="R11" s="222" t="s">
        <v>133</v>
      </c>
      <c r="S11" s="222"/>
      <c r="T11" s="222"/>
      <c r="U11" s="107"/>
      <c r="V11" s="107"/>
    </row>
    <row r="12" spans="1:22" s="12" customFormat="1" ht="19.149999999999999" customHeight="1" x14ac:dyDescent="0.2">
      <c r="A12" s="216"/>
      <c r="B12" s="217"/>
      <c r="C12" s="217"/>
      <c r="D12" s="107"/>
      <c r="E12" s="14">
        <v>4</v>
      </c>
      <c r="F12" s="24"/>
      <c r="G12" s="25">
        <v>45624</v>
      </c>
      <c r="H12" s="17">
        <v>1000</v>
      </c>
      <c r="I12" s="18">
        <v>40</v>
      </c>
      <c r="J12" s="19">
        <f t="shared" ref="J12:J18" si="4">SUM(H12:I12)</f>
        <v>1040</v>
      </c>
      <c r="K12" s="14" t="s">
        <v>31</v>
      </c>
      <c r="L12" s="100"/>
      <c r="M12" s="20" t="s">
        <v>212</v>
      </c>
      <c r="N12" s="21">
        <v>12</v>
      </c>
      <c r="O12" s="107"/>
      <c r="P12" s="22">
        <v>46082</v>
      </c>
      <c r="Q12" s="105">
        <f t="shared" si="0"/>
        <v>0</v>
      </c>
      <c r="R12" s="222" t="s">
        <v>136</v>
      </c>
      <c r="S12" s="222"/>
      <c r="T12" s="222"/>
      <c r="U12" s="107"/>
      <c r="V12" s="107"/>
    </row>
    <row r="13" spans="1:22" s="12" customFormat="1" ht="19.149999999999999" customHeight="1" x14ac:dyDescent="0.2">
      <c r="A13" s="216" t="s">
        <v>257</v>
      </c>
      <c r="B13" s="217"/>
      <c r="C13" s="217"/>
      <c r="D13" s="107"/>
      <c r="E13" s="14">
        <v>4</v>
      </c>
      <c r="F13" s="24"/>
      <c r="G13" s="25">
        <v>45624</v>
      </c>
      <c r="H13" s="17">
        <v>1000</v>
      </c>
      <c r="I13" s="18">
        <v>49.6</v>
      </c>
      <c r="J13" s="19">
        <f t="shared" si="4"/>
        <v>1049.5999999999999</v>
      </c>
      <c r="K13" s="14" t="s">
        <v>31</v>
      </c>
      <c r="L13" s="100"/>
      <c r="M13" s="20" t="s">
        <v>212</v>
      </c>
      <c r="N13" s="21">
        <v>14.88</v>
      </c>
      <c r="O13" s="107"/>
      <c r="P13" s="22">
        <v>46113</v>
      </c>
      <c r="Q13" s="105">
        <f t="shared" si="0"/>
        <v>0</v>
      </c>
      <c r="R13" s="222" t="s">
        <v>138</v>
      </c>
      <c r="S13" s="222"/>
      <c r="T13" s="222"/>
      <c r="U13" s="107"/>
      <c r="V13" s="107"/>
    </row>
    <row r="14" spans="1:22" s="12" customFormat="1" ht="19.149999999999999" customHeight="1" x14ac:dyDescent="0.2">
      <c r="A14" s="218" t="s">
        <v>258</v>
      </c>
      <c r="B14" s="219"/>
      <c r="C14" s="219"/>
      <c r="D14" s="107"/>
      <c r="E14" s="14">
        <v>4</v>
      </c>
      <c r="F14" s="24"/>
      <c r="G14" s="25">
        <v>45624</v>
      </c>
      <c r="H14" s="17">
        <v>1000</v>
      </c>
      <c r="I14" s="18">
        <v>43.2</v>
      </c>
      <c r="J14" s="19">
        <f t="shared" si="4"/>
        <v>1043.2</v>
      </c>
      <c r="K14" s="14" t="s">
        <v>31</v>
      </c>
      <c r="L14" s="100"/>
      <c r="M14" s="20" t="s">
        <v>212</v>
      </c>
      <c r="N14" s="21">
        <v>12.96</v>
      </c>
      <c r="O14" s="107"/>
      <c r="P14" s="22">
        <v>46143</v>
      </c>
      <c r="Q14" s="105">
        <f t="shared" si="0"/>
        <v>0</v>
      </c>
      <c r="R14" s="222" t="s">
        <v>140</v>
      </c>
      <c r="S14" s="222"/>
      <c r="T14" s="222"/>
      <c r="U14" s="107"/>
      <c r="V14" s="107"/>
    </row>
    <row r="15" spans="1:22" s="12" customFormat="1" ht="19.149999999999999" customHeight="1" x14ac:dyDescent="0.2">
      <c r="A15" s="216" t="s">
        <v>259</v>
      </c>
      <c r="B15" s="217"/>
      <c r="C15" s="217"/>
      <c r="D15" s="107"/>
      <c r="E15" s="14">
        <v>6</v>
      </c>
      <c r="F15" s="24"/>
      <c r="G15" s="25">
        <v>45625</v>
      </c>
      <c r="H15" s="17">
        <v>2000</v>
      </c>
      <c r="I15" s="18">
        <v>115.2</v>
      </c>
      <c r="J15" s="19">
        <f t="shared" si="4"/>
        <v>2115.1999999999998</v>
      </c>
      <c r="K15" s="14" t="s">
        <v>31</v>
      </c>
      <c r="L15" s="100"/>
      <c r="M15" s="20" t="s">
        <v>212</v>
      </c>
      <c r="N15" s="21">
        <v>11.52</v>
      </c>
      <c r="O15" s="107"/>
      <c r="P15" s="22">
        <v>46174</v>
      </c>
      <c r="Q15" s="105">
        <f t="shared" si="0"/>
        <v>0</v>
      </c>
      <c r="R15" s="222" t="s">
        <v>142</v>
      </c>
      <c r="S15" s="222"/>
      <c r="T15" s="222"/>
      <c r="U15" s="107"/>
      <c r="V15" s="107"/>
    </row>
    <row r="16" spans="1:22" s="12" customFormat="1" ht="19.149999999999999" customHeight="1" x14ac:dyDescent="0.2">
      <c r="A16" s="118">
        <v>0</v>
      </c>
      <c r="B16" s="118">
        <v>0</v>
      </c>
      <c r="C16" s="116" t="s">
        <v>148</v>
      </c>
      <c r="D16" s="107"/>
      <c r="E16" s="14">
        <v>6</v>
      </c>
      <c r="F16" s="24"/>
      <c r="G16" s="25" t="s">
        <v>260</v>
      </c>
      <c r="H16" s="17">
        <v>1000</v>
      </c>
      <c r="I16" s="18">
        <v>74.400000000000006</v>
      </c>
      <c r="J16" s="19">
        <f t="shared" si="4"/>
        <v>1074.4000000000001</v>
      </c>
      <c r="K16" s="14" t="s">
        <v>31</v>
      </c>
      <c r="L16" s="100"/>
      <c r="M16" s="20" t="s">
        <v>212</v>
      </c>
      <c r="N16" s="21">
        <v>14.88</v>
      </c>
      <c r="O16" s="107"/>
      <c r="P16" s="22">
        <v>46204</v>
      </c>
      <c r="Q16" s="105">
        <f t="shared" si="0"/>
        <v>0</v>
      </c>
      <c r="R16" s="222" t="s">
        <v>144</v>
      </c>
      <c r="S16" s="222"/>
      <c r="T16" s="222"/>
      <c r="U16" s="107"/>
      <c r="V16" s="107"/>
    </row>
    <row r="17" spans="1:22" s="12" customFormat="1" ht="19.149999999999999" customHeight="1" x14ac:dyDescent="0.2">
      <c r="A17" s="177"/>
      <c r="B17" s="177"/>
      <c r="C17" s="177"/>
      <c r="D17" s="107"/>
      <c r="E17" s="14">
        <v>6</v>
      </c>
      <c r="F17" s="24"/>
      <c r="G17" s="25">
        <v>45628</v>
      </c>
      <c r="H17" s="17">
        <v>2000</v>
      </c>
      <c r="I17" s="18">
        <v>120</v>
      </c>
      <c r="J17" s="19">
        <f t="shared" si="4"/>
        <v>2120</v>
      </c>
      <c r="K17" s="14" t="s">
        <v>31</v>
      </c>
      <c r="L17" s="100"/>
      <c r="M17" s="20" t="s">
        <v>212</v>
      </c>
      <c r="N17" s="21">
        <v>12</v>
      </c>
      <c r="O17" s="107"/>
      <c r="P17" s="22">
        <v>46235</v>
      </c>
      <c r="Q17" s="105">
        <f t="shared" si="0"/>
        <v>0</v>
      </c>
      <c r="R17" s="223"/>
      <c r="S17" s="223"/>
      <c r="T17" s="223"/>
      <c r="U17" s="107"/>
      <c r="V17" s="107"/>
    </row>
    <row r="18" spans="1:22" s="12" customFormat="1" ht="19.149999999999999" customHeight="1" x14ac:dyDescent="0.2">
      <c r="A18" s="177"/>
      <c r="B18" s="177"/>
      <c r="C18" s="177"/>
      <c r="D18" s="107"/>
      <c r="E18" s="14">
        <v>6</v>
      </c>
      <c r="F18" s="24"/>
      <c r="G18" s="25">
        <v>45628</v>
      </c>
      <c r="H18" s="17">
        <v>1000</v>
      </c>
      <c r="I18" s="18">
        <v>74.400000000000006</v>
      </c>
      <c r="J18" s="19">
        <f t="shared" si="4"/>
        <v>1074.4000000000001</v>
      </c>
      <c r="K18" s="14" t="s">
        <v>31</v>
      </c>
      <c r="L18" s="100"/>
      <c r="M18" s="20" t="s">
        <v>212</v>
      </c>
      <c r="N18" s="21">
        <v>14.88</v>
      </c>
      <c r="O18" s="107"/>
      <c r="P18" s="22">
        <v>46266</v>
      </c>
      <c r="Q18" s="105">
        <f t="shared" si="0"/>
        <v>0</v>
      </c>
      <c r="R18" s="107"/>
      <c r="S18" s="107"/>
      <c r="T18" s="107"/>
      <c r="U18" s="107"/>
      <c r="V18" s="107"/>
    </row>
    <row r="19" spans="1:22" s="12" customFormat="1" ht="19.149999999999999" customHeight="1" x14ac:dyDescent="0.2">
      <c r="A19" s="177"/>
      <c r="B19" s="177"/>
      <c r="C19" s="177"/>
      <c r="D19" s="107"/>
      <c r="E19" s="14">
        <v>6</v>
      </c>
      <c r="F19" s="24"/>
      <c r="G19" s="25">
        <v>45630</v>
      </c>
      <c r="H19" s="17">
        <v>1000</v>
      </c>
      <c r="I19" s="18">
        <v>74.400000000000006</v>
      </c>
      <c r="J19" s="19">
        <f t="shared" ref="J19:J49" si="5">SUM(H19:I19)</f>
        <v>1074.4000000000001</v>
      </c>
      <c r="K19" s="14" t="s">
        <v>31</v>
      </c>
      <c r="L19" s="100"/>
      <c r="M19" s="20" t="s">
        <v>212</v>
      </c>
      <c r="N19" s="21">
        <v>14.88</v>
      </c>
      <c r="O19" s="107"/>
      <c r="P19" s="22">
        <v>46296</v>
      </c>
      <c r="Q19" s="105">
        <f t="shared" si="0"/>
        <v>0</v>
      </c>
      <c r="R19" s="107"/>
      <c r="S19" s="107"/>
      <c r="T19" s="107"/>
      <c r="U19" s="107"/>
      <c r="V19" s="107"/>
    </row>
    <row r="20" spans="1:22" s="12" customFormat="1" ht="19.149999999999999" customHeight="1" x14ac:dyDescent="0.2">
      <c r="A20" s="177"/>
      <c r="B20" s="177"/>
      <c r="C20" s="177"/>
      <c r="D20" s="107"/>
      <c r="E20" s="14">
        <v>4</v>
      </c>
      <c r="F20" s="24"/>
      <c r="G20" s="25">
        <v>45633</v>
      </c>
      <c r="H20" s="17">
        <v>1000</v>
      </c>
      <c r="I20" s="18">
        <v>48</v>
      </c>
      <c r="J20" s="19">
        <f t="shared" si="5"/>
        <v>1048</v>
      </c>
      <c r="K20" s="14" t="s">
        <v>31</v>
      </c>
      <c r="L20" s="100"/>
      <c r="M20" s="20" t="s">
        <v>212</v>
      </c>
      <c r="N20" s="21">
        <v>14.4</v>
      </c>
      <c r="O20" s="107"/>
      <c r="P20" s="22">
        <v>46327</v>
      </c>
      <c r="Q20" s="105">
        <f t="shared" si="0"/>
        <v>0</v>
      </c>
      <c r="R20" s="107"/>
      <c r="S20" s="107"/>
      <c r="T20" s="107"/>
      <c r="U20" s="107"/>
      <c r="V20" s="107"/>
    </row>
    <row r="21" spans="1:22" s="12" customFormat="1" ht="19.149999999999999" customHeight="1" x14ac:dyDescent="0.2">
      <c r="A21" s="240" t="s">
        <v>47</v>
      </c>
      <c r="B21" s="241"/>
      <c r="C21" s="242"/>
      <c r="D21" s="107"/>
      <c r="E21" s="14">
        <v>6</v>
      </c>
      <c r="F21" s="24"/>
      <c r="G21" s="25">
        <v>45635</v>
      </c>
      <c r="H21" s="17">
        <v>1000</v>
      </c>
      <c r="I21" s="18">
        <v>72</v>
      </c>
      <c r="J21" s="19">
        <f t="shared" si="5"/>
        <v>1072</v>
      </c>
      <c r="K21" s="14" t="s">
        <v>31</v>
      </c>
      <c r="L21" s="100"/>
      <c r="M21" s="20" t="s">
        <v>212</v>
      </c>
      <c r="N21" s="21">
        <v>14.4</v>
      </c>
      <c r="O21" s="107"/>
      <c r="P21" s="22">
        <v>46357</v>
      </c>
      <c r="Q21" s="105">
        <f t="shared" si="0"/>
        <v>0</v>
      </c>
      <c r="R21" s="107"/>
      <c r="S21" s="107"/>
      <c r="T21" s="107"/>
      <c r="U21" s="107"/>
      <c r="V21" s="107"/>
    </row>
    <row r="22" spans="1:22" s="12" customFormat="1" ht="19.149999999999999" customHeight="1" x14ac:dyDescent="0.2">
      <c r="A22" s="116" t="s">
        <v>22</v>
      </c>
      <c r="B22" s="116" t="s">
        <v>48</v>
      </c>
      <c r="C22" s="116" t="s">
        <v>49</v>
      </c>
      <c r="D22" s="107"/>
      <c r="E22" s="14">
        <v>6</v>
      </c>
      <c r="F22" s="24"/>
      <c r="G22" s="25">
        <v>45636</v>
      </c>
      <c r="H22" s="17">
        <v>2000</v>
      </c>
      <c r="I22" s="18">
        <v>124.8</v>
      </c>
      <c r="J22" s="19">
        <f t="shared" si="5"/>
        <v>2124.8000000000002</v>
      </c>
      <c r="K22" s="14" t="s">
        <v>31</v>
      </c>
      <c r="L22" s="100"/>
      <c r="M22" s="20" t="s">
        <v>212</v>
      </c>
      <c r="N22" s="21">
        <v>12.48</v>
      </c>
      <c r="O22" s="107"/>
      <c r="P22" s="22">
        <v>46388</v>
      </c>
      <c r="Q22" s="105">
        <f t="shared" si="0"/>
        <v>0</v>
      </c>
      <c r="R22" s="107"/>
      <c r="S22" s="107"/>
      <c r="T22" s="107"/>
      <c r="U22" s="107"/>
      <c r="V22" s="107"/>
    </row>
    <row r="23" spans="1:22" s="12" customFormat="1" ht="19.149999999999999" customHeight="1" x14ac:dyDescent="0.2">
      <c r="A23" s="139">
        <f>SUMIFS(H2:H500,F2:F500,"&lt;&gt;")</f>
        <v>1000</v>
      </c>
      <c r="B23" s="139">
        <f>SUMIFS(I2:I300,F2:F300,"&lt;&gt;")</f>
        <v>67.2</v>
      </c>
      <c r="C23" s="140">
        <f>COUNT(N2:N500, "?*")</f>
        <v>51</v>
      </c>
      <c r="D23" s="107"/>
      <c r="E23" s="14">
        <v>6</v>
      </c>
      <c r="F23" s="24"/>
      <c r="G23" s="25">
        <v>45638</v>
      </c>
      <c r="H23" s="17">
        <v>2000</v>
      </c>
      <c r="I23" s="18">
        <v>124.8</v>
      </c>
      <c r="J23" s="19">
        <f t="shared" si="5"/>
        <v>2124.8000000000002</v>
      </c>
      <c r="K23" s="14" t="s">
        <v>31</v>
      </c>
      <c r="L23" s="100"/>
      <c r="M23" s="20" t="s">
        <v>212</v>
      </c>
      <c r="N23" s="21">
        <v>12.48</v>
      </c>
      <c r="O23" s="107"/>
      <c r="P23" s="22">
        <v>46419</v>
      </c>
      <c r="Q23" s="105">
        <f t="shared" si="0"/>
        <v>0</v>
      </c>
      <c r="R23" s="107"/>
      <c r="S23" s="107"/>
      <c r="T23" s="107"/>
      <c r="U23" s="107"/>
      <c r="V23" s="107"/>
    </row>
    <row r="24" spans="1:22" s="12" customFormat="1" ht="19.149999999999999" customHeight="1" x14ac:dyDescent="0.2">
      <c r="A24" s="116" t="s">
        <v>261</v>
      </c>
      <c r="B24" s="116" t="s">
        <v>262</v>
      </c>
      <c r="C24" s="116" t="s">
        <v>263</v>
      </c>
      <c r="D24" s="107"/>
      <c r="E24" s="14">
        <v>6</v>
      </c>
      <c r="F24" s="24"/>
      <c r="G24" s="25">
        <v>45639</v>
      </c>
      <c r="H24" s="17">
        <v>2000</v>
      </c>
      <c r="I24" s="18">
        <v>124.8</v>
      </c>
      <c r="J24" s="19">
        <f t="shared" si="5"/>
        <v>2124.8000000000002</v>
      </c>
      <c r="K24" s="14" t="s">
        <v>31</v>
      </c>
      <c r="L24" s="100"/>
      <c r="M24" s="20" t="s">
        <v>212</v>
      </c>
      <c r="N24" s="21">
        <v>12.48</v>
      </c>
      <c r="O24" s="107"/>
      <c r="P24" s="22">
        <v>46447</v>
      </c>
      <c r="Q24" s="105">
        <f t="shared" si="0"/>
        <v>0</v>
      </c>
      <c r="R24" s="107"/>
      <c r="S24" s="107"/>
      <c r="T24" s="107"/>
      <c r="U24" s="107"/>
      <c r="V24" s="107"/>
    </row>
    <row r="25" spans="1:22" s="12" customFormat="1" ht="19.149999999999999" customHeight="1" x14ac:dyDescent="0.2">
      <c r="A25" s="141">
        <f>(B25*100/C25)*12</f>
        <v>13.439999999999998</v>
      </c>
      <c r="B25" s="139" t="str">
        <f>TEXT(B23/A23, "0.00%")</f>
        <v>6.72%</v>
      </c>
      <c r="C25" s="142" cm="1">
        <f t="array" ref="C25">SUMPRODUCT((F2:F500&lt;&gt;"")*H2:H500*E2:E500)/SUMPRODUCT((F2:F500&lt;&gt;"")*H2:H500)</f>
        <v>6</v>
      </c>
      <c r="D25" s="107"/>
      <c r="E25" s="14">
        <v>6</v>
      </c>
      <c r="F25" s="24"/>
      <c r="G25" s="25">
        <v>45639</v>
      </c>
      <c r="H25" s="17">
        <v>1000</v>
      </c>
      <c r="I25" s="18">
        <v>67.2</v>
      </c>
      <c r="J25" s="19">
        <f t="shared" si="5"/>
        <v>1067.2</v>
      </c>
      <c r="K25" s="14" t="s">
        <v>31</v>
      </c>
      <c r="L25" s="100"/>
      <c r="M25" s="20" t="s">
        <v>212</v>
      </c>
      <c r="N25" s="21">
        <v>13.44</v>
      </c>
      <c r="O25" s="107"/>
      <c r="P25" s="22">
        <v>46478</v>
      </c>
      <c r="Q25" s="105">
        <f t="shared" si="0"/>
        <v>0</v>
      </c>
      <c r="R25" s="107"/>
      <c r="S25" s="107"/>
      <c r="T25" s="107"/>
      <c r="U25" s="107"/>
      <c r="V25" s="107"/>
    </row>
    <row r="26" spans="1:22" s="12" customFormat="1" ht="19.149999999999999" customHeight="1" x14ac:dyDescent="0.2">
      <c r="A26" s="122" t="s">
        <v>53</v>
      </c>
      <c r="B26" s="123" t="s">
        <v>54</v>
      </c>
      <c r="C26" s="116" t="s">
        <v>55</v>
      </c>
      <c r="D26" s="107"/>
      <c r="E26" s="14">
        <v>5</v>
      </c>
      <c r="F26" s="24"/>
      <c r="G26" s="25">
        <v>45642</v>
      </c>
      <c r="H26" s="17">
        <v>1000</v>
      </c>
      <c r="I26" s="18">
        <v>58</v>
      </c>
      <c r="J26" s="19">
        <f t="shared" si="5"/>
        <v>1058</v>
      </c>
      <c r="K26" s="14" t="s">
        <v>31</v>
      </c>
      <c r="L26" s="100"/>
      <c r="M26" s="20" t="s">
        <v>212</v>
      </c>
      <c r="N26" s="21">
        <v>13.92</v>
      </c>
      <c r="O26" s="107"/>
      <c r="P26" s="22">
        <v>46508</v>
      </c>
      <c r="Q26" s="105">
        <f t="shared" si="0"/>
        <v>0</v>
      </c>
      <c r="R26" s="107"/>
      <c r="S26" s="107"/>
      <c r="T26" s="107"/>
      <c r="U26" s="107"/>
      <c r="V26" s="107"/>
    </row>
    <row r="27" spans="1:22" s="12" customFormat="1" ht="19.149999999999999" customHeight="1" x14ac:dyDescent="0.2">
      <c r="A27" s="143">
        <f ca="1">COUNTIF(K2:K500, "CHECK!")</f>
        <v>1</v>
      </c>
      <c r="B27" s="143">
        <f ca="1">COUNTIF(K2:K500, "WAITING")</f>
        <v>0</v>
      </c>
      <c r="C27" s="143">
        <f ca="1">COUNTIF(K2:K500, "Paid")</f>
        <v>50</v>
      </c>
      <c r="D27" s="107"/>
      <c r="E27" s="14">
        <v>5</v>
      </c>
      <c r="F27" s="24"/>
      <c r="G27" s="25">
        <v>45642</v>
      </c>
      <c r="H27" s="17">
        <v>1000</v>
      </c>
      <c r="I27" s="18">
        <v>58</v>
      </c>
      <c r="J27" s="19">
        <f t="shared" si="5"/>
        <v>1058</v>
      </c>
      <c r="K27" s="14" t="s">
        <v>31</v>
      </c>
      <c r="L27" s="100"/>
      <c r="M27" s="20" t="s">
        <v>212</v>
      </c>
      <c r="N27" s="21">
        <v>13.92</v>
      </c>
      <c r="O27" s="107"/>
      <c r="P27" s="22">
        <v>46539</v>
      </c>
      <c r="Q27" s="105">
        <f t="shared" si="0"/>
        <v>0</v>
      </c>
      <c r="R27" s="107"/>
      <c r="S27" s="107"/>
      <c r="T27" s="107"/>
      <c r="U27" s="107"/>
      <c r="V27" s="107"/>
    </row>
    <row r="28" spans="1:22" s="12" customFormat="1" ht="19.149999999999999" customHeight="1" x14ac:dyDescent="0.2">
      <c r="A28" s="116" t="s">
        <v>264</v>
      </c>
      <c r="B28" s="177"/>
      <c r="C28" s="116" t="s">
        <v>265</v>
      </c>
      <c r="D28" s="107"/>
      <c r="E28" s="14">
        <v>7</v>
      </c>
      <c r="F28" s="24"/>
      <c r="G28" s="25">
        <v>45659</v>
      </c>
      <c r="H28" s="17">
        <v>2000</v>
      </c>
      <c r="I28" s="18">
        <v>128.80000000000001</v>
      </c>
      <c r="J28" s="19">
        <f t="shared" si="5"/>
        <v>2128.8000000000002</v>
      </c>
      <c r="K28" s="14" t="s">
        <v>31</v>
      </c>
      <c r="L28" s="100"/>
      <c r="M28" s="20" t="s">
        <v>212</v>
      </c>
      <c r="N28" s="21">
        <v>11.4</v>
      </c>
      <c r="O28" s="107"/>
      <c r="P28" s="22">
        <v>46569</v>
      </c>
      <c r="Q28" s="105">
        <f t="shared" si="0"/>
        <v>0</v>
      </c>
      <c r="R28" s="107"/>
      <c r="S28" s="107"/>
      <c r="T28" s="107"/>
      <c r="U28" s="107"/>
      <c r="V28" s="107"/>
    </row>
    <row r="29" spans="1:22" s="12" customFormat="1" ht="19.149999999999999" customHeight="1" x14ac:dyDescent="0.2">
      <c r="A29" s="141">
        <f>AVERAGE(N2:N500)</f>
        <v>13.397647058823537</v>
      </c>
      <c r="B29" s="160"/>
      <c r="C29" s="142">
        <f>SUMPRODUCT(H2:H500, E2:E500) / SUM(H2:H500)</f>
        <v>6.6526468455402465</v>
      </c>
      <c r="D29" s="107"/>
      <c r="E29" s="14">
        <v>6</v>
      </c>
      <c r="F29" s="24"/>
      <c r="G29" s="25">
        <v>45664</v>
      </c>
      <c r="H29" s="17">
        <v>1950</v>
      </c>
      <c r="I29" s="18">
        <v>107.64</v>
      </c>
      <c r="J29" s="19">
        <f t="shared" si="5"/>
        <v>2057.64</v>
      </c>
      <c r="K29" s="14" t="s">
        <v>31</v>
      </c>
      <c r="L29" s="100"/>
      <c r="M29" s="20" t="s">
        <v>212</v>
      </c>
      <c r="N29" s="21">
        <v>11.4</v>
      </c>
      <c r="O29" s="107"/>
      <c r="P29" s="22">
        <v>46600</v>
      </c>
      <c r="Q29" s="105">
        <f t="shared" si="0"/>
        <v>0</v>
      </c>
      <c r="R29" s="107"/>
      <c r="S29" s="107"/>
      <c r="T29" s="107"/>
      <c r="U29" s="107"/>
      <c r="V29" s="107"/>
    </row>
    <row r="30" spans="1:22" s="12" customFormat="1" ht="19.149999999999999" customHeight="1" x14ac:dyDescent="0.2">
      <c r="A30" s="116" t="s">
        <v>161</v>
      </c>
      <c r="B30" s="116" t="s">
        <v>162</v>
      </c>
      <c r="C30" s="116" t="s">
        <v>163</v>
      </c>
      <c r="D30" s="107"/>
      <c r="E30" s="14">
        <v>6</v>
      </c>
      <c r="F30" s="24"/>
      <c r="G30" s="25">
        <v>45664</v>
      </c>
      <c r="H30" s="17">
        <v>1000</v>
      </c>
      <c r="I30" s="18">
        <v>81.599999999999994</v>
      </c>
      <c r="J30" s="19">
        <f t="shared" si="5"/>
        <v>1081.5999999999999</v>
      </c>
      <c r="K30" s="14" t="s">
        <v>31</v>
      </c>
      <c r="L30" s="100"/>
      <c r="M30" s="20" t="s">
        <v>212</v>
      </c>
      <c r="N30" s="21">
        <v>16.32</v>
      </c>
      <c r="O30" s="107"/>
      <c r="P30" s="22">
        <v>46631</v>
      </c>
      <c r="Q30" s="105">
        <f t="shared" si="0"/>
        <v>0</v>
      </c>
      <c r="R30" s="107"/>
      <c r="S30" s="107"/>
      <c r="T30" s="107"/>
      <c r="U30" s="107"/>
      <c r="V30" s="107"/>
    </row>
    <row r="31" spans="1:22" s="12" customFormat="1" ht="19.149999999999999" customHeight="1" x14ac:dyDescent="0.2">
      <c r="A31" s="139">
        <f>SUMIFS(H10:H308,E10:E308,"&lt;&gt;")</f>
        <v>58950</v>
      </c>
      <c r="B31" s="139">
        <f>SUMIFS(I10:I308,F10:F308,"&lt;&gt;")</f>
        <v>67.2</v>
      </c>
      <c r="C31" s="139">
        <f>SUMIFS(J10:J308,G10:G308,"&lt;&gt;")</f>
        <v>62417.639999999992</v>
      </c>
      <c r="D31" s="107"/>
      <c r="E31" s="14">
        <v>6</v>
      </c>
      <c r="F31" s="24"/>
      <c r="G31" s="25">
        <v>45665</v>
      </c>
      <c r="H31" s="17">
        <v>2000</v>
      </c>
      <c r="I31" s="18">
        <v>124.8</v>
      </c>
      <c r="J31" s="19">
        <f t="shared" si="5"/>
        <v>2124.8000000000002</v>
      </c>
      <c r="K31" s="14" t="s">
        <v>31</v>
      </c>
      <c r="L31" s="100"/>
      <c r="M31" s="20" t="s">
        <v>212</v>
      </c>
      <c r="N31" s="21">
        <v>12.48</v>
      </c>
      <c r="O31" s="107"/>
      <c r="P31" s="22">
        <v>46661</v>
      </c>
      <c r="Q31" s="105">
        <f t="shared" si="0"/>
        <v>0</v>
      </c>
      <c r="R31" s="107"/>
      <c r="S31" s="107"/>
      <c r="T31" s="107"/>
      <c r="U31" s="107"/>
      <c r="V31" s="107"/>
    </row>
    <row r="32" spans="1:22" s="12" customFormat="1" ht="19.149999999999999" customHeight="1" x14ac:dyDescent="0.2">
      <c r="A32" s="221" t="s">
        <v>163</v>
      </c>
      <c r="B32" s="221"/>
      <c r="C32" s="221"/>
      <c r="D32" s="107"/>
      <c r="E32" s="14">
        <v>6</v>
      </c>
      <c r="F32" s="24"/>
      <c r="G32" s="25">
        <v>45666</v>
      </c>
      <c r="H32" s="17">
        <v>1000</v>
      </c>
      <c r="I32" s="18">
        <v>81.599999999999994</v>
      </c>
      <c r="J32" s="19">
        <f t="shared" si="5"/>
        <v>1081.5999999999999</v>
      </c>
      <c r="K32" s="14" t="s">
        <v>31</v>
      </c>
      <c r="L32" s="100"/>
      <c r="M32" s="20" t="s">
        <v>212</v>
      </c>
      <c r="N32" s="21">
        <v>16.32</v>
      </c>
      <c r="O32" s="107"/>
      <c r="P32" s="22">
        <v>46692</v>
      </c>
      <c r="Q32" s="105">
        <f t="shared" si="0"/>
        <v>0</v>
      </c>
      <c r="R32" s="107"/>
      <c r="S32" s="107"/>
      <c r="T32" s="107"/>
      <c r="U32" s="107"/>
      <c r="V32" s="107"/>
    </row>
    <row r="33" spans="1:22" s="12" customFormat="1" ht="19.149999999999999" customHeight="1" x14ac:dyDescent="0.2">
      <c r="A33" s="220" t="s">
        <v>167</v>
      </c>
      <c r="B33" s="220"/>
      <c r="C33" s="220"/>
      <c r="D33" s="107"/>
      <c r="E33" s="14">
        <v>6</v>
      </c>
      <c r="F33" s="24"/>
      <c r="G33" s="25">
        <v>45674</v>
      </c>
      <c r="H33" s="17">
        <v>1000</v>
      </c>
      <c r="I33" s="18">
        <v>69.599999999999994</v>
      </c>
      <c r="J33" s="19">
        <f t="shared" si="5"/>
        <v>1069.5999999999999</v>
      </c>
      <c r="K33" s="14" t="s">
        <v>31</v>
      </c>
      <c r="L33" s="100"/>
      <c r="M33" s="20" t="s">
        <v>212</v>
      </c>
      <c r="N33" s="21">
        <v>13.92</v>
      </c>
      <c r="O33" s="107"/>
      <c r="P33" s="22">
        <v>46722</v>
      </c>
      <c r="Q33" s="105">
        <f t="shared" si="0"/>
        <v>0</v>
      </c>
      <c r="R33" s="107"/>
      <c r="S33" s="107"/>
      <c r="T33" s="107"/>
      <c r="U33" s="107"/>
      <c r="V33" s="107"/>
    </row>
    <row r="34" spans="1:22" s="12" customFormat="1" ht="19.149999999999999" customHeight="1" x14ac:dyDescent="0.2">
      <c r="A34" s="220" t="s">
        <v>169</v>
      </c>
      <c r="B34" s="220"/>
      <c r="C34" s="220"/>
      <c r="D34" s="107"/>
      <c r="E34" s="14">
        <v>6</v>
      </c>
      <c r="F34" s="24"/>
      <c r="G34" s="25">
        <v>45674</v>
      </c>
      <c r="H34" s="17">
        <v>1000</v>
      </c>
      <c r="I34" s="18">
        <v>69.599999999999994</v>
      </c>
      <c r="J34" s="19">
        <f t="shared" si="5"/>
        <v>1069.5999999999999</v>
      </c>
      <c r="K34" s="14" t="s">
        <v>31</v>
      </c>
      <c r="L34" s="100"/>
      <c r="M34" s="20" t="s">
        <v>212</v>
      </c>
      <c r="N34" s="21">
        <v>13.92</v>
      </c>
      <c r="O34" s="107"/>
      <c r="P34" s="22">
        <v>46753</v>
      </c>
      <c r="Q34" s="105">
        <f t="shared" si="0"/>
        <v>0</v>
      </c>
      <c r="R34" s="107"/>
      <c r="S34" s="107"/>
      <c r="T34" s="107"/>
      <c r="U34" s="107"/>
      <c r="V34" s="107"/>
    </row>
    <row r="35" spans="1:22" s="12" customFormat="1" ht="19.149999999999999" customHeight="1" x14ac:dyDescent="0.2">
      <c r="A35" s="220" t="s">
        <v>239</v>
      </c>
      <c r="B35" s="220"/>
      <c r="C35" s="220"/>
      <c r="D35" s="107"/>
      <c r="E35" s="14">
        <v>6</v>
      </c>
      <c r="F35" s="24"/>
      <c r="G35" s="25">
        <v>45678</v>
      </c>
      <c r="H35" s="17">
        <v>1000</v>
      </c>
      <c r="I35" s="18">
        <v>62.4</v>
      </c>
      <c r="J35" s="19">
        <f t="shared" si="5"/>
        <v>1062.4000000000001</v>
      </c>
      <c r="K35" s="14" t="s">
        <v>31</v>
      </c>
      <c r="L35" s="100"/>
      <c r="M35" s="20" t="s">
        <v>212</v>
      </c>
      <c r="N35" s="21">
        <v>12.48</v>
      </c>
      <c r="O35" s="107"/>
      <c r="P35" s="22">
        <v>46784</v>
      </c>
      <c r="Q35" s="105">
        <f t="shared" si="0"/>
        <v>0</v>
      </c>
      <c r="R35" s="107"/>
      <c r="S35" s="107"/>
      <c r="T35" s="107"/>
      <c r="U35" s="107"/>
      <c r="V35" s="107"/>
    </row>
    <row r="36" spans="1:22" s="12" customFormat="1" ht="19.149999999999999" customHeight="1" x14ac:dyDescent="0.2">
      <c r="A36" s="220" t="s">
        <v>174</v>
      </c>
      <c r="B36" s="220"/>
      <c r="C36" s="220"/>
      <c r="D36" s="107"/>
      <c r="E36" s="14">
        <v>6</v>
      </c>
      <c r="F36" s="24"/>
      <c r="G36" s="25">
        <v>45678</v>
      </c>
      <c r="H36" s="17">
        <v>1000</v>
      </c>
      <c r="I36" s="18">
        <v>62.4</v>
      </c>
      <c r="J36" s="19">
        <f t="shared" si="5"/>
        <v>1062.4000000000001</v>
      </c>
      <c r="K36" s="14" t="s">
        <v>31</v>
      </c>
      <c r="L36" s="100"/>
      <c r="M36" s="20" t="s">
        <v>212</v>
      </c>
      <c r="N36" s="21">
        <v>12.48</v>
      </c>
      <c r="O36" s="107"/>
      <c r="P36" s="22">
        <v>46813</v>
      </c>
      <c r="Q36" s="105">
        <f t="shared" si="0"/>
        <v>0</v>
      </c>
      <c r="R36" s="107"/>
      <c r="S36" s="107"/>
      <c r="T36" s="107"/>
      <c r="U36" s="107"/>
      <c r="V36" s="107"/>
    </row>
    <row r="37" spans="1:22" s="12" customFormat="1" ht="19.149999999999999" customHeight="1" x14ac:dyDescent="0.2">
      <c r="A37" s="220" t="s">
        <v>240</v>
      </c>
      <c r="B37" s="220"/>
      <c r="C37" s="220"/>
      <c r="D37" s="107"/>
      <c r="E37" s="14">
        <v>6</v>
      </c>
      <c r="F37" s="24"/>
      <c r="G37" s="25">
        <v>45678</v>
      </c>
      <c r="H37" s="17">
        <v>1000</v>
      </c>
      <c r="I37" s="18">
        <v>62.4</v>
      </c>
      <c r="J37" s="19">
        <f t="shared" si="5"/>
        <v>1062.4000000000001</v>
      </c>
      <c r="K37" s="14" t="s">
        <v>31</v>
      </c>
      <c r="L37" s="100"/>
      <c r="M37" s="20" t="s">
        <v>212</v>
      </c>
      <c r="N37" s="21">
        <v>12.48</v>
      </c>
      <c r="O37" s="107"/>
      <c r="P37" s="22">
        <v>46844</v>
      </c>
      <c r="Q37" s="105">
        <f t="shared" si="0"/>
        <v>0</v>
      </c>
      <c r="R37" s="107"/>
      <c r="S37" s="107"/>
      <c r="T37" s="107"/>
      <c r="U37" s="107"/>
      <c r="V37" s="107"/>
    </row>
    <row r="38" spans="1:22" s="12" customFormat="1" ht="19.149999999999999" customHeight="1" x14ac:dyDescent="0.2">
      <c r="A38" s="231"/>
      <c r="B38" s="231"/>
      <c r="C38" s="231"/>
      <c r="D38" s="107"/>
      <c r="E38" s="82">
        <v>6</v>
      </c>
      <c r="F38" s="83"/>
      <c r="G38" s="25">
        <v>45680</v>
      </c>
      <c r="H38" s="84">
        <v>1000</v>
      </c>
      <c r="I38" s="85">
        <v>62.4</v>
      </c>
      <c r="J38" s="19">
        <f t="shared" si="5"/>
        <v>1062.4000000000001</v>
      </c>
      <c r="K38" s="14" t="s">
        <v>31</v>
      </c>
      <c r="L38" s="100"/>
      <c r="M38" s="20" t="s">
        <v>212</v>
      </c>
      <c r="N38" s="88">
        <v>12.48</v>
      </c>
      <c r="O38" s="107"/>
      <c r="P38" s="22">
        <v>46874</v>
      </c>
      <c r="Q38" s="105">
        <f t="shared" si="0"/>
        <v>0</v>
      </c>
      <c r="R38" s="107"/>
      <c r="S38" s="107"/>
      <c r="T38" s="107"/>
      <c r="U38" s="107"/>
      <c r="V38" s="107"/>
    </row>
    <row r="39" spans="1:22" s="12" customFormat="1" ht="19.149999999999999" customHeight="1" x14ac:dyDescent="0.2">
      <c r="A39" s="220" t="s">
        <v>37</v>
      </c>
      <c r="B39" s="220"/>
      <c r="C39" s="220"/>
      <c r="D39" s="107"/>
      <c r="E39" s="82">
        <v>6</v>
      </c>
      <c r="F39" s="83"/>
      <c r="G39" s="25">
        <v>45681</v>
      </c>
      <c r="H39" s="84">
        <v>1000</v>
      </c>
      <c r="I39" s="85">
        <v>62.4</v>
      </c>
      <c r="J39" s="19">
        <f t="shared" si="5"/>
        <v>1062.4000000000001</v>
      </c>
      <c r="K39" s="14" t="s">
        <v>31</v>
      </c>
      <c r="L39" s="100"/>
      <c r="M39" s="20" t="s">
        <v>212</v>
      </c>
      <c r="N39" s="88">
        <v>12.48</v>
      </c>
      <c r="O39" s="107"/>
      <c r="P39" s="22">
        <v>46905</v>
      </c>
      <c r="Q39" s="105">
        <f t="shared" si="0"/>
        <v>0</v>
      </c>
      <c r="R39" s="107"/>
      <c r="S39" s="107"/>
      <c r="T39" s="107"/>
      <c r="U39" s="107"/>
      <c r="V39" s="107"/>
    </row>
    <row r="40" spans="1:22" s="12" customFormat="1" ht="19.149999999999999" customHeight="1" x14ac:dyDescent="0.2">
      <c r="A40" s="220" t="s">
        <v>38</v>
      </c>
      <c r="B40" s="220"/>
      <c r="C40" s="220"/>
      <c r="D40" s="107"/>
      <c r="E40" s="14">
        <v>6</v>
      </c>
      <c r="F40" s="24"/>
      <c r="G40" s="25">
        <v>45682</v>
      </c>
      <c r="H40" s="17">
        <v>1000</v>
      </c>
      <c r="I40" s="18">
        <v>74.400000000000006</v>
      </c>
      <c r="J40" s="19">
        <f t="shared" si="5"/>
        <v>1074.4000000000001</v>
      </c>
      <c r="K40" s="14" t="s">
        <v>31</v>
      </c>
      <c r="L40" s="100"/>
      <c r="M40" s="20" t="s">
        <v>212</v>
      </c>
      <c r="N40" s="21">
        <v>14.88</v>
      </c>
      <c r="O40" s="107"/>
      <c r="P40" s="22">
        <v>46935</v>
      </c>
      <c r="Q40" s="105">
        <f t="shared" si="0"/>
        <v>0</v>
      </c>
      <c r="R40" s="107"/>
      <c r="S40" s="107"/>
      <c r="T40" s="107"/>
      <c r="U40" s="107"/>
      <c r="V40" s="107"/>
    </row>
    <row r="41" spans="1:22" s="12" customFormat="1" ht="19.149999999999999" customHeight="1" x14ac:dyDescent="0.2">
      <c r="A41" s="221" t="s">
        <v>163</v>
      </c>
      <c r="B41" s="221"/>
      <c r="C41" s="221"/>
      <c r="D41" s="107"/>
      <c r="E41" s="14">
        <v>6</v>
      </c>
      <c r="F41" s="24"/>
      <c r="G41" s="25">
        <v>45682</v>
      </c>
      <c r="H41" s="17">
        <v>1000</v>
      </c>
      <c r="I41" s="18">
        <v>74.400000000000006</v>
      </c>
      <c r="J41" s="19">
        <f t="shared" si="5"/>
        <v>1074.4000000000001</v>
      </c>
      <c r="K41" s="14" t="s">
        <v>31</v>
      </c>
      <c r="L41" s="100"/>
      <c r="M41" s="20" t="s">
        <v>212</v>
      </c>
      <c r="N41" s="21">
        <v>14.88</v>
      </c>
      <c r="O41" s="107"/>
      <c r="P41" s="22">
        <v>46966</v>
      </c>
      <c r="Q41" s="105">
        <f t="shared" si="0"/>
        <v>0</v>
      </c>
      <c r="R41" s="107"/>
      <c r="S41" s="107"/>
      <c r="T41" s="107"/>
      <c r="U41" s="107"/>
      <c r="V41" s="107"/>
    </row>
    <row r="42" spans="1:22" s="12" customFormat="1" ht="19.149999999999999" customHeight="1" x14ac:dyDescent="0.2">
      <c r="A42" s="220"/>
      <c r="B42" s="220"/>
      <c r="C42" s="220"/>
      <c r="D42" s="107"/>
      <c r="E42" s="82">
        <v>6</v>
      </c>
      <c r="F42" s="83"/>
      <c r="G42" s="25">
        <v>45682</v>
      </c>
      <c r="H42" s="84">
        <v>1000</v>
      </c>
      <c r="I42" s="85">
        <v>62.4</v>
      </c>
      <c r="J42" s="19">
        <f t="shared" si="5"/>
        <v>1062.4000000000001</v>
      </c>
      <c r="K42" s="14" t="s">
        <v>31</v>
      </c>
      <c r="L42" s="100"/>
      <c r="M42" s="20" t="s">
        <v>212</v>
      </c>
      <c r="N42" s="88">
        <v>12.48</v>
      </c>
      <c r="O42" s="107"/>
      <c r="P42" s="22">
        <v>46997</v>
      </c>
      <c r="Q42" s="105">
        <f t="shared" si="0"/>
        <v>0</v>
      </c>
      <c r="R42" s="107"/>
      <c r="S42" s="107"/>
      <c r="T42" s="107"/>
      <c r="U42" s="107"/>
      <c r="V42" s="107"/>
    </row>
    <row r="43" spans="1:22" s="12" customFormat="1" ht="19.149999999999999" customHeight="1" x14ac:dyDescent="0.2">
      <c r="A43" s="220"/>
      <c r="B43" s="220"/>
      <c r="C43" s="220"/>
      <c r="D43" s="107"/>
      <c r="E43" s="14">
        <v>6</v>
      </c>
      <c r="F43" s="24"/>
      <c r="G43" s="25">
        <v>45685</v>
      </c>
      <c r="H43" s="17">
        <v>1000</v>
      </c>
      <c r="I43" s="18">
        <v>74.400000000000006</v>
      </c>
      <c r="J43" s="19">
        <f t="shared" si="5"/>
        <v>1074.4000000000001</v>
      </c>
      <c r="K43" s="14" t="s">
        <v>31</v>
      </c>
      <c r="L43" s="100"/>
      <c r="M43" s="20" t="s">
        <v>212</v>
      </c>
      <c r="N43" s="21">
        <v>14.88</v>
      </c>
      <c r="O43" s="107"/>
      <c r="P43" s="22">
        <v>47027</v>
      </c>
      <c r="Q43" s="105">
        <f t="shared" si="0"/>
        <v>0</v>
      </c>
      <c r="R43" s="107"/>
      <c r="S43" s="107"/>
      <c r="T43" s="107"/>
      <c r="U43" s="107"/>
      <c r="V43" s="107"/>
    </row>
    <row r="44" spans="1:22" s="12" customFormat="1" ht="19.149999999999999" customHeight="1" x14ac:dyDescent="0.2">
      <c r="A44" s="220"/>
      <c r="B44" s="220"/>
      <c r="C44" s="220"/>
      <c r="D44" s="107"/>
      <c r="E44" s="14">
        <v>6</v>
      </c>
      <c r="F44" s="24"/>
      <c r="G44" s="25">
        <v>45686</v>
      </c>
      <c r="H44" s="17">
        <v>1000</v>
      </c>
      <c r="I44" s="18">
        <v>69.599999999999994</v>
      </c>
      <c r="J44" s="19">
        <f t="shared" si="5"/>
        <v>1069.5999999999999</v>
      </c>
      <c r="K44" s="14" t="s">
        <v>31</v>
      </c>
      <c r="L44" s="100"/>
      <c r="M44" s="20" t="s">
        <v>212</v>
      </c>
      <c r="N44" s="21">
        <v>13.92</v>
      </c>
      <c r="O44" s="107"/>
      <c r="P44" s="22">
        <v>47058</v>
      </c>
      <c r="Q44" s="105">
        <f t="shared" si="0"/>
        <v>0</v>
      </c>
      <c r="R44" s="107"/>
      <c r="S44" s="107"/>
      <c r="T44" s="107"/>
      <c r="U44" s="107"/>
      <c r="V44" s="107"/>
    </row>
    <row r="45" spans="1:22" s="12" customFormat="1" ht="19.149999999999999" customHeight="1" x14ac:dyDescent="0.2">
      <c r="A45" s="220"/>
      <c r="B45" s="220"/>
      <c r="C45" s="220"/>
      <c r="D45" s="107"/>
      <c r="E45" s="14">
        <v>9</v>
      </c>
      <c r="F45" s="24"/>
      <c r="G45" s="25" t="s">
        <v>107</v>
      </c>
      <c r="H45" s="17">
        <v>2000</v>
      </c>
      <c r="I45" s="18">
        <v>208.8</v>
      </c>
      <c r="J45" s="19">
        <f t="shared" si="5"/>
        <v>2208.8000000000002</v>
      </c>
      <c r="K45" s="14" t="s">
        <v>31</v>
      </c>
      <c r="L45" s="100"/>
      <c r="M45" s="20" t="s">
        <v>212</v>
      </c>
      <c r="N45" s="21">
        <v>13.92</v>
      </c>
      <c r="O45" s="107"/>
      <c r="P45" s="22">
        <v>47088</v>
      </c>
      <c r="Q45" s="105">
        <f t="shared" si="0"/>
        <v>0</v>
      </c>
      <c r="R45" s="107"/>
      <c r="S45" s="107"/>
      <c r="T45" s="107"/>
      <c r="U45" s="107"/>
      <c r="V45" s="107"/>
    </row>
    <row r="46" spans="1:22" s="12" customFormat="1" ht="19.149999999999999" customHeight="1" x14ac:dyDescent="0.2">
      <c r="A46" s="220"/>
      <c r="B46" s="220"/>
      <c r="C46" s="220"/>
      <c r="D46" s="107"/>
      <c r="E46" s="14">
        <v>6</v>
      </c>
      <c r="F46" s="24">
        <v>45681</v>
      </c>
      <c r="G46" s="25"/>
      <c r="H46" s="17">
        <v>1000</v>
      </c>
      <c r="I46" s="18">
        <v>67.2</v>
      </c>
      <c r="J46" s="19">
        <f t="shared" si="5"/>
        <v>1067.2</v>
      </c>
      <c r="K46" s="14" t="str">
        <f ca="1">IF(F46&lt;=TODAY(),"Check!","Waiting")</f>
        <v>Check!</v>
      </c>
      <c r="L46" s="100" t="s">
        <v>225</v>
      </c>
      <c r="M46" s="20" t="s">
        <v>212</v>
      </c>
      <c r="N46" s="21">
        <v>13.44</v>
      </c>
      <c r="O46" s="107"/>
      <c r="P46" s="22">
        <v>47119</v>
      </c>
      <c r="Q46" s="105">
        <f t="shared" si="0"/>
        <v>0</v>
      </c>
      <c r="R46" s="107"/>
      <c r="S46" s="107"/>
      <c r="T46" s="107"/>
      <c r="U46" s="107"/>
      <c r="V46" s="107"/>
    </row>
    <row r="47" spans="1:22" s="12" customFormat="1" ht="19.149999999999999" customHeight="1" x14ac:dyDescent="0.2">
      <c r="A47" s="220"/>
      <c r="B47" s="220"/>
      <c r="C47" s="220"/>
      <c r="D47" s="107"/>
      <c r="E47" s="14">
        <v>8</v>
      </c>
      <c r="F47" s="24"/>
      <c r="G47" s="25">
        <v>45811</v>
      </c>
      <c r="H47" s="17">
        <v>1000</v>
      </c>
      <c r="I47" s="18">
        <v>108.8</v>
      </c>
      <c r="J47" s="19">
        <f t="shared" si="5"/>
        <v>1108.8</v>
      </c>
      <c r="K47" s="14" t="s">
        <v>31</v>
      </c>
      <c r="L47" s="100" t="s">
        <v>34</v>
      </c>
      <c r="M47" s="20" t="s">
        <v>212</v>
      </c>
      <c r="N47" s="21">
        <v>16.32</v>
      </c>
      <c r="O47" s="107"/>
      <c r="P47" s="22">
        <v>47150</v>
      </c>
      <c r="Q47" s="105">
        <f t="shared" si="0"/>
        <v>0</v>
      </c>
      <c r="R47" s="107"/>
      <c r="S47" s="107"/>
      <c r="T47" s="107"/>
      <c r="U47" s="107"/>
      <c r="V47" s="107"/>
    </row>
    <row r="48" spans="1:22" s="12" customFormat="1" ht="19.149999999999999" customHeight="1" x14ac:dyDescent="0.2">
      <c r="A48" s="220"/>
      <c r="B48" s="220"/>
      <c r="C48" s="220"/>
      <c r="D48" s="107"/>
      <c r="E48" s="14">
        <v>12</v>
      </c>
      <c r="F48" s="24"/>
      <c r="G48" s="25">
        <v>45840</v>
      </c>
      <c r="H48" s="17">
        <v>2000</v>
      </c>
      <c r="I48" s="18">
        <v>259.2</v>
      </c>
      <c r="J48" s="19">
        <f t="shared" si="5"/>
        <v>2259.1999999999998</v>
      </c>
      <c r="K48" s="14" t="s">
        <v>31</v>
      </c>
      <c r="L48" s="100" t="s">
        <v>59</v>
      </c>
      <c r="M48" s="20" t="s">
        <v>212</v>
      </c>
      <c r="N48" s="21">
        <v>12.96</v>
      </c>
      <c r="O48" s="107"/>
      <c r="P48" s="22">
        <v>47178</v>
      </c>
      <c r="Q48" s="105">
        <f t="shared" si="0"/>
        <v>0</v>
      </c>
      <c r="R48" s="107"/>
      <c r="S48" s="107"/>
      <c r="T48" s="107"/>
      <c r="U48" s="107"/>
      <c r="V48" s="107"/>
    </row>
    <row r="49" spans="1:22" s="12" customFormat="1" ht="19.149999999999999" customHeight="1" x14ac:dyDescent="0.2">
      <c r="A49" s="220"/>
      <c r="B49" s="220"/>
      <c r="C49" s="220"/>
      <c r="D49" s="107"/>
      <c r="E49" s="14">
        <v>12</v>
      </c>
      <c r="F49" s="24"/>
      <c r="G49" s="25">
        <v>45846</v>
      </c>
      <c r="H49" s="17">
        <v>2000</v>
      </c>
      <c r="I49" s="18">
        <v>259.2</v>
      </c>
      <c r="J49" s="19">
        <f t="shared" si="5"/>
        <v>2259.1999999999998</v>
      </c>
      <c r="K49" s="14" t="s">
        <v>31</v>
      </c>
      <c r="L49" s="100" t="s">
        <v>59</v>
      </c>
      <c r="M49" s="20" t="s">
        <v>212</v>
      </c>
      <c r="N49" s="21">
        <v>12.96</v>
      </c>
      <c r="O49" s="107"/>
      <c r="P49" s="22">
        <v>47209</v>
      </c>
      <c r="Q49" s="105">
        <f t="shared" si="0"/>
        <v>0</v>
      </c>
      <c r="R49" s="107"/>
      <c r="S49" s="107"/>
      <c r="T49" s="107"/>
      <c r="U49" s="107"/>
      <c r="V49" s="107"/>
    </row>
    <row r="50" spans="1:22" s="12" customFormat="1" ht="19.149999999999999" customHeight="1" x14ac:dyDescent="0.2">
      <c r="A50" s="231"/>
      <c r="B50" s="231"/>
      <c r="C50" s="231"/>
      <c r="D50" s="107"/>
      <c r="E50" s="14">
        <v>12</v>
      </c>
      <c r="F50" s="24"/>
      <c r="G50" s="25">
        <v>45846</v>
      </c>
      <c r="H50" s="17">
        <v>2000</v>
      </c>
      <c r="I50" s="18">
        <v>259.2</v>
      </c>
      <c r="J50" s="19">
        <f>SUM(H50:I50)</f>
        <v>2259.1999999999998</v>
      </c>
      <c r="K50" s="14" t="s">
        <v>31</v>
      </c>
      <c r="L50" s="100" t="s">
        <v>59</v>
      </c>
      <c r="M50" s="20" t="s">
        <v>212</v>
      </c>
      <c r="N50" s="21">
        <v>12.96</v>
      </c>
      <c r="O50" s="107"/>
      <c r="P50" s="22">
        <v>47239</v>
      </c>
      <c r="Q50" s="105">
        <f t="shared" si="0"/>
        <v>0</v>
      </c>
      <c r="R50" s="107"/>
      <c r="S50" s="107"/>
      <c r="T50" s="107"/>
      <c r="U50" s="107"/>
      <c r="V50" s="107"/>
    </row>
    <row r="51" spans="1:22" s="12" customFormat="1" ht="19.149999999999999" customHeight="1" x14ac:dyDescent="0.2">
      <c r="A51" s="220"/>
      <c r="B51" s="220"/>
      <c r="C51" s="220"/>
      <c r="D51" s="107"/>
      <c r="E51" s="14">
        <v>12</v>
      </c>
      <c r="F51" s="24"/>
      <c r="G51" s="25">
        <v>45846</v>
      </c>
      <c r="H51" s="17">
        <v>2000</v>
      </c>
      <c r="I51" s="18">
        <v>259.2</v>
      </c>
      <c r="J51" s="19">
        <f>SUM(H51:I51)</f>
        <v>2259.1999999999998</v>
      </c>
      <c r="K51" s="14" t="s">
        <v>31</v>
      </c>
      <c r="L51" s="100" t="s">
        <v>59</v>
      </c>
      <c r="M51" s="20" t="s">
        <v>212</v>
      </c>
      <c r="N51" s="21">
        <v>12.96</v>
      </c>
      <c r="O51" s="107"/>
      <c r="P51" s="22">
        <v>47270</v>
      </c>
      <c r="Q51" s="105">
        <f t="shared" si="0"/>
        <v>0</v>
      </c>
      <c r="R51" s="107"/>
      <c r="S51" s="107"/>
      <c r="T51" s="107"/>
      <c r="U51" s="107"/>
      <c r="V51" s="107"/>
    </row>
    <row r="52" spans="1:22" s="12" customFormat="1" ht="19.149999999999999" customHeight="1" x14ac:dyDescent="0.2">
      <c r="A52" s="220"/>
      <c r="B52" s="220"/>
      <c r="C52" s="220"/>
      <c r="D52" s="107"/>
      <c r="E52" s="14">
        <v>12</v>
      </c>
      <c r="F52" s="83"/>
      <c r="G52" s="25">
        <v>45846</v>
      </c>
      <c r="H52" s="17">
        <v>2000</v>
      </c>
      <c r="I52" s="18">
        <v>259.2</v>
      </c>
      <c r="J52" s="19">
        <f>SUM(H52:I52)</f>
        <v>2259.1999999999998</v>
      </c>
      <c r="K52" s="14" t="s">
        <v>31</v>
      </c>
      <c r="L52" s="100" t="s">
        <v>59</v>
      </c>
      <c r="M52" s="20" t="s">
        <v>212</v>
      </c>
      <c r="N52" s="21">
        <v>12.96</v>
      </c>
      <c r="O52" s="107"/>
      <c r="P52" s="22">
        <v>47300</v>
      </c>
      <c r="Q52" s="105">
        <f t="shared" si="0"/>
        <v>0</v>
      </c>
      <c r="R52" s="107"/>
      <c r="S52" s="107"/>
      <c r="T52" s="107"/>
      <c r="U52" s="107"/>
      <c r="V52" s="107"/>
    </row>
    <row r="53" spans="1:22" s="12" customFormat="1" ht="19.149999999999999" customHeight="1" x14ac:dyDescent="0.2">
      <c r="A53" s="177"/>
      <c r="B53" s="177"/>
      <c r="C53" s="177"/>
      <c r="D53" s="107"/>
      <c r="E53" s="14"/>
      <c r="F53" s="24"/>
      <c r="G53" s="25"/>
      <c r="H53" s="17"/>
      <c r="I53" s="18"/>
      <c r="J53" s="19"/>
      <c r="K53" s="14"/>
      <c r="L53" s="100"/>
      <c r="M53" s="20"/>
      <c r="N53" s="21"/>
      <c r="O53" s="107"/>
      <c r="P53" s="22">
        <v>47331</v>
      </c>
      <c r="Q53" s="105">
        <f t="shared" si="0"/>
        <v>0</v>
      </c>
      <c r="R53" s="107"/>
      <c r="S53" s="107"/>
      <c r="T53" s="107"/>
      <c r="U53" s="107"/>
      <c r="V53" s="107"/>
    </row>
    <row r="54" spans="1:22" s="12" customFormat="1" ht="19.149999999999999" customHeight="1" x14ac:dyDescent="0.2">
      <c r="A54" s="177"/>
      <c r="B54" s="177"/>
      <c r="C54" s="177"/>
      <c r="D54" s="107"/>
      <c r="E54" s="14"/>
      <c r="F54" s="24"/>
      <c r="G54" s="25"/>
      <c r="H54" s="17"/>
      <c r="I54" s="18"/>
      <c r="J54" s="19"/>
      <c r="K54" s="14"/>
      <c r="L54" s="100"/>
      <c r="M54" s="20"/>
      <c r="N54" s="21"/>
      <c r="O54" s="107"/>
      <c r="P54" s="22">
        <v>47362</v>
      </c>
      <c r="Q54" s="105">
        <f t="shared" si="0"/>
        <v>0</v>
      </c>
      <c r="R54" s="107"/>
      <c r="S54" s="107"/>
      <c r="T54" s="107"/>
      <c r="U54" s="107"/>
      <c r="V54" s="107"/>
    </row>
    <row r="55" spans="1:22" s="12" customFormat="1" ht="19.149999999999999" customHeight="1" x14ac:dyDescent="0.2">
      <c r="A55" s="240" t="s">
        <v>47</v>
      </c>
      <c r="B55" s="241"/>
      <c r="C55" s="242"/>
      <c r="D55" s="107"/>
      <c r="E55" s="14"/>
      <c r="F55" s="24"/>
      <c r="G55" s="25"/>
      <c r="H55" s="17"/>
      <c r="I55" s="18"/>
      <c r="J55" s="19"/>
      <c r="K55" s="14"/>
      <c r="L55" s="100"/>
      <c r="M55" s="20"/>
      <c r="N55" s="21"/>
      <c r="O55" s="107"/>
      <c r="P55" s="22">
        <v>47392</v>
      </c>
      <c r="Q55" s="105">
        <f t="shared" si="0"/>
        <v>0</v>
      </c>
      <c r="R55" s="107"/>
      <c r="S55" s="107"/>
      <c r="T55" s="107"/>
      <c r="U55" s="107"/>
      <c r="V55" s="107"/>
    </row>
    <row r="56" spans="1:22" s="12" customFormat="1" ht="19.149999999999999" customHeight="1" x14ac:dyDescent="0.2">
      <c r="A56" s="116" t="s">
        <v>22</v>
      </c>
      <c r="B56" s="116" t="s">
        <v>48</v>
      </c>
      <c r="C56" s="116" t="s">
        <v>49</v>
      </c>
      <c r="D56" s="107"/>
      <c r="E56" s="14"/>
      <c r="F56" s="24"/>
      <c r="G56" s="25"/>
      <c r="H56" s="17"/>
      <c r="I56" s="18"/>
      <c r="J56" s="19"/>
      <c r="K56" s="14"/>
      <c r="L56" s="100"/>
      <c r="M56" s="20"/>
      <c r="N56" s="21"/>
      <c r="O56" s="107"/>
      <c r="P56" s="22">
        <v>47423</v>
      </c>
      <c r="Q56" s="105">
        <f t="shared" si="0"/>
        <v>0</v>
      </c>
      <c r="R56" s="107"/>
      <c r="S56" s="107"/>
      <c r="T56" s="107"/>
      <c r="U56" s="107"/>
      <c r="V56" s="107"/>
    </row>
    <row r="57" spans="1:22" s="12" customFormat="1" ht="19.149999999999999" customHeight="1" x14ac:dyDescent="0.2">
      <c r="A57" s="139">
        <f>SUMIFS(H36:H534,F36:F534,"&lt;&gt;")</f>
        <v>1000</v>
      </c>
      <c r="B57" s="139">
        <f>SUMIFS(I36:I334,F36:F334,"&lt;&gt;")</f>
        <v>67.2</v>
      </c>
      <c r="C57" s="140">
        <f>COUNT(N36:N534, "?*")</f>
        <v>17</v>
      </c>
      <c r="D57" s="107"/>
      <c r="E57" s="14"/>
      <c r="F57" s="24"/>
      <c r="G57" s="25"/>
      <c r="H57" s="17"/>
      <c r="I57" s="18"/>
      <c r="J57" s="19"/>
      <c r="K57" s="14"/>
      <c r="L57" s="100"/>
      <c r="M57" s="20"/>
      <c r="N57" s="21"/>
      <c r="O57" s="107"/>
      <c r="P57" s="22">
        <v>47453</v>
      </c>
      <c r="Q57" s="105">
        <f t="shared" si="0"/>
        <v>0</v>
      </c>
      <c r="R57" s="107"/>
      <c r="S57" s="107"/>
      <c r="T57" s="107"/>
      <c r="U57" s="107"/>
      <c r="V57" s="107"/>
    </row>
    <row r="58" spans="1:22" s="12" customFormat="1" ht="19.149999999999999" customHeight="1" x14ac:dyDescent="0.2">
      <c r="A58" s="116" t="s">
        <v>261</v>
      </c>
      <c r="B58" s="116" t="s">
        <v>264</v>
      </c>
      <c r="C58" s="116" t="s">
        <v>55</v>
      </c>
      <c r="D58" s="107"/>
      <c r="E58" s="14"/>
      <c r="F58" s="24"/>
      <c r="G58" s="25"/>
      <c r="H58" s="17"/>
      <c r="I58" s="18"/>
      <c r="J58" s="19"/>
      <c r="K58" s="14"/>
      <c r="L58" s="100"/>
      <c r="M58" s="20"/>
      <c r="N58" s="21"/>
      <c r="O58" s="107"/>
      <c r="P58" s="22">
        <v>47484</v>
      </c>
      <c r="Q58" s="105">
        <f t="shared" si="0"/>
        <v>0</v>
      </c>
      <c r="R58" s="107"/>
      <c r="S58" s="107"/>
      <c r="T58" s="107"/>
      <c r="U58" s="107"/>
      <c r="V58" s="107"/>
    </row>
    <row r="59" spans="1:22" s="12" customFormat="1" ht="19.149999999999999" customHeight="1" x14ac:dyDescent="0.2">
      <c r="A59" s="139">
        <f>(A61*100/B63)*12</f>
        <v>13.439999999999998</v>
      </c>
      <c r="B59" s="141">
        <f>AVERAGE(N2:N508)</f>
        <v>13.397647058823537</v>
      </c>
      <c r="C59" s="143">
        <f ca="1">COUNTIF(K34:K532, "Paid")</f>
        <v>18</v>
      </c>
      <c r="D59" s="107"/>
      <c r="E59" s="14"/>
      <c r="F59" s="24"/>
      <c r="G59" s="25"/>
      <c r="H59" s="17"/>
      <c r="I59" s="18"/>
      <c r="J59" s="19"/>
      <c r="K59" s="14"/>
      <c r="L59" s="100"/>
      <c r="M59" s="20"/>
      <c r="N59" s="21"/>
      <c r="O59" s="107"/>
      <c r="P59" s="22">
        <v>47515</v>
      </c>
      <c r="Q59" s="105">
        <f t="shared" si="0"/>
        <v>0</v>
      </c>
      <c r="R59" s="107"/>
      <c r="S59" s="107"/>
      <c r="T59" s="107"/>
      <c r="U59" s="107"/>
      <c r="V59" s="107"/>
    </row>
    <row r="60" spans="1:22" s="12" customFormat="1" ht="19.149999999999999" customHeight="1" x14ac:dyDescent="0.2">
      <c r="A60" s="116" t="s">
        <v>262</v>
      </c>
      <c r="B60" s="116"/>
      <c r="C60" s="123" t="s">
        <v>54</v>
      </c>
      <c r="D60" s="107"/>
      <c r="E60" s="14"/>
      <c r="F60" s="24"/>
      <c r="G60" s="25"/>
      <c r="H60" s="17"/>
      <c r="I60" s="18"/>
      <c r="J60" s="19"/>
      <c r="K60" s="14"/>
      <c r="L60" s="100"/>
      <c r="M60" s="20"/>
      <c r="N60" s="21"/>
      <c r="O60" s="107"/>
      <c r="P60" s="22">
        <v>47543</v>
      </c>
      <c r="Q60" s="105">
        <f t="shared" si="0"/>
        <v>0</v>
      </c>
      <c r="R60" s="107"/>
      <c r="S60" s="107"/>
      <c r="T60" s="107"/>
      <c r="U60" s="107"/>
      <c r="V60" s="107"/>
    </row>
    <row r="61" spans="1:22" s="12" customFormat="1" ht="19.149999999999999" customHeight="1" x14ac:dyDescent="0.2">
      <c r="A61" s="139" t="str">
        <f>TEXT(B57/A57, "0.00%")</f>
        <v>6.72%</v>
      </c>
      <c r="B61" s="142"/>
      <c r="C61" s="143">
        <f>COUNTIF(L36:L534, "WAITING")</f>
        <v>0</v>
      </c>
      <c r="D61" s="107"/>
      <c r="E61" s="14"/>
      <c r="F61" s="24"/>
      <c r="G61" s="25"/>
      <c r="H61" s="17"/>
      <c r="I61" s="18"/>
      <c r="J61" s="19"/>
      <c r="K61" s="14"/>
      <c r="L61" s="100"/>
      <c r="M61" s="20"/>
      <c r="N61" s="21"/>
      <c r="O61" s="107"/>
      <c r="P61" s="22">
        <v>47574</v>
      </c>
      <c r="Q61" s="105">
        <f t="shared" si="0"/>
        <v>0</v>
      </c>
      <c r="R61" s="107"/>
      <c r="S61" s="107"/>
      <c r="T61" s="107"/>
      <c r="U61" s="107"/>
      <c r="V61" s="107"/>
    </row>
    <row r="62" spans="1:22" s="12" customFormat="1" ht="19.149999999999999" customHeight="1" x14ac:dyDescent="0.2">
      <c r="A62" s="116" t="s">
        <v>265</v>
      </c>
      <c r="B62" s="116" t="s">
        <v>263</v>
      </c>
      <c r="C62" s="122" t="s">
        <v>53</v>
      </c>
      <c r="D62" s="107"/>
      <c r="E62" s="14"/>
      <c r="F62" s="24"/>
      <c r="G62" s="25"/>
      <c r="H62" s="17"/>
      <c r="I62" s="18"/>
      <c r="J62" s="19"/>
      <c r="K62" s="14"/>
      <c r="L62" s="100"/>
      <c r="M62" s="20"/>
      <c r="N62" s="21"/>
      <c r="O62" s="107"/>
      <c r="P62" s="22">
        <v>47604</v>
      </c>
      <c r="Q62" s="105">
        <f t="shared" si="0"/>
        <v>0</v>
      </c>
      <c r="R62" s="107"/>
      <c r="S62" s="107"/>
      <c r="T62" s="107"/>
      <c r="U62" s="107"/>
      <c r="V62" s="107"/>
    </row>
    <row r="63" spans="1:22" s="12" customFormat="1" ht="19.149999999999999" customHeight="1" x14ac:dyDescent="0.2">
      <c r="A63" s="142">
        <f ca="1">SUMPRODUCT(F36:F534, C36:C534) / SUM(F36:F534)</f>
        <v>0</v>
      </c>
      <c r="B63" s="142" cm="1">
        <f t="array" ref="B63">SUMPRODUCT((F2:F500&lt;&gt;"")*H2:H500*E2:E500)/SUMPRODUCT((F2:F500&lt;&gt;"")*H2:H500)</f>
        <v>6</v>
      </c>
      <c r="C63" s="143">
        <f>COUNTIF(M38:M536, "CHECK!")</f>
        <v>0</v>
      </c>
      <c r="D63" s="107"/>
      <c r="E63" s="14"/>
      <c r="F63" s="24"/>
      <c r="G63" s="25"/>
      <c r="H63" s="17"/>
      <c r="I63" s="18"/>
      <c r="J63" s="19"/>
      <c r="K63" s="14"/>
      <c r="L63" s="100"/>
      <c r="M63" s="20"/>
      <c r="N63" s="21"/>
      <c r="O63" s="107"/>
      <c r="P63" s="22">
        <v>47635</v>
      </c>
      <c r="Q63" s="105">
        <f t="shared" si="0"/>
        <v>0</v>
      </c>
      <c r="R63" s="107"/>
      <c r="S63" s="107"/>
      <c r="T63" s="107"/>
      <c r="U63" s="107"/>
      <c r="V63" s="107"/>
    </row>
    <row r="64" spans="1:22" s="12" customFormat="1" ht="19.149999999999999" customHeight="1" x14ac:dyDescent="0.2">
      <c r="A64" s="116" t="s">
        <v>161</v>
      </c>
      <c r="B64" s="116" t="s">
        <v>162</v>
      </c>
      <c r="C64" s="122" t="s">
        <v>266</v>
      </c>
      <c r="D64" s="107"/>
      <c r="E64" s="14"/>
      <c r="F64" s="24"/>
      <c r="G64" s="25"/>
      <c r="H64" s="17"/>
      <c r="I64" s="18"/>
      <c r="J64" s="19"/>
      <c r="K64" s="14"/>
      <c r="L64" s="100"/>
      <c r="M64" s="20"/>
      <c r="N64" s="21"/>
      <c r="O64" s="107"/>
      <c r="P64" s="22">
        <v>47665</v>
      </c>
      <c r="Q64" s="105">
        <f t="shared" si="0"/>
        <v>0</v>
      </c>
      <c r="R64" s="107"/>
      <c r="S64" s="107"/>
      <c r="T64" s="107"/>
      <c r="U64" s="107"/>
      <c r="V64" s="107"/>
    </row>
    <row r="65" spans="1:22" s="12" customFormat="1" ht="19.149999999999999" customHeight="1" x14ac:dyDescent="0.2">
      <c r="A65" s="139">
        <f>SUMIFS(H44:H342,E44:E342,"&lt;&gt;")</f>
        <v>15000</v>
      </c>
      <c r="B65" s="139">
        <f>SUMIFS(I44:I342,F44:F342,"&lt;&gt;")</f>
        <v>67.2</v>
      </c>
      <c r="C65" s="142">
        <f>SUM(J2:J500)</f>
        <v>73966.040000000008</v>
      </c>
      <c r="D65" s="107"/>
      <c r="E65" s="14"/>
      <c r="F65" s="24"/>
      <c r="G65" s="25"/>
      <c r="H65" s="17"/>
      <c r="I65" s="18"/>
      <c r="J65" s="19"/>
      <c r="K65" s="14"/>
      <c r="L65" s="100"/>
      <c r="M65" s="20"/>
      <c r="N65" s="21"/>
      <c r="O65" s="107"/>
      <c r="P65" s="22">
        <v>47696</v>
      </c>
      <c r="Q65" s="105">
        <f t="shared" si="0"/>
        <v>0</v>
      </c>
      <c r="R65" s="107"/>
      <c r="S65" s="107"/>
      <c r="T65" s="107"/>
      <c r="U65" s="107"/>
      <c r="V65" s="107"/>
    </row>
    <row r="66" spans="1:22" s="12" customFormat="1" ht="19.149999999999999" customHeight="1" x14ac:dyDescent="0.2">
      <c r="A66" s="107"/>
      <c r="B66" s="107"/>
      <c r="C66" s="107"/>
      <c r="D66" s="107"/>
      <c r="E66" s="14"/>
      <c r="F66" s="24"/>
      <c r="G66" s="25"/>
      <c r="H66" s="17"/>
      <c r="I66" s="18"/>
      <c r="J66" s="19"/>
      <c r="K66" s="14"/>
      <c r="L66" s="100"/>
      <c r="M66" s="20"/>
      <c r="N66" s="21"/>
      <c r="O66" s="107"/>
      <c r="P66" s="22">
        <v>47727</v>
      </c>
      <c r="Q66" s="105">
        <f t="shared" ref="Q66:Q68" si="6">SUMIFS(J$2:J$1000, F$2:F$1000, "&gt;=" &amp; DATE(YEAR(P66), MONTH(P66), 1), F$2:F$1000, "&lt;=" &amp; EOMONTH(P66, 0))</f>
        <v>0</v>
      </c>
      <c r="R66" s="107"/>
      <c r="S66" s="107"/>
      <c r="T66" s="107"/>
      <c r="U66" s="107"/>
      <c r="V66" s="107"/>
    </row>
    <row r="67" spans="1:22" s="12" customFormat="1" ht="19.149999999999999" customHeight="1" x14ac:dyDescent="0.2">
      <c r="A67" s="107"/>
      <c r="B67" s="107"/>
      <c r="C67" s="107"/>
      <c r="D67" s="107"/>
      <c r="E67" s="14"/>
      <c r="F67" s="24"/>
      <c r="G67" s="25"/>
      <c r="H67" s="17"/>
      <c r="I67" s="18"/>
      <c r="J67" s="19"/>
      <c r="K67" s="14"/>
      <c r="L67" s="100"/>
      <c r="M67" s="20"/>
      <c r="N67" s="21"/>
      <c r="O67" s="107"/>
      <c r="P67" s="22">
        <v>47757</v>
      </c>
      <c r="Q67" s="105">
        <f t="shared" si="6"/>
        <v>0</v>
      </c>
      <c r="R67" s="107"/>
      <c r="S67" s="107"/>
      <c r="T67" s="107"/>
      <c r="U67" s="107"/>
      <c r="V67" s="107"/>
    </row>
    <row r="68" spans="1:22" s="12" customFormat="1" ht="19.149999999999999" customHeight="1" x14ac:dyDescent="0.2">
      <c r="A68" s="107"/>
      <c r="B68" s="107"/>
      <c r="C68" s="107"/>
      <c r="D68" s="107"/>
      <c r="E68" s="14"/>
      <c r="F68" s="24"/>
      <c r="G68" s="25"/>
      <c r="H68" s="17"/>
      <c r="I68" s="18"/>
      <c r="J68" s="19"/>
      <c r="K68" s="14"/>
      <c r="L68" s="100"/>
      <c r="M68" s="20"/>
      <c r="N68" s="21"/>
      <c r="O68" s="107"/>
      <c r="P68" s="22">
        <v>47788</v>
      </c>
      <c r="Q68" s="105">
        <f t="shared" si="6"/>
        <v>0</v>
      </c>
      <c r="R68" s="107"/>
      <c r="S68" s="107"/>
      <c r="T68" s="107"/>
      <c r="U68" s="107"/>
      <c r="V68" s="107"/>
    </row>
    <row r="69" spans="1:22" s="12" customFormat="1" ht="19.149999999999999" customHeight="1" x14ac:dyDescent="0.2">
      <c r="A69" s="107"/>
      <c r="B69" s="107"/>
      <c r="C69" s="107"/>
      <c r="D69" s="107"/>
      <c r="E69" s="14"/>
      <c r="F69" s="24"/>
      <c r="G69" s="25"/>
      <c r="H69" s="17"/>
      <c r="I69" s="18"/>
      <c r="J69" s="19"/>
      <c r="K69" s="14"/>
      <c r="L69" s="100"/>
      <c r="M69" s="20"/>
      <c r="N69" s="21"/>
      <c r="O69" s="107"/>
      <c r="P69" s="22"/>
      <c r="Q69" s="26"/>
      <c r="R69" s="107"/>
      <c r="S69" s="107"/>
      <c r="T69" s="107"/>
      <c r="U69" s="107"/>
      <c r="V69" s="107"/>
    </row>
    <row r="70" spans="1:22" s="12" customFormat="1" ht="19.149999999999999" customHeight="1" x14ac:dyDescent="0.2">
      <c r="A70" s="107"/>
      <c r="B70" s="107"/>
      <c r="C70" s="107"/>
      <c r="D70" s="107"/>
      <c r="E70" s="14"/>
      <c r="F70" s="24"/>
      <c r="G70" s="25"/>
      <c r="H70" s="17"/>
      <c r="I70" s="18"/>
      <c r="J70" s="19"/>
      <c r="K70" s="14"/>
      <c r="L70" s="100"/>
      <c r="M70" s="20"/>
      <c r="N70" s="21"/>
      <c r="O70" s="107"/>
      <c r="P70" s="22"/>
      <c r="Q70" s="26"/>
      <c r="R70" s="107"/>
      <c r="S70" s="107"/>
      <c r="T70" s="107"/>
      <c r="U70" s="107"/>
      <c r="V70" s="107"/>
    </row>
    <row r="71" spans="1:22" s="12" customFormat="1" ht="19.149999999999999" customHeight="1" x14ac:dyDescent="0.2">
      <c r="A71" s="107"/>
      <c r="B71" s="107"/>
      <c r="C71" s="107"/>
      <c r="D71" s="107"/>
      <c r="E71" s="14"/>
      <c r="F71" s="24"/>
      <c r="G71" s="25"/>
      <c r="H71" s="17"/>
      <c r="I71" s="18"/>
      <c r="J71" s="19"/>
      <c r="K71" s="14"/>
      <c r="L71" s="100"/>
      <c r="M71" s="20"/>
      <c r="N71" s="21"/>
      <c r="O71" s="107"/>
      <c r="P71" s="22"/>
      <c r="Q71" s="23"/>
      <c r="R71" s="107"/>
      <c r="S71" s="107"/>
      <c r="T71" s="107"/>
      <c r="U71" s="107"/>
      <c r="V71" s="107"/>
    </row>
    <row r="72" spans="1:22" s="12" customFormat="1" ht="19.149999999999999" customHeight="1" x14ac:dyDescent="0.2">
      <c r="A72" s="107"/>
      <c r="B72" s="107"/>
      <c r="C72" s="107"/>
      <c r="D72" s="107"/>
      <c r="E72" s="14"/>
      <c r="F72" s="24"/>
      <c r="G72" s="25"/>
      <c r="H72" s="17"/>
      <c r="I72" s="18"/>
      <c r="J72" s="19"/>
      <c r="K72" s="14"/>
      <c r="L72" s="100"/>
      <c r="M72" s="20"/>
      <c r="N72" s="21"/>
      <c r="O72" s="107"/>
      <c r="P72" s="22"/>
      <c r="Q72" s="23"/>
      <c r="R72" s="107"/>
      <c r="S72" s="107"/>
      <c r="T72" s="107"/>
      <c r="U72" s="107"/>
      <c r="V72" s="107"/>
    </row>
    <row r="73" spans="1:22" s="12" customFormat="1" ht="19.149999999999999" customHeight="1" x14ac:dyDescent="0.2">
      <c r="A73" s="107"/>
      <c r="B73" s="107"/>
      <c r="C73" s="107"/>
      <c r="D73" s="107"/>
      <c r="E73" s="14"/>
      <c r="F73" s="24"/>
      <c r="G73" s="25"/>
      <c r="H73" s="17"/>
      <c r="I73" s="18"/>
      <c r="J73" s="19"/>
      <c r="K73" s="14"/>
      <c r="L73" s="100"/>
      <c r="M73" s="20"/>
      <c r="N73" s="21"/>
      <c r="O73" s="107"/>
      <c r="P73" s="22"/>
      <c r="Q73" s="23"/>
      <c r="R73" s="107"/>
      <c r="S73" s="107"/>
      <c r="T73" s="107"/>
      <c r="U73" s="107"/>
      <c r="V73" s="107"/>
    </row>
    <row r="74" spans="1:22" s="12" customFormat="1" ht="19.149999999999999" customHeight="1" x14ac:dyDescent="0.2">
      <c r="A74" s="107"/>
      <c r="B74" s="107"/>
      <c r="C74" s="107"/>
      <c r="D74" s="107"/>
      <c r="E74" s="14"/>
      <c r="F74" s="24"/>
      <c r="G74" s="25"/>
      <c r="H74" s="17"/>
      <c r="I74" s="18"/>
      <c r="J74" s="19"/>
      <c r="K74" s="14"/>
      <c r="L74" s="100"/>
      <c r="M74" s="20"/>
      <c r="N74" s="21"/>
      <c r="O74" s="107"/>
      <c r="P74" s="22"/>
      <c r="Q74" s="23"/>
      <c r="R74" s="107"/>
      <c r="S74" s="107"/>
      <c r="T74" s="107"/>
      <c r="U74" s="107"/>
      <c r="V74" s="107"/>
    </row>
    <row r="75" spans="1:22" s="12" customFormat="1" ht="19.149999999999999" customHeight="1" x14ac:dyDescent="0.2">
      <c r="A75" s="107"/>
      <c r="B75" s="107"/>
      <c r="C75" s="107"/>
      <c r="D75" s="107"/>
      <c r="E75" s="82"/>
      <c r="F75" s="83"/>
      <c r="G75" s="25"/>
      <c r="H75" s="84"/>
      <c r="I75" s="85"/>
      <c r="J75" s="86"/>
      <c r="K75" s="82"/>
      <c r="L75" s="100"/>
      <c r="M75" s="87"/>
      <c r="N75" s="88"/>
      <c r="O75" s="107"/>
      <c r="P75" s="22"/>
      <c r="Q75" s="23"/>
      <c r="R75" s="107"/>
      <c r="S75" s="107"/>
      <c r="T75" s="107"/>
      <c r="U75" s="107"/>
      <c r="V75" s="107"/>
    </row>
    <row r="76" spans="1:22" s="12" customFormat="1" ht="19.149999999999999" customHeight="1" x14ac:dyDescent="0.2">
      <c r="A76" s="107"/>
      <c r="B76" s="107"/>
      <c r="C76" s="107"/>
      <c r="D76" s="107"/>
      <c r="E76" s="14"/>
      <c r="F76" s="24"/>
      <c r="G76" s="25"/>
      <c r="H76" s="17"/>
      <c r="I76" s="18"/>
      <c r="J76" s="19"/>
      <c r="K76" s="56"/>
      <c r="L76" s="100"/>
      <c r="M76" s="20"/>
      <c r="N76" s="21"/>
      <c r="O76" s="107"/>
      <c r="P76" s="22"/>
      <c r="Q76" s="23"/>
      <c r="R76" s="107"/>
      <c r="S76" s="107"/>
      <c r="T76" s="107"/>
      <c r="U76" s="107"/>
      <c r="V76" s="107"/>
    </row>
    <row r="77" spans="1:22" s="12" customFormat="1" ht="19.149999999999999" customHeight="1" x14ac:dyDescent="0.2">
      <c r="A77" s="107"/>
      <c r="B77" s="107"/>
      <c r="C77" s="107"/>
      <c r="D77" s="107"/>
      <c r="E77" s="14"/>
      <c r="F77" s="24"/>
      <c r="G77" s="25"/>
      <c r="H77" s="17"/>
      <c r="I77" s="18"/>
      <c r="J77" s="19"/>
      <c r="K77" s="56"/>
      <c r="L77" s="100"/>
      <c r="M77" s="20"/>
      <c r="N77" s="21"/>
      <c r="O77" s="107"/>
      <c r="P77" s="22"/>
      <c r="Q77" s="23"/>
      <c r="R77" s="107"/>
      <c r="S77" s="107"/>
      <c r="T77" s="107"/>
      <c r="U77" s="107"/>
      <c r="V77" s="107"/>
    </row>
    <row r="78" spans="1:22" s="12" customFormat="1" ht="19.149999999999999" customHeight="1" x14ac:dyDescent="0.2">
      <c r="A78" s="107"/>
      <c r="B78" s="107"/>
      <c r="C78" s="107"/>
      <c r="D78" s="107"/>
      <c r="E78" s="82"/>
      <c r="F78" s="83"/>
      <c r="G78" s="25"/>
      <c r="H78" s="84"/>
      <c r="I78" s="85"/>
      <c r="J78" s="86"/>
      <c r="K78" s="56"/>
      <c r="L78" s="100"/>
      <c r="M78" s="87"/>
      <c r="N78" s="88"/>
      <c r="O78" s="107"/>
      <c r="P78" s="22"/>
      <c r="Q78" s="23"/>
      <c r="R78" s="107"/>
      <c r="S78" s="107"/>
      <c r="T78" s="107"/>
      <c r="U78" s="107"/>
      <c r="V78" s="107"/>
    </row>
    <row r="79" spans="1:22" s="12" customFormat="1" ht="19.149999999999999" customHeight="1" x14ac:dyDescent="0.2">
      <c r="A79" s="107"/>
      <c r="B79" s="107"/>
      <c r="C79" s="107"/>
      <c r="D79" s="107"/>
      <c r="E79" s="82"/>
      <c r="F79" s="83"/>
      <c r="G79" s="25"/>
      <c r="H79" s="84"/>
      <c r="I79" s="85"/>
      <c r="J79" s="19"/>
      <c r="K79" s="56"/>
      <c r="L79" s="100"/>
      <c r="M79" s="20"/>
      <c r="N79" s="88"/>
      <c r="O79" s="107"/>
      <c r="P79" s="22"/>
      <c r="Q79" s="23"/>
      <c r="R79" s="107"/>
      <c r="S79" s="107"/>
      <c r="T79" s="107"/>
      <c r="U79" s="107"/>
      <c r="V79" s="107"/>
    </row>
    <row r="80" spans="1:22" s="12" customFormat="1" ht="19.149999999999999" customHeight="1" x14ac:dyDescent="0.2">
      <c r="A80" s="107"/>
      <c r="B80" s="107"/>
      <c r="C80" s="107"/>
      <c r="D80" s="107"/>
      <c r="E80" s="82"/>
      <c r="F80" s="83"/>
      <c r="G80" s="25"/>
      <c r="H80" s="84"/>
      <c r="I80" s="85"/>
      <c r="J80" s="19"/>
      <c r="K80" s="56"/>
      <c r="L80" s="100"/>
      <c r="M80" s="20"/>
      <c r="N80" s="88"/>
      <c r="O80" s="107"/>
      <c r="P80" s="22"/>
      <c r="Q80" s="23"/>
      <c r="R80" s="107"/>
      <c r="S80" s="107"/>
      <c r="T80" s="107"/>
      <c r="U80" s="107"/>
      <c r="V80" s="107"/>
    </row>
    <row r="81" spans="1:22" s="12" customFormat="1" ht="19.149999999999999" customHeight="1" x14ac:dyDescent="0.2">
      <c r="A81" s="107"/>
      <c r="B81" s="107"/>
      <c r="C81" s="107"/>
      <c r="D81" s="107"/>
      <c r="E81" s="82"/>
      <c r="F81" s="83"/>
      <c r="G81" s="25"/>
      <c r="H81" s="84"/>
      <c r="I81" s="85"/>
      <c r="J81" s="86"/>
      <c r="K81" s="56"/>
      <c r="L81" s="100"/>
      <c r="M81" s="87"/>
      <c r="N81" s="88"/>
      <c r="O81" s="107"/>
      <c r="P81" s="22"/>
      <c r="Q81" s="23"/>
      <c r="R81" s="107"/>
      <c r="S81" s="107"/>
      <c r="T81" s="107"/>
      <c r="U81" s="107"/>
      <c r="V81" s="107"/>
    </row>
    <row r="82" spans="1:22" s="12" customFormat="1" ht="19.149999999999999" customHeight="1" x14ac:dyDescent="0.2">
      <c r="A82" s="107"/>
      <c r="B82" s="107"/>
      <c r="C82" s="107"/>
      <c r="D82" s="107"/>
      <c r="E82" s="82"/>
      <c r="F82" s="83"/>
      <c r="G82" s="25"/>
      <c r="H82" s="84"/>
      <c r="I82" s="85"/>
      <c r="J82" s="19"/>
      <c r="K82" s="56"/>
      <c r="L82" s="100"/>
      <c r="M82" s="20"/>
      <c r="N82" s="88"/>
      <c r="O82" s="107"/>
      <c r="P82" s="22"/>
      <c r="Q82" s="23"/>
      <c r="R82" s="107"/>
      <c r="S82" s="107"/>
      <c r="T82" s="107"/>
      <c r="U82" s="107"/>
      <c r="V82" s="107"/>
    </row>
    <row r="83" spans="1:22" s="12" customFormat="1" ht="19.149999999999999" customHeight="1" x14ac:dyDescent="0.2">
      <c r="A83" s="107"/>
      <c r="B83" s="107"/>
      <c r="C83" s="107"/>
      <c r="D83" s="107"/>
      <c r="E83" s="82"/>
      <c r="F83" s="83"/>
      <c r="G83" s="25"/>
      <c r="H83" s="84"/>
      <c r="I83" s="85"/>
      <c r="J83" s="19"/>
      <c r="K83" s="56"/>
      <c r="L83" s="100"/>
      <c r="M83" s="20"/>
      <c r="N83" s="88"/>
      <c r="O83" s="107"/>
      <c r="P83" s="22"/>
      <c r="Q83" s="23"/>
      <c r="R83" s="107"/>
      <c r="S83" s="107"/>
      <c r="T83" s="107"/>
      <c r="U83" s="107"/>
      <c r="V83" s="107"/>
    </row>
    <row r="84" spans="1:22" s="12" customFormat="1" ht="19.149999999999999" customHeight="1" x14ac:dyDescent="0.2">
      <c r="A84" s="107"/>
      <c r="B84" s="107"/>
      <c r="C84" s="107"/>
      <c r="D84" s="107"/>
      <c r="E84" s="82"/>
      <c r="F84" s="83"/>
      <c r="G84" s="25"/>
      <c r="H84" s="84"/>
      <c r="I84" s="85"/>
      <c r="J84" s="86"/>
      <c r="K84" s="56"/>
      <c r="L84" s="100"/>
      <c r="M84" s="87"/>
      <c r="N84" s="88"/>
      <c r="O84" s="107"/>
      <c r="P84" s="22"/>
      <c r="Q84" s="23"/>
      <c r="R84" s="107"/>
      <c r="S84" s="107"/>
      <c r="T84" s="107"/>
      <c r="U84" s="107"/>
      <c r="V84" s="107"/>
    </row>
    <row r="85" spans="1:22" s="12" customFormat="1" ht="19.149999999999999" customHeight="1" x14ac:dyDescent="0.2">
      <c r="A85" s="107"/>
      <c r="B85" s="107"/>
      <c r="C85" s="107"/>
      <c r="D85" s="107"/>
      <c r="E85" s="82"/>
      <c r="F85" s="83"/>
      <c r="G85" s="25"/>
      <c r="H85" s="84"/>
      <c r="I85" s="85"/>
      <c r="J85" s="19"/>
      <c r="K85" s="56"/>
      <c r="L85" s="100"/>
      <c r="M85" s="20"/>
      <c r="N85" s="88"/>
      <c r="O85" s="107"/>
      <c r="P85" s="22"/>
      <c r="Q85" s="23"/>
      <c r="R85" s="107"/>
      <c r="S85" s="107"/>
      <c r="T85" s="107"/>
      <c r="U85" s="107"/>
      <c r="V85" s="107"/>
    </row>
    <row r="86" spans="1:22" s="12" customFormat="1" ht="19.149999999999999" customHeight="1" x14ac:dyDescent="0.2">
      <c r="A86" s="107"/>
      <c r="B86" s="107"/>
      <c r="C86" s="107"/>
      <c r="D86" s="107"/>
      <c r="E86" s="82"/>
      <c r="F86" s="83"/>
      <c r="G86" s="25"/>
      <c r="H86" s="84"/>
      <c r="I86" s="85"/>
      <c r="J86" s="86"/>
      <c r="K86" s="56"/>
      <c r="L86" s="100"/>
      <c r="M86" s="20"/>
      <c r="N86" s="88"/>
      <c r="O86" s="107"/>
      <c r="P86" s="22"/>
      <c r="Q86" s="23"/>
      <c r="R86" s="107"/>
      <c r="S86" s="107"/>
      <c r="T86" s="107"/>
      <c r="U86" s="107"/>
      <c r="V86" s="107"/>
    </row>
    <row r="87" spans="1:22" s="12" customFormat="1" ht="19.149999999999999" customHeight="1" x14ac:dyDescent="0.2">
      <c r="A87" s="107"/>
      <c r="B87" s="107"/>
      <c r="C87" s="107"/>
      <c r="D87" s="107"/>
      <c r="E87" s="82"/>
      <c r="F87" s="83"/>
      <c r="G87" s="25"/>
      <c r="H87" s="84"/>
      <c r="I87" s="85"/>
      <c r="J87" s="19"/>
      <c r="K87" s="56"/>
      <c r="L87" s="100"/>
      <c r="M87" s="87"/>
      <c r="N87" s="88"/>
      <c r="O87" s="107"/>
      <c r="P87" s="22"/>
      <c r="Q87" s="23"/>
      <c r="R87" s="107"/>
      <c r="S87" s="107"/>
      <c r="T87" s="107"/>
      <c r="U87" s="107"/>
      <c r="V87" s="107"/>
    </row>
    <row r="88" spans="1:22" s="12" customFormat="1" ht="19.149999999999999" customHeight="1" x14ac:dyDescent="0.2">
      <c r="A88" s="107"/>
      <c r="B88" s="107"/>
      <c r="C88" s="107"/>
      <c r="D88" s="107"/>
      <c r="E88" s="82"/>
      <c r="F88" s="83"/>
      <c r="G88" s="25"/>
      <c r="H88" s="84"/>
      <c r="I88" s="85"/>
      <c r="J88" s="86"/>
      <c r="K88" s="56"/>
      <c r="L88" s="100"/>
      <c r="M88" s="20"/>
      <c r="N88" s="88"/>
      <c r="O88" s="107"/>
      <c r="P88" s="22"/>
      <c r="Q88" s="23"/>
      <c r="R88" s="107"/>
      <c r="S88" s="107"/>
      <c r="T88" s="107"/>
      <c r="U88" s="107"/>
      <c r="V88" s="107"/>
    </row>
    <row r="89" spans="1:22" s="12" customFormat="1" ht="19.149999999999999" customHeight="1" x14ac:dyDescent="0.2">
      <c r="A89" s="107"/>
      <c r="B89" s="107"/>
      <c r="C89" s="107"/>
      <c r="D89" s="107"/>
      <c r="E89" s="82"/>
      <c r="F89" s="83"/>
      <c r="G89" s="25"/>
      <c r="H89" s="84"/>
      <c r="I89" s="85"/>
      <c r="J89" s="86"/>
      <c r="K89" s="82"/>
      <c r="L89" s="100"/>
      <c r="M89" s="87"/>
      <c r="N89" s="88"/>
      <c r="O89" s="107"/>
      <c r="P89" s="22"/>
      <c r="Q89" s="23"/>
      <c r="R89" s="107"/>
      <c r="S89" s="107"/>
      <c r="T89" s="107"/>
      <c r="U89" s="107"/>
      <c r="V89" s="107"/>
    </row>
    <row r="90" spans="1:22" s="12" customFormat="1" ht="19.149999999999999" customHeight="1" x14ac:dyDescent="0.2">
      <c r="A90" s="107"/>
      <c r="B90" s="28"/>
      <c r="C90" s="107"/>
      <c r="D90" s="107"/>
      <c r="E90" s="82"/>
      <c r="F90" s="83"/>
      <c r="G90" s="25"/>
      <c r="H90" s="84"/>
      <c r="I90" s="85"/>
      <c r="J90" s="86"/>
      <c r="K90" s="82"/>
      <c r="L90" s="100"/>
      <c r="M90" s="87"/>
      <c r="N90" s="88"/>
      <c r="O90" s="107"/>
      <c r="P90" s="22"/>
      <c r="Q90" s="23"/>
      <c r="R90" s="107"/>
      <c r="S90" s="107"/>
      <c r="T90" s="107"/>
      <c r="U90" s="107"/>
      <c r="V90" s="107"/>
    </row>
    <row r="91" spans="1:22" s="12" customFormat="1" ht="19.149999999999999" customHeight="1" x14ac:dyDescent="0.2">
      <c r="A91" s="107"/>
      <c r="B91" s="107"/>
      <c r="C91" s="107"/>
      <c r="D91" s="107"/>
      <c r="E91" s="82"/>
      <c r="F91" s="83"/>
      <c r="G91" s="25"/>
      <c r="H91" s="84"/>
      <c r="I91" s="85"/>
      <c r="J91" s="86"/>
      <c r="K91" s="82"/>
      <c r="L91" s="100"/>
      <c r="M91" s="87"/>
      <c r="N91" s="88"/>
      <c r="O91" s="107"/>
      <c r="P91" s="22"/>
      <c r="Q91" s="23"/>
      <c r="R91" s="107"/>
      <c r="S91" s="107"/>
      <c r="T91" s="107"/>
      <c r="U91" s="107"/>
      <c r="V91" s="107"/>
    </row>
    <row r="92" spans="1:22" s="12" customFormat="1" ht="19.149999999999999" customHeight="1" x14ac:dyDescent="0.2">
      <c r="A92" s="107"/>
      <c r="B92" s="107"/>
      <c r="C92" s="107"/>
      <c r="D92" s="107"/>
      <c r="E92" s="82"/>
      <c r="F92" s="83"/>
      <c r="G92" s="25"/>
      <c r="H92" s="84"/>
      <c r="I92" s="85"/>
      <c r="J92" s="86"/>
      <c r="K92" s="82"/>
      <c r="L92" s="100"/>
      <c r="M92" s="87"/>
      <c r="N92" s="88"/>
      <c r="O92" s="107"/>
      <c r="P92" s="22"/>
      <c r="Q92" s="23"/>
      <c r="R92" s="107"/>
      <c r="S92" s="107"/>
      <c r="T92" s="107"/>
      <c r="U92" s="107"/>
      <c r="V92" s="107"/>
    </row>
    <row r="93" spans="1:22" s="12" customFormat="1" ht="19.149999999999999" customHeight="1" x14ac:dyDescent="0.2">
      <c r="A93" s="107"/>
      <c r="B93" s="107"/>
      <c r="C93" s="107"/>
      <c r="D93" s="107"/>
      <c r="E93" s="82"/>
      <c r="F93" s="83"/>
      <c r="G93" s="25"/>
      <c r="H93" s="84"/>
      <c r="I93" s="85"/>
      <c r="J93" s="86"/>
      <c r="K93" s="82"/>
      <c r="L93" s="100"/>
      <c r="M93" s="87"/>
      <c r="N93" s="88"/>
      <c r="O93" s="107"/>
      <c r="P93" s="22"/>
      <c r="Q93" s="23"/>
      <c r="R93" s="107"/>
      <c r="S93" s="107"/>
      <c r="T93" s="107"/>
      <c r="U93" s="107"/>
      <c r="V93" s="107"/>
    </row>
    <row r="94" spans="1:22" s="12" customFormat="1" ht="19.149999999999999" customHeight="1" x14ac:dyDescent="0.2">
      <c r="A94" s="107"/>
      <c r="B94" s="107"/>
      <c r="C94" s="107"/>
      <c r="D94" s="107"/>
      <c r="E94" s="82"/>
      <c r="F94" s="83"/>
      <c r="G94" s="25"/>
      <c r="H94" s="84"/>
      <c r="I94" s="85"/>
      <c r="J94" s="86"/>
      <c r="K94" s="82"/>
      <c r="L94" s="100"/>
      <c r="M94" s="87"/>
      <c r="N94" s="88"/>
      <c r="O94" s="107"/>
      <c r="P94" s="22"/>
      <c r="Q94" s="23"/>
      <c r="R94" s="107"/>
      <c r="S94" s="107"/>
      <c r="T94" s="107"/>
      <c r="U94" s="107"/>
      <c r="V94" s="107"/>
    </row>
    <row r="95" spans="1:22" s="12" customFormat="1" ht="19.149999999999999" customHeight="1" x14ac:dyDescent="0.2">
      <c r="A95" s="107"/>
      <c r="B95" s="107"/>
      <c r="C95" s="107"/>
      <c r="D95" s="107"/>
      <c r="E95" s="82"/>
      <c r="F95" s="83"/>
      <c r="G95" s="25"/>
      <c r="H95" s="84"/>
      <c r="I95" s="85"/>
      <c r="J95" s="86"/>
      <c r="K95" s="82"/>
      <c r="L95" s="100"/>
      <c r="M95" s="87"/>
      <c r="N95" s="88"/>
      <c r="O95" s="107"/>
      <c r="P95" s="22"/>
      <c r="Q95" s="23"/>
      <c r="R95" s="107"/>
      <c r="S95" s="107"/>
      <c r="T95" s="107"/>
      <c r="U95" s="107"/>
      <c r="V95" s="107"/>
    </row>
    <row r="96" spans="1:22" s="12" customFormat="1" ht="19.149999999999999" customHeight="1" x14ac:dyDescent="0.2">
      <c r="A96" s="107"/>
      <c r="B96" s="107"/>
      <c r="C96" s="107"/>
      <c r="D96" s="107"/>
      <c r="E96" s="82"/>
      <c r="F96" s="83"/>
      <c r="G96" s="25"/>
      <c r="H96" s="84"/>
      <c r="I96" s="85"/>
      <c r="J96" s="86"/>
      <c r="K96" s="82"/>
      <c r="L96" s="100"/>
      <c r="M96" s="87"/>
      <c r="N96" s="88"/>
      <c r="O96" s="107"/>
      <c r="P96" s="22"/>
      <c r="Q96" s="23"/>
      <c r="R96" s="107"/>
      <c r="S96" s="107"/>
      <c r="T96" s="107"/>
      <c r="U96" s="107"/>
      <c r="V96" s="107"/>
    </row>
    <row r="97" spans="1:22" s="12" customFormat="1" ht="19.149999999999999" customHeight="1" x14ac:dyDescent="0.2">
      <c r="A97" s="107"/>
      <c r="B97" s="107"/>
      <c r="C97" s="107"/>
      <c r="D97" s="107"/>
      <c r="E97" s="82"/>
      <c r="F97" s="83"/>
      <c r="G97" s="25"/>
      <c r="H97" s="84"/>
      <c r="I97" s="85"/>
      <c r="J97" s="86"/>
      <c r="K97" s="82"/>
      <c r="L97" s="100"/>
      <c r="M97" s="87"/>
      <c r="N97" s="88"/>
      <c r="O97" s="107"/>
      <c r="P97" s="22"/>
      <c r="Q97" s="23"/>
      <c r="R97" s="107"/>
      <c r="S97" s="107"/>
      <c r="T97" s="107"/>
      <c r="U97" s="107"/>
      <c r="V97" s="107"/>
    </row>
    <row r="98" spans="1:22" s="12" customFormat="1" ht="19.149999999999999" customHeight="1" x14ac:dyDescent="0.2">
      <c r="A98" s="107"/>
      <c r="B98" s="107"/>
      <c r="C98" s="107"/>
      <c r="D98" s="107"/>
      <c r="E98" s="82"/>
      <c r="F98" s="83"/>
      <c r="G98" s="25"/>
      <c r="H98" s="84"/>
      <c r="I98" s="85"/>
      <c r="J98" s="86"/>
      <c r="K98" s="82"/>
      <c r="L98" s="100"/>
      <c r="M98" s="87"/>
      <c r="N98" s="88"/>
      <c r="O98" s="107"/>
      <c r="P98" s="22"/>
      <c r="Q98" s="23"/>
      <c r="R98" s="107"/>
      <c r="S98" s="107"/>
      <c r="T98" s="107"/>
      <c r="U98" s="107"/>
      <c r="V98" s="107"/>
    </row>
    <row r="99" spans="1:22" s="12" customFormat="1" ht="19.149999999999999" customHeight="1" x14ac:dyDescent="0.2">
      <c r="A99" s="107"/>
      <c r="B99" s="107"/>
      <c r="C99" s="107"/>
      <c r="D99" s="107"/>
      <c r="E99" s="82"/>
      <c r="F99" s="83"/>
      <c r="G99" s="25"/>
      <c r="H99" s="84"/>
      <c r="I99" s="85"/>
      <c r="J99" s="86"/>
      <c r="K99" s="82"/>
      <c r="L99" s="100"/>
      <c r="M99" s="87"/>
      <c r="N99" s="88"/>
      <c r="O99" s="107"/>
      <c r="P99" s="22"/>
      <c r="Q99" s="23"/>
      <c r="R99" s="107"/>
      <c r="S99" s="107"/>
      <c r="T99" s="107"/>
      <c r="U99" s="107"/>
      <c r="V99" s="107"/>
    </row>
    <row r="100" spans="1:22" s="12" customFormat="1" ht="19.149999999999999" customHeight="1" x14ac:dyDescent="0.2">
      <c r="A100" s="107"/>
      <c r="B100" s="107"/>
      <c r="C100" s="107"/>
      <c r="D100" s="107"/>
      <c r="E100" s="82"/>
      <c r="F100" s="83"/>
      <c r="G100" s="25"/>
      <c r="H100" s="84"/>
      <c r="I100" s="85"/>
      <c r="J100" s="86"/>
      <c r="K100" s="82"/>
      <c r="L100" s="100"/>
      <c r="M100" s="87"/>
      <c r="N100" s="88"/>
      <c r="O100" s="107"/>
      <c r="P100" s="22"/>
      <c r="Q100" s="23"/>
      <c r="R100" s="107"/>
      <c r="S100" s="107"/>
      <c r="T100" s="107"/>
      <c r="U100" s="107"/>
      <c r="V100" s="107"/>
    </row>
    <row r="101" spans="1:22" s="12" customFormat="1" ht="19.149999999999999" customHeight="1" x14ac:dyDescent="0.2">
      <c r="A101" s="107"/>
      <c r="B101" s="107"/>
      <c r="C101" s="107"/>
      <c r="D101" s="107"/>
      <c r="E101" s="82"/>
      <c r="F101" s="83"/>
      <c r="G101" s="25"/>
      <c r="H101" s="84"/>
      <c r="I101" s="85"/>
      <c r="J101" s="86"/>
      <c r="K101" s="82"/>
      <c r="L101" s="100"/>
      <c r="M101" s="87"/>
      <c r="N101" s="88"/>
      <c r="O101" s="107"/>
      <c r="P101" s="22"/>
      <c r="Q101" s="23"/>
      <c r="R101" s="107"/>
      <c r="S101" s="107"/>
      <c r="T101" s="107"/>
      <c r="U101" s="107"/>
      <c r="V101" s="107"/>
    </row>
    <row r="102" spans="1:22" s="12" customFormat="1" ht="19.149999999999999" customHeight="1" x14ac:dyDescent="0.2">
      <c r="A102" s="107"/>
      <c r="B102" s="107"/>
      <c r="C102" s="107"/>
      <c r="D102" s="107"/>
      <c r="E102" s="82"/>
      <c r="F102" s="83"/>
      <c r="G102" s="25"/>
      <c r="H102" s="84"/>
      <c r="I102" s="85"/>
      <c r="J102" s="86"/>
      <c r="K102" s="82"/>
      <c r="L102" s="100"/>
      <c r="M102" s="87"/>
      <c r="N102" s="88"/>
      <c r="O102" s="107"/>
      <c r="P102" s="22"/>
      <c r="Q102" s="23"/>
      <c r="R102" s="107"/>
      <c r="S102" s="107"/>
      <c r="T102" s="107"/>
      <c r="U102" s="107"/>
      <c r="V102" s="107"/>
    </row>
    <row r="103" spans="1:22" s="12" customFormat="1" ht="19.149999999999999" customHeight="1" x14ac:dyDescent="0.2">
      <c r="A103" s="107"/>
      <c r="B103" s="107"/>
      <c r="C103" s="107"/>
      <c r="D103" s="107"/>
      <c r="E103" s="82"/>
      <c r="F103" s="83"/>
      <c r="G103" s="25"/>
      <c r="H103" s="84"/>
      <c r="I103" s="85"/>
      <c r="J103" s="86"/>
      <c r="K103" s="82"/>
      <c r="L103" s="100"/>
      <c r="M103" s="87"/>
      <c r="N103" s="88"/>
      <c r="O103" s="107"/>
      <c r="P103" s="22"/>
      <c r="Q103" s="23"/>
      <c r="R103" s="107"/>
      <c r="S103" s="107"/>
      <c r="T103" s="107"/>
      <c r="U103" s="107"/>
      <c r="V103" s="107"/>
    </row>
    <row r="104" spans="1:22" s="12" customFormat="1" ht="19.149999999999999" customHeight="1" x14ac:dyDescent="0.2">
      <c r="A104" s="107"/>
      <c r="B104" s="107"/>
      <c r="C104" s="107"/>
      <c r="D104" s="107"/>
      <c r="E104" s="82"/>
      <c r="F104" s="83"/>
      <c r="G104" s="25"/>
      <c r="H104" s="84"/>
      <c r="I104" s="85"/>
      <c r="J104" s="86"/>
      <c r="K104" s="82"/>
      <c r="L104" s="100"/>
      <c r="M104" s="87"/>
      <c r="N104" s="88"/>
      <c r="O104" s="107"/>
      <c r="P104" s="22"/>
      <c r="Q104" s="23"/>
      <c r="R104" s="107"/>
      <c r="S104" s="107"/>
      <c r="T104" s="107"/>
      <c r="U104" s="107"/>
      <c r="V104" s="107"/>
    </row>
    <row r="105" spans="1:22" s="12" customFormat="1" ht="19.149999999999999" customHeight="1" x14ac:dyDescent="0.2">
      <c r="A105" s="107"/>
      <c r="B105" s="107"/>
      <c r="C105" s="107"/>
      <c r="D105" s="107"/>
      <c r="E105" s="82"/>
      <c r="F105" s="83"/>
      <c r="G105" s="25"/>
      <c r="H105" s="84"/>
      <c r="I105" s="85"/>
      <c r="J105" s="86"/>
      <c r="K105" s="82"/>
      <c r="L105" s="100"/>
      <c r="M105" s="87"/>
      <c r="N105" s="88"/>
      <c r="O105" s="107"/>
      <c r="P105" s="22"/>
      <c r="Q105" s="23"/>
      <c r="R105" s="107"/>
      <c r="S105" s="107"/>
      <c r="T105" s="107"/>
      <c r="U105" s="107"/>
      <c r="V105" s="107"/>
    </row>
    <row r="106" spans="1:22" s="12" customFormat="1" ht="19.149999999999999" customHeight="1" x14ac:dyDescent="0.2">
      <c r="A106" s="107"/>
      <c r="B106" s="107"/>
      <c r="C106" s="107"/>
      <c r="D106" s="107"/>
      <c r="E106" s="82"/>
      <c r="F106" s="83"/>
      <c r="G106" s="25"/>
      <c r="H106" s="84"/>
      <c r="I106" s="85"/>
      <c r="J106" s="86"/>
      <c r="K106" s="82"/>
      <c r="L106" s="100"/>
      <c r="M106" s="87"/>
      <c r="N106" s="88"/>
      <c r="O106" s="107"/>
      <c r="P106" s="22"/>
      <c r="Q106" s="23"/>
      <c r="R106" s="107"/>
      <c r="S106" s="107"/>
      <c r="T106" s="107"/>
      <c r="U106" s="107"/>
      <c r="V106" s="107"/>
    </row>
    <row r="107" spans="1:22" s="12" customFormat="1" ht="19.149999999999999" customHeight="1" x14ac:dyDescent="0.2">
      <c r="A107" s="107"/>
      <c r="B107" s="107"/>
      <c r="C107" s="107"/>
      <c r="D107" s="107"/>
      <c r="E107" s="82"/>
      <c r="F107" s="83"/>
      <c r="G107" s="25"/>
      <c r="H107" s="84"/>
      <c r="I107" s="85"/>
      <c r="J107" s="86"/>
      <c r="K107" s="82"/>
      <c r="L107" s="100"/>
      <c r="M107" s="87"/>
      <c r="N107" s="88"/>
      <c r="O107" s="107"/>
      <c r="P107" s="22"/>
      <c r="Q107" s="23"/>
      <c r="R107" s="107"/>
      <c r="S107" s="107"/>
      <c r="T107" s="107"/>
      <c r="U107" s="107"/>
      <c r="V107" s="107"/>
    </row>
    <row r="108" spans="1:22" s="12" customFormat="1" ht="19.149999999999999" customHeight="1" x14ac:dyDescent="0.2">
      <c r="A108" s="107"/>
      <c r="B108" s="107"/>
      <c r="C108" s="107"/>
      <c r="D108" s="107"/>
      <c r="E108" s="82"/>
      <c r="F108" s="83"/>
      <c r="G108" s="25"/>
      <c r="H108" s="84"/>
      <c r="I108" s="85"/>
      <c r="J108" s="86"/>
      <c r="K108" s="82"/>
      <c r="L108" s="100"/>
      <c r="M108" s="87"/>
      <c r="N108" s="88"/>
      <c r="O108" s="107"/>
      <c r="P108" s="22"/>
      <c r="Q108" s="23"/>
      <c r="R108" s="107"/>
      <c r="S108" s="107"/>
      <c r="T108" s="107"/>
      <c r="U108" s="107"/>
      <c r="V108" s="107"/>
    </row>
    <row r="109" spans="1:22" s="12" customFormat="1" ht="19.149999999999999" customHeight="1" x14ac:dyDescent="0.2">
      <c r="A109" s="107"/>
      <c r="B109" s="107"/>
      <c r="C109" s="107"/>
      <c r="D109" s="107"/>
      <c r="E109" s="82"/>
      <c r="F109" s="83"/>
      <c r="G109" s="25"/>
      <c r="H109" s="84"/>
      <c r="I109" s="85"/>
      <c r="J109" s="86"/>
      <c r="K109" s="82"/>
      <c r="L109" s="100"/>
      <c r="M109" s="87"/>
      <c r="N109" s="88"/>
      <c r="O109" s="107"/>
      <c r="P109" s="22"/>
      <c r="Q109" s="23"/>
      <c r="R109" s="107"/>
      <c r="S109" s="107"/>
      <c r="T109" s="107"/>
      <c r="U109" s="107"/>
      <c r="V109" s="107"/>
    </row>
    <row r="110" spans="1:22" s="12" customFormat="1" ht="19.149999999999999" customHeight="1" x14ac:dyDescent="0.2">
      <c r="A110" s="107"/>
      <c r="B110" s="107"/>
      <c r="C110" s="107"/>
      <c r="D110" s="107"/>
      <c r="E110" s="82"/>
      <c r="F110" s="83"/>
      <c r="G110" s="25"/>
      <c r="H110" s="84"/>
      <c r="I110" s="85"/>
      <c r="J110" s="86"/>
      <c r="K110" s="82"/>
      <c r="L110" s="100"/>
      <c r="M110" s="87"/>
      <c r="N110" s="88"/>
      <c r="O110" s="107"/>
      <c r="P110" s="22"/>
      <c r="Q110" s="23"/>
      <c r="R110" s="107"/>
      <c r="S110" s="107"/>
      <c r="T110" s="107"/>
      <c r="U110" s="107"/>
      <c r="V110" s="107"/>
    </row>
    <row r="111" spans="1:22" s="12" customFormat="1" ht="19.149999999999999" customHeight="1" x14ac:dyDescent="0.2">
      <c r="A111" s="107"/>
      <c r="B111" s="107"/>
      <c r="C111" s="107"/>
      <c r="D111" s="107"/>
      <c r="E111" s="82"/>
      <c r="F111" s="83"/>
      <c r="G111" s="25"/>
      <c r="H111" s="84"/>
      <c r="I111" s="85"/>
      <c r="J111" s="86"/>
      <c r="K111" s="82"/>
      <c r="L111" s="100"/>
      <c r="M111" s="87"/>
      <c r="N111" s="88"/>
      <c r="O111" s="107"/>
      <c r="P111" s="22"/>
      <c r="Q111" s="23"/>
      <c r="R111" s="107"/>
      <c r="S111" s="107"/>
      <c r="T111" s="107"/>
      <c r="U111" s="107"/>
      <c r="V111" s="107"/>
    </row>
    <row r="112" spans="1:22" s="12" customFormat="1" ht="19.149999999999999" customHeight="1" x14ac:dyDescent="0.2">
      <c r="A112" s="107"/>
      <c r="B112" s="28"/>
      <c r="C112" s="107"/>
      <c r="D112" s="107"/>
      <c r="E112" s="82"/>
      <c r="F112" s="83"/>
      <c r="G112" s="25"/>
      <c r="H112" s="84"/>
      <c r="I112" s="85"/>
      <c r="J112" s="86"/>
      <c r="K112" s="82"/>
      <c r="L112" s="100"/>
      <c r="M112" s="87"/>
      <c r="N112" s="88"/>
      <c r="O112" s="107"/>
      <c r="P112" s="22"/>
      <c r="Q112" s="23"/>
      <c r="R112" s="107"/>
      <c r="S112" s="107"/>
      <c r="T112" s="107"/>
      <c r="U112" s="107"/>
      <c r="V112" s="107"/>
    </row>
    <row r="113" spans="1:22" s="12" customFormat="1" ht="19.149999999999999" customHeight="1" x14ac:dyDescent="0.2">
      <c r="A113" s="107"/>
      <c r="B113" s="107"/>
      <c r="C113" s="107"/>
      <c r="D113" s="107"/>
      <c r="E113" s="82"/>
      <c r="F113" s="83"/>
      <c r="G113" s="25"/>
      <c r="H113" s="84"/>
      <c r="I113" s="85"/>
      <c r="J113" s="86"/>
      <c r="K113" s="82"/>
      <c r="L113" s="100"/>
      <c r="M113" s="87"/>
      <c r="N113" s="88"/>
      <c r="O113" s="107"/>
      <c r="P113" s="22"/>
      <c r="Q113" s="23"/>
      <c r="R113" s="107"/>
      <c r="S113" s="107"/>
      <c r="T113" s="107"/>
      <c r="U113" s="107"/>
      <c r="V113" s="107"/>
    </row>
    <row r="114" spans="1:22" s="12" customFormat="1" ht="19.149999999999999" customHeight="1" x14ac:dyDescent="0.2">
      <c r="A114" s="107"/>
      <c r="B114" s="107"/>
      <c r="C114" s="107"/>
      <c r="D114" s="107"/>
      <c r="E114" s="82"/>
      <c r="F114" s="83"/>
      <c r="G114" s="25"/>
      <c r="H114" s="84"/>
      <c r="I114" s="85"/>
      <c r="J114" s="86"/>
      <c r="K114" s="82"/>
      <c r="L114" s="100"/>
      <c r="M114" s="87"/>
      <c r="N114" s="88"/>
      <c r="O114" s="107"/>
      <c r="P114" s="22"/>
      <c r="Q114" s="23"/>
      <c r="R114" s="107"/>
      <c r="S114" s="107"/>
      <c r="T114" s="107"/>
      <c r="U114" s="107"/>
      <c r="V114" s="107"/>
    </row>
    <row r="115" spans="1:22" s="12" customFormat="1" ht="19.149999999999999" customHeight="1" x14ac:dyDescent="0.2">
      <c r="A115" s="107"/>
      <c r="B115" s="107"/>
      <c r="C115" s="107"/>
      <c r="D115" s="107"/>
      <c r="E115" s="82"/>
      <c r="F115" s="83"/>
      <c r="G115" s="25"/>
      <c r="H115" s="84"/>
      <c r="I115" s="85"/>
      <c r="J115" s="86"/>
      <c r="K115" s="82"/>
      <c r="L115" s="100"/>
      <c r="M115" s="87"/>
      <c r="N115" s="88"/>
      <c r="O115" s="107"/>
      <c r="P115" s="22"/>
      <c r="Q115" s="23"/>
      <c r="R115" s="107"/>
      <c r="S115" s="107"/>
      <c r="T115" s="107"/>
      <c r="U115" s="107"/>
      <c r="V115" s="107"/>
    </row>
    <row r="116" spans="1:22" s="12" customFormat="1" ht="19.149999999999999" customHeight="1" x14ac:dyDescent="0.2">
      <c r="A116" s="107"/>
      <c r="B116" s="107"/>
      <c r="C116" s="107"/>
      <c r="D116" s="107"/>
      <c r="E116" s="14"/>
      <c r="F116" s="24"/>
      <c r="G116" s="25"/>
      <c r="H116" s="17"/>
      <c r="I116" s="18"/>
      <c r="J116" s="19"/>
      <c r="K116" s="14"/>
      <c r="L116" s="100"/>
      <c r="M116" s="20"/>
      <c r="N116" s="21"/>
      <c r="O116" s="107"/>
      <c r="P116" s="22"/>
      <c r="Q116" s="23"/>
      <c r="R116" s="107"/>
      <c r="S116" s="107"/>
      <c r="T116" s="107"/>
      <c r="U116" s="107"/>
      <c r="V116" s="107"/>
    </row>
    <row r="117" spans="1:22" s="12" customFormat="1" ht="19.149999999999999" customHeight="1" x14ac:dyDescent="0.2">
      <c r="A117" s="107"/>
      <c r="B117" s="107"/>
      <c r="C117" s="30"/>
      <c r="D117" s="107"/>
      <c r="E117" s="14"/>
      <c r="F117" s="24"/>
      <c r="G117" s="25"/>
      <c r="H117" s="17"/>
      <c r="I117" s="18"/>
      <c r="J117" s="19"/>
      <c r="K117" s="14"/>
      <c r="L117" s="100"/>
      <c r="M117" s="20"/>
      <c r="N117" s="21"/>
      <c r="O117" s="107"/>
      <c r="P117" s="22"/>
      <c r="Q117" s="23"/>
      <c r="R117" s="107"/>
      <c r="S117" s="107"/>
      <c r="T117" s="107"/>
      <c r="U117" s="107"/>
      <c r="V117" s="107"/>
    </row>
    <row r="118" spans="1:22" s="12" customFormat="1" ht="19.149999999999999" customHeight="1" x14ac:dyDescent="0.2">
      <c r="A118" s="107"/>
      <c r="B118" s="107"/>
      <c r="C118" s="107"/>
      <c r="D118" s="107"/>
      <c r="E118" s="14"/>
      <c r="F118" s="24"/>
      <c r="G118" s="25"/>
      <c r="H118" s="17"/>
      <c r="I118" s="18"/>
      <c r="J118" s="19"/>
      <c r="K118" s="14"/>
      <c r="L118" s="100"/>
      <c r="M118" s="20"/>
      <c r="N118" s="21"/>
      <c r="O118" s="107"/>
      <c r="P118" s="22"/>
      <c r="Q118" s="23"/>
      <c r="R118" s="107"/>
      <c r="S118" s="107"/>
      <c r="T118" s="107"/>
      <c r="U118" s="107"/>
      <c r="V118" s="107"/>
    </row>
    <row r="119" spans="1:22" s="12" customFormat="1" ht="19.149999999999999" customHeight="1" x14ac:dyDescent="0.2">
      <c r="A119" s="107"/>
      <c r="B119" s="107"/>
      <c r="C119" s="107"/>
      <c r="D119" s="107"/>
      <c r="E119" s="14"/>
      <c r="F119" s="24"/>
      <c r="G119" s="25"/>
      <c r="H119" s="17"/>
      <c r="I119" s="18"/>
      <c r="J119" s="19"/>
      <c r="K119" s="14"/>
      <c r="L119" s="100"/>
      <c r="M119" s="20"/>
      <c r="N119" s="21"/>
      <c r="O119" s="107"/>
      <c r="P119" s="22"/>
      <c r="Q119" s="23"/>
      <c r="R119" s="107"/>
      <c r="S119" s="107"/>
      <c r="T119" s="107"/>
      <c r="U119" s="107"/>
      <c r="V119" s="107"/>
    </row>
    <row r="120" spans="1:22" s="12" customFormat="1" ht="19.149999999999999" customHeight="1" x14ac:dyDescent="0.2">
      <c r="A120" s="107"/>
      <c r="B120" s="107"/>
      <c r="C120" s="107"/>
      <c r="D120" s="107"/>
      <c r="E120" s="14"/>
      <c r="F120" s="24"/>
      <c r="G120" s="25"/>
      <c r="H120" s="17"/>
      <c r="I120" s="18"/>
      <c r="J120" s="19"/>
      <c r="K120" s="14"/>
      <c r="L120" s="100"/>
      <c r="M120" s="20"/>
      <c r="N120" s="21"/>
      <c r="O120" s="107"/>
      <c r="P120" s="22"/>
      <c r="Q120" s="23"/>
      <c r="R120" s="107"/>
      <c r="S120" s="107"/>
      <c r="T120" s="107"/>
      <c r="U120" s="107"/>
      <c r="V120" s="107"/>
    </row>
    <row r="121" spans="1:22" s="12" customFormat="1" ht="19.149999999999999" customHeight="1" x14ac:dyDescent="0.2">
      <c r="A121" s="107"/>
      <c r="B121" s="107"/>
      <c r="C121" s="107"/>
      <c r="D121" s="107"/>
      <c r="E121" s="14"/>
      <c r="F121" s="24"/>
      <c r="G121" s="25"/>
      <c r="H121" s="17"/>
      <c r="I121" s="18"/>
      <c r="J121" s="19"/>
      <c r="K121" s="14"/>
      <c r="L121" s="100"/>
      <c r="M121" s="20"/>
      <c r="N121" s="21"/>
      <c r="O121" s="107"/>
      <c r="P121" s="22"/>
      <c r="Q121" s="23"/>
      <c r="R121" s="107"/>
      <c r="S121" s="107"/>
      <c r="T121" s="107"/>
      <c r="U121" s="107"/>
      <c r="V121" s="107"/>
    </row>
    <row r="122" spans="1:22" s="12" customFormat="1" ht="19.149999999999999" customHeight="1" x14ac:dyDescent="0.2">
      <c r="A122" s="107"/>
      <c r="B122" s="107"/>
      <c r="C122" s="107"/>
      <c r="D122" s="107"/>
      <c r="E122" s="14"/>
      <c r="F122" s="24"/>
      <c r="G122" s="25"/>
      <c r="H122" s="17"/>
      <c r="I122" s="18"/>
      <c r="J122" s="19"/>
      <c r="K122" s="14"/>
      <c r="L122" s="100"/>
      <c r="M122" s="20"/>
      <c r="N122" s="21"/>
      <c r="O122" s="107"/>
      <c r="P122" s="22"/>
      <c r="Q122" s="23"/>
      <c r="R122" s="107"/>
      <c r="S122" s="107"/>
      <c r="T122" s="107"/>
      <c r="U122" s="107"/>
      <c r="V122" s="107"/>
    </row>
    <row r="123" spans="1:22" s="12" customFormat="1" ht="19.149999999999999" customHeight="1" x14ac:dyDescent="0.2">
      <c r="A123" s="107"/>
      <c r="B123" s="107"/>
      <c r="C123" s="107"/>
      <c r="D123" s="107"/>
      <c r="E123" s="14"/>
      <c r="F123" s="24"/>
      <c r="G123" s="25"/>
      <c r="H123" s="17"/>
      <c r="I123" s="18"/>
      <c r="J123" s="19"/>
      <c r="K123" s="14"/>
      <c r="L123" s="100"/>
      <c r="M123" s="20"/>
      <c r="N123" s="21"/>
      <c r="O123" s="107"/>
      <c r="P123" s="22"/>
      <c r="Q123" s="23"/>
      <c r="R123" s="107"/>
      <c r="S123" s="107"/>
      <c r="T123" s="107"/>
      <c r="U123" s="107"/>
      <c r="V123" s="107"/>
    </row>
    <row r="124" spans="1:22" s="12" customFormat="1" ht="19.149999999999999" customHeight="1" x14ac:dyDescent="0.2">
      <c r="A124" s="107"/>
      <c r="B124" s="107"/>
      <c r="C124" s="107"/>
      <c r="D124" s="107"/>
      <c r="E124" s="14"/>
      <c r="F124" s="24"/>
      <c r="G124" s="25"/>
      <c r="H124" s="17"/>
      <c r="I124" s="18"/>
      <c r="J124" s="19"/>
      <c r="K124" s="14"/>
      <c r="L124" s="100"/>
      <c r="M124" s="20"/>
      <c r="N124" s="21"/>
      <c r="O124" s="107"/>
      <c r="P124" s="22"/>
      <c r="Q124" s="23"/>
      <c r="R124" s="107"/>
      <c r="S124" s="107"/>
      <c r="T124" s="107"/>
      <c r="U124" s="107"/>
      <c r="V124" s="107"/>
    </row>
    <row r="125" spans="1:22" s="12" customFormat="1" ht="19.149999999999999" customHeight="1" x14ac:dyDescent="0.2">
      <c r="A125" s="107"/>
      <c r="B125" s="107"/>
      <c r="C125" s="107"/>
      <c r="D125" s="107"/>
      <c r="E125" s="14"/>
      <c r="F125" s="24"/>
      <c r="G125" s="25"/>
      <c r="H125" s="17"/>
      <c r="I125" s="18"/>
      <c r="J125" s="19"/>
      <c r="K125" s="14"/>
      <c r="L125" s="100"/>
      <c r="M125" s="20"/>
      <c r="N125" s="21"/>
      <c r="O125" s="107"/>
      <c r="P125" s="22"/>
      <c r="Q125" s="23"/>
      <c r="R125" s="107"/>
      <c r="S125" s="107"/>
      <c r="T125" s="107"/>
      <c r="U125" s="107"/>
      <c r="V125" s="107"/>
    </row>
    <row r="126" spans="1:22" s="12" customFormat="1" ht="19.149999999999999" customHeight="1" x14ac:dyDescent="0.2">
      <c r="A126" s="107"/>
      <c r="B126" s="107"/>
      <c r="C126" s="107"/>
      <c r="D126" s="107"/>
      <c r="E126" s="14"/>
      <c r="F126" s="24"/>
      <c r="G126" s="25"/>
      <c r="H126" s="17"/>
      <c r="I126" s="18"/>
      <c r="J126" s="19"/>
      <c r="K126" s="14"/>
      <c r="L126" s="100"/>
      <c r="M126" s="20"/>
      <c r="N126" s="21"/>
      <c r="O126" s="107"/>
      <c r="P126" s="22"/>
      <c r="Q126" s="23"/>
      <c r="R126" s="107"/>
      <c r="S126" s="107"/>
      <c r="T126" s="107"/>
      <c r="U126" s="107"/>
      <c r="V126" s="107"/>
    </row>
    <row r="127" spans="1:22" s="12" customFormat="1" ht="19.149999999999999" customHeight="1" x14ac:dyDescent="0.2">
      <c r="A127" s="107"/>
      <c r="B127" s="107"/>
      <c r="C127" s="107"/>
      <c r="D127" s="107"/>
      <c r="E127" s="14"/>
      <c r="F127" s="24"/>
      <c r="G127" s="25"/>
      <c r="H127" s="17"/>
      <c r="I127" s="18"/>
      <c r="J127" s="19"/>
      <c r="K127" s="14"/>
      <c r="L127" s="100"/>
      <c r="M127" s="20"/>
      <c r="N127" s="21"/>
      <c r="O127" s="107"/>
      <c r="P127" s="20"/>
      <c r="Q127" s="21"/>
      <c r="R127" s="107"/>
      <c r="S127" s="107"/>
      <c r="T127" s="107"/>
      <c r="U127" s="107"/>
      <c r="V127" s="107"/>
    </row>
    <row r="128" spans="1:22" s="12" customFormat="1" ht="19.149999999999999" customHeight="1" x14ac:dyDescent="0.2">
      <c r="A128" s="107"/>
      <c r="B128" s="107"/>
      <c r="C128" s="107"/>
      <c r="D128" s="107"/>
      <c r="E128" s="14"/>
      <c r="F128" s="24"/>
      <c r="G128" s="25"/>
      <c r="H128" s="17"/>
      <c r="I128" s="18"/>
      <c r="J128" s="19"/>
      <c r="K128" s="14"/>
      <c r="L128" s="100"/>
      <c r="M128" s="20"/>
      <c r="N128" s="21"/>
      <c r="O128" s="107"/>
      <c r="P128" s="20"/>
      <c r="Q128" s="21"/>
      <c r="R128" s="107"/>
      <c r="S128" s="107"/>
      <c r="T128" s="107"/>
      <c r="U128" s="107"/>
      <c r="V128" s="107"/>
    </row>
    <row r="129" spans="1:22" s="12" customFormat="1" ht="19.149999999999999" customHeight="1" x14ac:dyDescent="0.2">
      <c r="A129" s="107"/>
      <c r="B129" s="107"/>
      <c r="C129" s="107"/>
      <c r="D129" s="107"/>
      <c r="E129" s="14"/>
      <c r="F129" s="24"/>
      <c r="G129" s="25"/>
      <c r="H129" s="17"/>
      <c r="I129" s="18"/>
      <c r="J129" s="19"/>
      <c r="K129" s="14"/>
      <c r="L129" s="100"/>
      <c r="M129" s="20"/>
      <c r="N129" s="21"/>
      <c r="O129" s="107"/>
      <c r="P129" s="20"/>
      <c r="Q129" s="21"/>
      <c r="R129" s="107"/>
      <c r="S129" s="107"/>
      <c r="T129" s="107"/>
      <c r="U129" s="107"/>
      <c r="V129" s="107"/>
    </row>
    <row r="130" spans="1:22" s="12" customFormat="1" ht="19.149999999999999" customHeight="1" x14ac:dyDescent="0.2">
      <c r="A130" s="107"/>
      <c r="B130" s="107"/>
      <c r="C130" s="107"/>
      <c r="D130" s="107"/>
      <c r="E130" s="14"/>
      <c r="F130" s="24"/>
      <c r="G130" s="25"/>
      <c r="H130" s="17"/>
      <c r="I130" s="18"/>
      <c r="J130" s="19"/>
      <c r="K130" s="14"/>
      <c r="L130" s="100"/>
      <c r="M130" s="20"/>
      <c r="N130" s="21"/>
      <c r="O130" s="107"/>
      <c r="P130" s="20"/>
      <c r="Q130" s="21"/>
      <c r="R130" s="107"/>
      <c r="S130" s="107"/>
      <c r="T130" s="107"/>
      <c r="U130" s="107"/>
      <c r="V130" s="107"/>
    </row>
    <row r="131" spans="1:22" s="12" customFormat="1" ht="19.149999999999999" customHeight="1" x14ac:dyDescent="0.2">
      <c r="A131" s="107"/>
      <c r="B131" s="107"/>
      <c r="C131" s="107"/>
      <c r="D131" s="107"/>
      <c r="E131" s="14"/>
      <c r="F131" s="24"/>
      <c r="G131" s="25"/>
      <c r="H131" s="17"/>
      <c r="I131" s="18"/>
      <c r="J131" s="19"/>
      <c r="K131" s="14"/>
      <c r="L131" s="100"/>
      <c r="M131" s="20"/>
      <c r="N131" s="21"/>
      <c r="O131" s="107"/>
      <c r="P131" s="22"/>
      <c r="Q131" s="23"/>
      <c r="R131" s="107"/>
      <c r="S131" s="107"/>
      <c r="T131" s="107"/>
      <c r="U131" s="107"/>
      <c r="V131" s="107"/>
    </row>
    <row r="132" spans="1:22" s="12" customFormat="1" ht="19.149999999999999" customHeight="1" x14ac:dyDescent="0.2">
      <c r="A132" s="107"/>
      <c r="B132" s="107"/>
      <c r="C132" s="107"/>
      <c r="D132" s="107"/>
      <c r="E132" s="14"/>
      <c r="F132" s="24"/>
      <c r="G132" s="25"/>
      <c r="H132" s="17"/>
      <c r="I132" s="18"/>
      <c r="J132" s="19"/>
      <c r="K132" s="14"/>
      <c r="L132" s="100"/>
      <c r="M132" s="20"/>
      <c r="N132" s="21"/>
      <c r="O132" s="107"/>
      <c r="P132" s="22"/>
      <c r="Q132" s="23"/>
      <c r="R132" s="107"/>
      <c r="S132" s="107"/>
      <c r="T132" s="107"/>
      <c r="U132" s="107"/>
      <c r="V132" s="107"/>
    </row>
    <row r="133" spans="1:22" s="12" customFormat="1" x14ac:dyDescent="0.2">
      <c r="A133" s="107"/>
      <c r="B133" s="107"/>
      <c r="C133" s="107"/>
      <c r="D133" s="107"/>
      <c r="E133" s="31"/>
      <c r="F133" s="24"/>
      <c r="G133" s="32"/>
      <c r="H133" s="17"/>
      <c r="I133" s="18"/>
      <c r="J133" s="19"/>
      <c r="K133" s="33"/>
      <c r="L133" s="100"/>
      <c r="M133" s="20"/>
      <c r="N133" s="34"/>
      <c r="O133" s="107"/>
      <c r="P133" s="22"/>
      <c r="Q133" s="23"/>
      <c r="R133" s="107"/>
      <c r="S133" s="107"/>
      <c r="T133" s="107"/>
      <c r="U133" s="107"/>
      <c r="V133" s="107"/>
    </row>
    <row r="134" spans="1:22" s="12" customFormat="1" x14ac:dyDescent="0.2">
      <c r="A134" s="107"/>
      <c r="B134" s="28"/>
      <c r="C134" s="107"/>
      <c r="D134" s="107"/>
      <c r="E134" s="35"/>
      <c r="F134" s="36"/>
      <c r="G134" s="37"/>
      <c r="H134" s="38"/>
      <c r="I134" s="39"/>
      <c r="J134" s="39"/>
      <c r="K134" s="35"/>
      <c r="L134" s="103"/>
      <c r="M134" s="40"/>
      <c r="O134" s="107"/>
      <c r="P134" s="22"/>
      <c r="Q134" s="23"/>
      <c r="R134" s="107"/>
      <c r="S134" s="107"/>
      <c r="T134" s="107"/>
      <c r="U134" s="107"/>
      <c r="V134" s="107"/>
    </row>
    <row r="135" spans="1:22" s="12" customFormat="1" x14ac:dyDescent="0.2">
      <c r="A135" s="107"/>
      <c r="B135" s="107"/>
      <c r="C135" s="107"/>
      <c r="D135" s="107"/>
      <c r="E135" s="35"/>
      <c r="F135" s="36"/>
      <c r="G135" s="37"/>
      <c r="H135" s="38"/>
      <c r="I135" s="39"/>
      <c r="J135" s="39"/>
      <c r="K135" s="35"/>
      <c r="L135" s="103"/>
      <c r="M135" s="40"/>
      <c r="O135" s="107"/>
      <c r="P135" s="22"/>
      <c r="Q135" s="23"/>
      <c r="R135" s="107"/>
      <c r="S135" s="107"/>
      <c r="T135" s="107"/>
      <c r="U135" s="107"/>
      <c r="V135" s="107"/>
    </row>
    <row r="136" spans="1:22" s="12" customFormat="1" x14ac:dyDescent="0.2">
      <c r="A136" s="107"/>
      <c r="B136" s="107"/>
      <c r="C136" s="107"/>
      <c r="D136" s="107"/>
      <c r="E136" s="35"/>
      <c r="F136" s="36"/>
      <c r="G136" s="37"/>
      <c r="H136" s="38"/>
      <c r="I136" s="39"/>
      <c r="J136" s="39"/>
      <c r="K136" s="35"/>
      <c r="L136" s="103"/>
      <c r="M136" s="40"/>
      <c r="O136" s="107"/>
      <c r="P136" s="22"/>
      <c r="Q136" s="23"/>
      <c r="R136" s="107"/>
      <c r="S136" s="107"/>
      <c r="T136" s="107"/>
      <c r="U136" s="107"/>
      <c r="V136" s="107"/>
    </row>
    <row r="137" spans="1:22" s="12" customFormat="1" x14ac:dyDescent="0.2">
      <c r="A137" s="107"/>
      <c r="B137" s="107"/>
      <c r="C137" s="107"/>
      <c r="D137" s="107"/>
      <c r="E137" s="35"/>
      <c r="F137" s="36"/>
      <c r="G137" s="37"/>
      <c r="H137" s="38"/>
      <c r="I137" s="39"/>
      <c r="J137" s="39"/>
      <c r="K137" s="35"/>
      <c r="L137" s="103"/>
      <c r="M137" s="40"/>
      <c r="O137" s="107"/>
      <c r="P137" s="22"/>
      <c r="Q137" s="23"/>
      <c r="R137" s="107"/>
      <c r="S137" s="107"/>
      <c r="T137" s="107"/>
      <c r="U137" s="107"/>
      <c r="V137" s="107"/>
    </row>
    <row r="138" spans="1:22" s="12" customFormat="1" x14ac:dyDescent="0.2">
      <c r="A138" s="107"/>
      <c r="B138" s="107"/>
      <c r="C138" s="107"/>
      <c r="D138" s="107"/>
      <c r="E138" s="35"/>
      <c r="F138" s="36"/>
      <c r="G138" s="37"/>
      <c r="H138" s="38"/>
      <c r="I138" s="39"/>
      <c r="J138" s="39"/>
      <c r="K138" s="35"/>
      <c r="L138" s="103"/>
      <c r="M138" s="40"/>
      <c r="O138" s="107"/>
      <c r="P138" s="22"/>
      <c r="Q138" s="23"/>
      <c r="R138" s="107"/>
      <c r="S138" s="107"/>
      <c r="T138" s="107"/>
      <c r="U138" s="107"/>
      <c r="V138" s="107"/>
    </row>
    <row r="139" spans="1:22" s="12" customFormat="1" x14ac:dyDescent="0.2">
      <c r="A139" s="107"/>
      <c r="B139" s="107"/>
      <c r="C139" s="107"/>
      <c r="D139" s="107"/>
      <c r="E139" s="35"/>
      <c r="F139" s="36"/>
      <c r="G139" s="37"/>
      <c r="H139" s="38"/>
      <c r="I139" s="39"/>
      <c r="J139" s="39"/>
      <c r="K139" s="35"/>
      <c r="L139" s="103"/>
      <c r="M139" s="40"/>
      <c r="O139" s="107"/>
      <c r="P139" s="22"/>
      <c r="Q139" s="23"/>
      <c r="R139" s="107"/>
      <c r="S139" s="107"/>
      <c r="T139" s="107"/>
      <c r="U139" s="107"/>
      <c r="V139" s="107"/>
    </row>
    <row r="140" spans="1:22" s="12" customFormat="1" x14ac:dyDescent="0.2">
      <c r="A140" s="107"/>
      <c r="B140" s="107"/>
      <c r="C140" s="107"/>
      <c r="D140" s="107"/>
      <c r="E140" s="35"/>
      <c r="F140" s="36"/>
      <c r="G140" s="37"/>
      <c r="H140" s="38"/>
      <c r="I140" s="39"/>
      <c r="J140" s="39"/>
      <c r="K140" s="35"/>
      <c r="L140" s="103"/>
      <c r="M140" s="40"/>
      <c r="O140" s="107"/>
      <c r="P140" s="22"/>
      <c r="Q140" s="23"/>
      <c r="R140" s="107"/>
      <c r="S140" s="107"/>
      <c r="T140" s="107"/>
      <c r="U140" s="107"/>
      <c r="V140" s="107"/>
    </row>
    <row r="141" spans="1:22" s="12" customFormat="1" x14ac:dyDescent="0.2">
      <c r="A141" s="107"/>
      <c r="B141" s="107"/>
      <c r="C141" s="107"/>
      <c r="D141" s="107"/>
      <c r="E141" s="35"/>
      <c r="F141" s="36"/>
      <c r="G141" s="37"/>
      <c r="H141" s="38"/>
      <c r="I141" s="39"/>
      <c r="J141" s="39"/>
      <c r="K141" s="35"/>
      <c r="L141" s="103"/>
      <c r="M141" s="40"/>
      <c r="O141" s="107"/>
      <c r="P141" s="22"/>
      <c r="Q141" s="23"/>
      <c r="R141" s="107"/>
      <c r="S141" s="107"/>
      <c r="T141" s="107"/>
      <c r="U141" s="107"/>
      <c r="V141" s="107"/>
    </row>
    <row r="142" spans="1:22" s="12" customFormat="1" x14ac:dyDescent="0.2">
      <c r="A142" s="107"/>
      <c r="B142" s="107"/>
      <c r="C142" s="107"/>
      <c r="D142" s="107"/>
      <c r="E142" s="35"/>
      <c r="F142" s="36"/>
      <c r="G142" s="37"/>
      <c r="H142" s="38"/>
      <c r="I142" s="39"/>
      <c r="J142" s="39"/>
      <c r="K142" s="35"/>
      <c r="L142" s="103"/>
      <c r="M142" s="40"/>
      <c r="O142" s="107"/>
      <c r="P142" s="22"/>
      <c r="Q142" s="23"/>
      <c r="R142" s="107"/>
      <c r="S142" s="107"/>
      <c r="T142" s="107"/>
      <c r="U142" s="107"/>
      <c r="V142" s="107"/>
    </row>
    <row r="143" spans="1:22" s="12" customFormat="1" x14ac:dyDescent="0.2">
      <c r="A143" s="107"/>
      <c r="B143" s="107"/>
      <c r="C143" s="107"/>
      <c r="D143" s="107"/>
      <c r="E143" s="35"/>
      <c r="F143" s="36"/>
      <c r="G143" s="37"/>
      <c r="H143" s="38"/>
      <c r="I143" s="39"/>
      <c r="J143" s="39"/>
      <c r="K143" s="35"/>
      <c r="L143" s="103"/>
      <c r="M143" s="40"/>
      <c r="O143" s="107"/>
      <c r="P143" s="22"/>
      <c r="Q143" s="23"/>
      <c r="R143" s="107"/>
      <c r="S143" s="107"/>
      <c r="T143" s="107"/>
      <c r="U143" s="107"/>
      <c r="V143" s="107"/>
    </row>
    <row r="144" spans="1:22" s="12" customFormat="1" x14ac:dyDescent="0.2">
      <c r="A144" s="107"/>
      <c r="B144" s="107"/>
      <c r="C144" s="107"/>
      <c r="D144" s="107"/>
      <c r="E144" s="35"/>
      <c r="F144" s="36"/>
      <c r="G144" s="37"/>
      <c r="H144" s="38"/>
      <c r="I144" s="39"/>
      <c r="J144" s="39"/>
      <c r="K144" s="35"/>
      <c r="L144" s="103"/>
      <c r="M144" s="40"/>
      <c r="O144" s="107"/>
      <c r="P144" s="22"/>
      <c r="Q144" s="23"/>
      <c r="R144" s="107"/>
      <c r="S144" s="107"/>
      <c r="T144" s="107"/>
      <c r="U144" s="107"/>
      <c r="V144" s="107"/>
    </row>
    <row r="145" spans="1:22" s="12" customFormat="1" x14ac:dyDescent="0.2">
      <c r="A145" s="107"/>
      <c r="B145" s="107"/>
      <c r="C145" s="107"/>
      <c r="D145" s="107"/>
      <c r="E145" s="35"/>
      <c r="F145" s="36"/>
      <c r="G145" s="37"/>
      <c r="H145" s="38"/>
      <c r="I145" s="39"/>
      <c r="J145" s="39"/>
      <c r="K145" s="35"/>
      <c r="L145" s="103"/>
      <c r="M145" s="40"/>
      <c r="O145" s="107"/>
      <c r="P145" s="22"/>
      <c r="Q145" s="23"/>
      <c r="R145" s="107"/>
      <c r="S145" s="107"/>
      <c r="T145" s="107"/>
      <c r="U145" s="107"/>
      <c r="V145" s="107"/>
    </row>
    <row r="146" spans="1:22" s="12" customFormat="1" x14ac:dyDescent="0.2">
      <c r="A146" s="107"/>
      <c r="B146" s="107"/>
      <c r="C146" s="107"/>
      <c r="D146" s="107"/>
      <c r="E146" s="35"/>
      <c r="F146" s="36"/>
      <c r="G146" s="37"/>
      <c r="H146" s="38"/>
      <c r="I146" s="39"/>
      <c r="J146" s="39"/>
      <c r="K146" s="35"/>
      <c r="L146" s="103"/>
      <c r="M146" s="40"/>
      <c r="O146" s="107"/>
      <c r="P146" s="22"/>
      <c r="Q146" s="23"/>
      <c r="R146" s="107"/>
      <c r="S146" s="107"/>
      <c r="T146" s="107"/>
      <c r="U146" s="107"/>
      <c r="V146" s="107"/>
    </row>
    <row r="147" spans="1:22" s="12" customFormat="1" x14ac:dyDescent="0.2">
      <c r="A147" s="107"/>
      <c r="B147" s="107"/>
      <c r="C147" s="107"/>
      <c r="D147" s="107"/>
      <c r="E147" s="35"/>
      <c r="F147" s="36"/>
      <c r="G147" s="37"/>
      <c r="H147" s="38"/>
      <c r="I147" s="39"/>
      <c r="J147" s="39"/>
      <c r="K147" s="35"/>
      <c r="L147" s="103"/>
      <c r="M147" s="40"/>
      <c r="O147" s="107"/>
      <c r="P147" s="22"/>
      <c r="Q147" s="23"/>
      <c r="R147" s="107"/>
      <c r="S147" s="107"/>
      <c r="T147" s="107"/>
      <c r="U147" s="107"/>
      <c r="V147" s="107"/>
    </row>
    <row r="148" spans="1:22" s="12" customFormat="1" x14ac:dyDescent="0.2">
      <c r="A148" s="107"/>
      <c r="B148" s="107"/>
      <c r="C148" s="107"/>
      <c r="D148" s="107"/>
      <c r="E148" s="35"/>
      <c r="F148" s="36"/>
      <c r="G148" s="37"/>
      <c r="H148" s="38"/>
      <c r="I148" s="39"/>
      <c r="J148" s="39"/>
      <c r="K148" s="35"/>
      <c r="L148" s="103"/>
      <c r="M148" s="40"/>
      <c r="O148" s="107"/>
      <c r="P148" s="22"/>
      <c r="Q148" s="23"/>
      <c r="R148" s="107"/>
      <c r="S148" s="107"/>
      <c r="T148" s="107"/>
      <c r="U148" s="107"/>
      <c r="V148" s="107"/>
    </row>
    <row r="149" spans="1:22" s="12" customFormat="1" x14ac:dyDescent="0.2">
      <c r="A149" s="107"/>
      <c r="B149" s="107"/>
      <c r="C149" s="107"/>
      <c r="D149" s="107"/>
      <c r="E149" s="35"/>
      <c r="F149" s="36"/>
      <c r="G149" s="37"/>
      <c r="H149" s="38"/>
      <c r="I149" s="39"/>
      <c r="J149" s="39"/>
      <c r="K149" s="35"/>
      <c r="L149" s="103"/>
      <c r="M149" s="40"/>
      <c r="O149" s="107"/>
      <c r="P149" s="22"/>
      <c r="Q149" s="23"/>
      <c r="R149" s="107"/>
      <c r="S149" s="107"/>
      <c r="T149" s="107"/>
      <c r="U149" s="107"/>
      <c r="V149" s="107"/>
    </row>
    <row r="150" spans="1:22" s="12" customFormat="1" x14ac:dyDescent="0.2">
      <c r="A150" s="107"/>
      <c r="B150" s="107"/>
      <c r="C150" s="107"/>
      <c r="D150" s="107"/>
      <c r="E150" s="35"/>
      <c r="F150" s="36"/>
      <c r="G150" s="37"/>
      <c r="H150" s="38"/>
      <c r="I150" s="39"/>
      <c r="J150" s="39"/>
      <c r="K150" s="35"/>
      <c r="L150" s="103"/>
      <c r="M150" s="40"/>
      <c r="O150" s="107"/>
      <c r="P150" s="22"/>
      <c r="Q150" s="23"/>
      <c r="R150" s="107"/>
      <c r="S150" s="107"/>
      <c r="T150" s="107"/>
      <c r="U150" s="107"/>
      <c r="V150" s="107"/>
    </row>
    <row r="151" spans="1:22" s="12" customFormat="1" x14ac:dyDescent="0.2">
      <c r="A151" s="107"/>
      <c r="B151" s="107"/>
      <c r="C151" s="107"/>
      <c r="D151" s="107"/>
      <c r="E151" s="35"/>
      <c r="F151" s="36"/>
      <c r="G151" s="37"/>
      <c r="H151" s="38"/>
      <c r="I151" s="39"/>
      <c r="J151" s="39"/>
      <c r="K151" s="35"/>
      <c r="L151" s="103"/>
      <c r="M151" s="40"/>
      <c r="O151" s="107"/>
      <c r="P151" s="22"/>
      <c r="Q151" s="23"/>
      <c r="R151" s="107"/>
      <c r="S151" s="107"/>
      <c r="T151" s="107"/>
      <c r="U151" s="107"/>
      <c r="V151" s="107"/>
    </row>
    <row r="152" spans="1:22" s="12" customFormat="1" x14ac:dyDescent="0.2">
      <c r="A152" s="107"/>
      <c r="B152" s="107"/>
      <c r="C152" s="107"/>
      <c r="D152" s="107"/>
      <c r="E152" s="35"/>
      <c r="F152" s="36"/>
      <c r="G152" s="37"/>
      <c r="H152" s="38"/>
      <c r="I152" s="39"/>
      <c r="J152" s="39"/>
      <c r="K152" s="35"/>
      <c r="L152" s="103"/>
      <c r="M152" s="40"/>
      <c r="O152" s="107"/>
      <c r="P152" s="22"/>
      <c r="Q152" s="23"/>
      <c r="R152" s="107"/>
      <c r="S152" s="107"/>
      <c r="T152" s="107"/>
      <c r="U152" s="107"/>
      <c r="V152" s="107"/>
    </row>
    <row r="153" spans="1:22" s="12" customFormat="1" x14ac:dyDescent="0.2">
      <c r="A153" s="107"/>
      <c r="B153" s="107"/>
      <c r="C153" s="107"/>
      <c r="D153" s="107"/>
      <c r="E153" s="35"/>
      <c r="F153" s="36"/>
      <c r="G153" s="37"/>
      <c r="H153" s="38"/>
      <c r="I153" s="39"/>
      <c r="J153" s="39"/>
      <c r="K153" s="35"/>
      <c r="L153" s="103"/>
      <c r="M153" s="40"/>
      <c r="O153" s="107"/>
      <c r="P153" s="22"/>
      <c r="Q153" s="23"/>
      <c r="R153" s="107"/>
      <c r="S153" s="107"/>
      <c r="T153" s="107"/>
      <c r="U153" s="107"/>
      <c r="V153" s="107"/>
    </row>
    <row r="154" spans="1:22" s="12" customFormat="1" x14ac:dyDescent="0.2">
      <c r="A154" s="107"/>
      <c r="B154" s="107"/>
      <c r="C154" s="107"/>
      <c r="D154" s="107"/>
      <c r="E154" s="35"/>
      <c r="F154" s="36"/>
      <c r="G154" s="37"/>
      <c r="H154" s="38"/>
      <c r="I154" s="39"/>
      <c r="J154" s="39"/>
      <c r="K154" s="35"/>
      <c r="L154" s="103"/>
      <c r="M154" s="40"/>
      <c r="O154" s="107"/>
      <c r="P154" s="22"/>
      <c r="Q154" s="23"/>
      <c r="R154" s="107"/>
      <c r="S154" s="107"/>
      <c r="T154" s="107"/>
      <c r="U154" s="107"/>
      <c r="V154" s="107"/>
    </row>
    <row r="155" spans="1:22" s="12" customFormat="1" x14ac:dyDescent="0.2">
      <c r="A155" s="107"/>
      <c r="B155" s="107"/>
      <c r="C155" s="107"/>
      <c r="D155" s="107"/>
      <c r="E155" s="35"/>
      <c r="F155" s="36"/>
      <c r="G155" s="37"/>
      <c r="H155" s="38"/>
      <c r="I155" s="39"/>
      <c r="J155" s="39"/>
      <c r="K155" s="35"/>
      <c r="L155" s="103"/>
      <c r="M155" s="40"/>
      <c r="O155" s="107"/>
      <c r="P155" s="22"/>
      <c r="Q155" s="23"/>
      <c r="R155" s="107"/>
      <c r="S155" s="107"/>
      <c r="T155" s="107"/>
      <c r="U155" s="107"/>
      <c r="V155" s="107"/>
    </row>
    <row r="156" spans="1:22" s="12" customFormat="1" x14ac:dyDescent="0.2">
      <c r="A156" s="107"/>
      <c r="B156" s="28"/>
      <c r="C156" s="107"/>
      <c r="D156" s="107"/>
      <c r="E156" s="35"/>
      <c r="F156" s="36"/>
      <c r="G156" s="37"/>
      <c r="H156" s="38"/>
      <c r="I156" s="39"/>
      <c r="J156" s="39"/>
      <c r="K156" s="35"/>
      <c r="L156" s="103"/>
      <c r="M156" s="40"/>
      <c r="O156" s="107"/>
      <c r="P156" s="22"/>
      <c r="Q156" s="23"/>
      <c r="R156" s="107"/>
      <c r="S156" s="107"/>
      <c r="T156" s="107"/>
      <c r="U156" s="107"/>
      <c r="V156" s="107"/>
    </row>
    <row r="157" spans="1:22" s="12" customFormat="1" x14ac:dyDescent="0.2">
      <c r="A157" s="107"/>
      <c r="B157" s="107"/>
      <c r="C157" s="107"/>
      <c r="D157" s="107"/>
      <c r="E157" s="35"/>
      <c r="F157" s="36"/>
      <c r="G157" s="37"/>
      <c r="H157" s="38"/>
      <c r="I157" s="39"/>
      <c r="J157" s="39"/>
      <c r="K157" s="35"/>
      <c r="L157" s="103"/>
      <c r="M157" s="40"/>
      <c r="O157" s="107"/>
      <c r="P157" s="22"/>
      <c r="Q157" s="23"/>
      <c r="R157" s="107"/>
      <c r="S157" s="107"/>
      <c r="T157" s="107"/>
      <c r="U157" s="107"/>
      <c r="V157" s="107"/>
    </row>
    <row r="158" spans="1:22" s="12" customFormat="1" x14ac:dyDescent="0.2">
      <c r="A158" s="107"/>
      <c r="B158" s="107"/>
      <c r="C158" s="107"/>
      <c r="D158" s="107"/>
      <c r="E158" s="35"/>
      <c r="F158" s="36"/>
      <c r="G158" s="37"/>
      <c r="H158" s="38"/>
      <c r="I158" s="39"/>
      <c r="J158" s="39"/>
      <c r="K158" s="35"/>
      <c r="L158" s="103"/>
      <c r="M158" s="40"/>
      <c r="O158" s="107"/>
      <c r="P158" s="22"/>
      <c r="Q158" s="23"/>
      <c r="R158" s="107"/>
      <c r="S158" s="107"/>
      <c r="T158" s="107"/>
      <c r="U158" s="107"/>
      <c r="V158" s="107"/>
    </row>
    <row r="159" spans="1:22" s="12" customFormat="1" x14ac:dyDescent="0.2">
      <c r="A159" s="107"/>
      <c r="B159" s="107"/>
      <c r="C159" s="107"/>
      <c r="D159" s="107"/>
      <c r="E159" s="35"/>
      <c r="F159" s="36"/>
      <c r="G159" s="37"/>
      <c r="H159" s="38"/>
      <c r="I159" s="39"/>
      <c r="J159" s="39"/>
      <c r="K159" s="35"/>
      <c r="L159" s="103"/>
      <c r="M159" s="40"/>
      <c r="O159" s="107"/>
      <c r="P159" s="22"/>
      <c r="Q159" s="23"/>
      <c r="R159" s="107"/>
      <c r="S159" s="107"/>
      <c r="T159" s="107"/>
      <c r="U159" s="107"/>
      <c r="V159" s="107"/>
    </row>
    <row r="160" spans="1:22" s="12" customFormat="1" x14ac:dyDescent="0.2">
      <c r="A160" s="107"/>
      <c r="B160" s="107"/>
      <c r="C160" s="107"/>
      <c r="D160" s="107"/>
      <c r="E160" s="35"/>
      <c r="F160" s="36"/>
      <c r="G160" s="37"/>
      <c r="H160" s="38"/>
      <c r="I160" s="39"/>
      <c r="J160" s="39"/>
      <c r="K160" s="35"/>
      <c r="L160" s="103"/>
      <c r="M160" s="40"/>
      <c r="O160" s="107"/>
      <c r="P160" s="22"/>
      <c r="Q160" s="23"/>
      <c r="R160" s="107"/>
      <c r="S160" s="107"/>
      <c r="T160" s="107"/>
      <c r="U160" s="107"/>
      <c r="V160" s="107"/>
    </row>
    <row r="161" spans="1:22" s="12" customFormat="1" x14ac:dyDescent="0.2">
      <c r="A161" s="107"/>
      <c r="B161" s="107"/>
      <c r="C161" s="107"/>
      <c r="D161" s="107"/>
      <c r="E161" s="35"/>
      <c r="F161" s="36"/>
      <c r="G161" s="37"/>
      <c r="H161" s="38"/>
      <c r="I161" s="39"/>
      <c r="J161" s="39"/>
      <c r="K161" s="35"/>
      <c r="L161" s="103"/>
      <c r="M161" s="40"/>
      <c r="O161" s="107"/>
      <c r="P161" s="22"/>
      <c r="Q161" s="23"/>
      <c r="R161" s="107"/>
      <c r="S161" s="107"/>
      <c r="T161" s="107"/>
      <c r="U161" s="107"/>
      <c r="V161" s="107"/>
    </row>
    <row r="162" spans="1:22" s="12" customFormat="1" x14ac:dyDescent="0.2">
      <c r="A162" s="107"/>
      <c r="B162" s="107"/>
      <c r="C162" s="107"/>
      <c r="D162" s="107"/>
      <c r="E162" s="35"/>
      <c r="F162" s="36"/>
      <c r="G162" s="37"/>
      <c r="H162" s="38"/>
      <c r="I162" s="39"/>
      <c r="J162" s="39"/>
      <c r="K162" s="35"/>
      <c r="L162" s="103"/>
      <c r="M162" s="40"/>
      <c r="O162" s="107"/>
      <c r="P162" s="22"/>
      <c r="Q162" s="23"/>
      <c r="R162" s="107"/>
      <c r="S162" s="107"/>
      <c r="T162" s="107"/>
      <c r="U162" s="107"/>
      <c r="V162" s="107"/>
    </row>
    <row r="163" spans="1:22" s="12" customFormat="1" x14ac:dyDescent="0.2">
      <c r="A163" s="107"/>
      <c r="B163" s="107"/>
      <c r="C163" s="107"/>
      <c r="D163" s="107"/>
      <c r="E163" s="35"/>
      <c r="F163" s="36"/>
      <c r="G163" s="37"/>
      <c r="H163" s="38"/>
      <c r="I163" s="39"/>
      <c r="J163" s="39"/>
      <c r="K163" s="35"/>
      <c r="L163" s="103"/>
      <c r="M163" s="40"/>
      <c r="O163" s="107"/>
      <c r="P163" s="22"/>
      <c r="Q163" s="23"/>
      <c r="R163" s="107"/>
      <c r="S163" s="107"/>
      <c r="T163" s="107"/>
      <c r="U163" s="107"/>
      <c r="V163" s="107"/>
    </row>
    <row r="164" spans="1:22" s="12" customFormat="1" x14ac:dyDescent="0.2">
      <c r="A164" s="107"/>
      <c r="B164" s="107"/>
      <c r="C164" s="107"/>
      <c r="D164" s="107"/>
      <c r="E164" s="35"/>
      <c r="F164" s="36"/>
      <c r="G164" s="37"/>
      <c r="H164" s="38"/>
      <c r="I164" s="39"/>
      <c r="J164" s="39"/>
      <c r="K164" s="35"/>
      <c r="L164" s="103"/>
      <c r="M164" s="40"/>
      <c r="O164" s="107"/>
      <c r="P164" s="22"/>
      <c r="Q164" s="23"/>
      <c r="R164" s="107"/>
      <c r="S164" s="107"/>
      <c r="T164" s="107"/>
      <c r="U164" s="107"/>
      <c r="V164" s="107"/>
    </row>
    <row r="165" spans="1:22" s="12" customFormat="1" x14ac:dyDescent="0.2">
      <c r="A165" s="107"/>
      <c r="B165" s="107"/>
      <c r="C165" s="107"/>
      <c r="D165" s="107"/>
      <c r="E165" s="35"/>
      <c r="F165" s="36"/>
      <c r="G165" s="37"/>
      <c r="H165" s="38"/>
      <c r="I165" s="39"/>
      <c r="J165" s="39"/>
      <c r="K165" s="35"/>
      <c r="L165" s="103"/>
      <c r="M165" s="40"/>
      <c r="O165" s="107"/>
      <c r="P165" s="22"/>
      <c r="Q165" s="23"/>
      <c r="R165" s="107"/>
      <c r="S165" s="107"/>
      <c r="T165" s="107"/>
      <c r="U165" s="107"/>
      <c r="V165" s="107"/>
    </row>
    <row r="166" spans="1:22" s="12" customFormat="1" x14ac:dyDescent="0.2">
      <c r="A166" s="107"/>
      <c r="B166" s="107"/>
      <c r="C166" s="107"/>
      <c r="D166" s="107"/>
      <c r="E166" s="35"/>
      <c r="F166" s="36"/>
      <c r="G166" s="37"/>
      <c r="H166" s="38"/>
      <c r="I166" s="39"/>
      <c r="J166" s="39"/>
      <c r="K166" s="35"/>
      <c r="L166" s="103"/>
      <c r="M166" s="40"/>
      <c r="O166" s="107"/>
      <c r="P166" s="22"/>
      <c r="Q166" s="23"/>
      <c r="R166" s="107"/>
      <c r="S166" s="107"/>
      <c r="T166" s="107"/>
      <c r="U166" s="107"/>
      <c r="V166" s="107"/>
    </row>
    <row r="167" spans="1:22" s="12" customFormat="1" x14ac:dyDescent="0.2">
      <c r="A167" s="107"/>
      <c r="B167" s="107"/>
      <c r="C167" s="107"/>
      <c r="D167" s="107"/>
      <c r="E167" s="35"/>
      <c r="F167" s="36"/>
      <c r="G167" s="37"/>
      <c r="H167" s="38"/>
      <c r="I167" s="39"/>
      <c r="J167" s="39"/>
      <c r="K167" s="35"/>
      <c r="L167" s="103"/>
      <c r="M167" s="40"/>
      <c r="O167" s="107"/>
      <c r="P167" s="22"/>
      <c r="Q167" s="23"/>
      <c r="R167" s="107"/>
      <c r="S167" s="107"/>
      <c r="T167" s="107"/>
      <c r="U167" s="107"/>
      <c r="V167" s="107"/>
    </row>
    <row r="168" spans="1:22" s="12" customFormat="1" x14ac:dyDescent="0.2">
      <c r="A168" s="107"/>
      <c r="B168" s="107"/>
      <c r="C168" s="107"/>
      <c r="D168" s="107"/>
      <c r="E168" s="35"/>
      <c r="F168" s="36"/>
      <c r="G168" s="37"/>
      <c r="H168" s="38"/>
      <c r="I168" s="39"/>
      <c r="J168" s="39"/>
      <c r="K168" s="35"/>
      <c r="L168" s="103"/>
      <c r="M168" s="40"/>
      <c r="O168" s="107"/>
      <c r="P168" s="22"/>
      <c r="Q168" s="23"/>
      <c r="R168" s="107"/>
      <c r="S168" s="107"/>
      <c r="T168" s="107"/>
      <c r="U168" s="107"/>
      <c r="V168" s="107"/>
    </row>
    <row r="169" spans="1:22" s="12" customFormat="1" x14ac:dyDescent="0.2">
      <c r="A169" s="107"/>
      <c r="B169" s="107"/>
      <c r="C169" s="107"/>
      <c r="D169" s="107"/>
      <c r="E169" s="35"/>
      <c r="F169" s="36"/>
      <c r="G169" s="37"/>
      <c r="H169" s="38"/>
      <c r="I169" s="39"/>
      <c r="J169" s="39"/>
      <c r="K169" s="35"/>
      <c r="L169" s="103"/>
      <c r="M169" s="40"/>
      <c r="O169" s="107"/>
      <c r="P169" s="22"/>
      <c r="Q169" s="23"/>
      <c r="R169" s="107"/>
      <c r="S169" s="107"/>
      <c r="T169" s="107"/>
      <c r="U169" s="107"/>
      <c r="V169" s="107"/>
    </row>
    <row r="170" spans="1:22" s="12" customFormat="1" x14ac:dyDescent="0.2">
      <c r="A170" s="107"/>
      <c r="B170" s="107"/>
      <c r="C170" s="107"/>
      <c r="D170" s="107"/>
      <c r="E170" s="35"/>
      <c r="F170" s="36"/>
      <c r="G170" s="37"/>
      <c r="H170" s="38"/>
      <c r="I170" s="39"/>
      <c r="J170" s="39"/>
      <c r="K170" s="35"/>
      <c r="L170" s="103"/>
      <c r="M170" s="40"/>
      <c r="O170" s="107"/>
      <c r="P170" s="22"/>
      <c r="Q170" s="23"/>
      <c r="R170" s="107"/>
      <c r="S170" s="107"/>
      <c r="T170" s="107"/>
      <c r="U170" s="107"/>
      <c r="V170" s="107"/>
    </row>
    <row r="171" spans="1:22" s="12" customFormat="1" x14ac:dyDescent="0.2">
      <c r="A171" s="107"/>
      <c r="B171" s="107"/>
      <c r="C171" s="107"/>
      <c r="D171" s="107"/>
      <c r="E171" s="35"/>
      <c r="F171" s="36"/>
      <c r="G171" s="37"/>
      <c r="H171" s="38"/>
      <c r="I171" s="39"/>
      <c r="J171" s="39"/>
      <c r="K171" s="35"/>
      <c r="L171" s="103"/>
      <c r="M171" s="40"/>
      <c r="O171" s="107"/>
      <c r="P171" s="22"/>
      <c r="Q171" s="23"/>
      <c r="R171" s="107"/>
      <c r="S171" s="107"/>
      <c r="T171" s="107"/>
      <c r="U171" s="107"/>
      <c r="V171" s="107"/>
    </row>
    <row r="172" spans="1:22" s="12" customFormat="1" x14ac:dyDescent="0.2">
      <c r="A172" s="107"/>
      <c r="B172" s="107"/>
      <c r="C172" s="107"/>
      <c r="D172" s="107"/>
      <c r="E172" s="35"/>
      <c r="F172" s="36"/>
      <c r="G172" s="37"/>
      <c r="H172" s="38"/>
      <c r="I172" s="39"/>
      <c r="J172" s="39"/>
      <c r="K172" s="35"/>
      <c r="L172" s="103"/>
      <c r="M172" s="40"/>
      <c r="O172" s="107"/>
      <c r="P172" s="22"/>
      <c r="Q172" s="23"/>
      <c r="R172" s="107"/>
      <c r="S172" s="107"/>
      <c r="T172" s="107"/>
      <c r="U172" s="107"/>
      <c r="V172" s="107"/>
    </row>
    <row r="173" spans="1:22" s="12" customFormat="1" x14ac:dyDescent="0.2">
      <c r="A173" s="107"/>
      <c r="B173" s="107"/>
      <c r="C173" s="107"/>
      <c r="D173" s="107"/>
      <c r="E173" s="35"/>
      <c r="F173" s="36"/>
      <c r="G173" s="37"/>
      <c r="H173" s="38"/>
      <c r="I173" s="39"/>
      <c r="J173" s="39"/>
      <c r="K173" s="35"/>
      <c r="L173" s="103"/>
      <c r="M173" s="40"/>
      <c r="O173" s="107"/>
      <c r="P173" s="22"/>
      <c r="Q173" s="23"/>
      <c r="R173" s="107"/>
      <c r="S173" s="107"/>
      <c r="T173" s="107"/>
      <c r="U173" s="107"/>
      <c r="V173" s="107"/>
    </row>
    <row r="174" spans="1:22" s="12" customFormat="1" x14ac:dyDescent="0.2">
      <c r="A174" s="107"/>
      <c r="B174" s="107"/>
      <c r="C174" s="107"/>
      <c r="D174" s="107"/>
      <c r="E174" s="35"/>
      <c r="F174" s="36"/>
      <c r="G174" s="37"/>
      <c r="H174" s="38"/>
      <c r="I174" s="39"/>
      <c r="J174" s="39"/>
      <c r="K174" s="35"/>
      <c r="L174" s="103"/>
      <c r="M174" s="40"/>
      <c r="O174" s="107"/>
      <c r="P174" s="22"/>
      <c r="Q174" s="23"/>
      <c r="R174" s="107"/>
      <c r="S174" s="107"/>
      <c r="T174" s="107"/>
      <c r="U174" s="107"/>
      <c r="V174" s="107"/>
    </row>
    <row r="175" spans="1:22" s="12" customFormat="1" x14ac:dyDescent="0.2">
      <c r="A175" s="107"/>
      <c r="B175" s="107"/>
      <c r="C175" s="107"/>
      <c r="D175" s="107"/>
      <c r="E175" s="35"/>
      <c r="F175" s="36"/>
      <c r="G175" s="37"/>
      <c r="H175" s="38"/>
      <c r="I175" s="39"/>
      <c r="J175" s="39"/>
      <c r="K175" s="35"/>
      <c r="L175" s="103"/>
      <c r="M175" s="40"/>
      <c r="O175" s="107"/>
      <c r="P175" s="22"/>
      <c r="Q175" s="23"/>
      <c r="R175" s="107"/>
      <c r="S175" s="107"/>
      <c r="T175" s="107"/>
      <c r="U175" s="107"/>
      <c r="V175" s="107"/>
    </row>
    <row r="176" spans="1:22" s="12" customFormat="1" x14ac:dyDescent="0.2">
      <c r="A176" s="107"/>
      <c r="B176" s="107"/>
      <c r="C176" s="107"/>
      <c r="D176" s="107"/>
      <c r="E176" s="35"/>
      <c r="F176" s="36"/>
      <c r="G176" s="37"/>
      <c r="H176" s="38"/>
      <c r="I176" s="39"/>
      <c r="J176" s="39"/>
      <c r="K176" s="35"/>
      <c r="L176" s="103"/>
      <c r="M176" s="40"/>
      <c r="O176" s="107"/>
      <c r="P176" s="22"/>
      <c r="Q176" s="23"/>
      <c r="R176" s="107"/>
      <c r="S176" s="107"/>
      <c r="T176" s="107"/>
      <c r="U176" s="107"/>
      <c r="V176" s="107"/>
    </row>
    <row r="177" spans="1:22" s="12" customFormat="1" x14ac:dyDescent="0.2">
      <c r="A177" s="107"/>
      <c r="B177" s="28"/>
      <c r="C177" s="107"/>
      <c r="D177" s="107"/>
      <c r="E177" s="35"/>
      <c r="F177" s="36"/>
      <c r="G177" s="37"/>
      <c r="H177" s="38"/>
      <c r="I177" s="39"/>
      <c r="J177" s="39"/>
      <c r="K177" s="35"/>
      <c r="L177" s="103"/>
      <c r="M177" s="40"/>
      <c r="O177" s="107"/>
      <c r="P177" s="22"/>
      <c r="Q177" s="23"/>
      <c r="R177" s="107"/>
      <c r="S177" s="107"/>
      <c r="T177" s="107"/>
      <c r="U177" s="107"/>
      <c r="V177" s="107"/>
    </row>
    <row r="178" spans="1:22" s="12" customFormat="1" x14ac:dyDescent="0.2">
      <c r="A178" s="107"/>
      <c r="B178" s="107"/>
      <c r="C178" s="107"/>
      <c r="D178" s="107"/>
      <c r="E178" s="35"/>
      <c r="F178" s="36"/>
      <c r="G178" s="37"/>
      <c r="H178" s="38"/>
      <c r="I178" s="39"/>
      <c r="J178" s="39"/>
      <c r="K178" s="35"/>
      <c r="L178" s="103"/>
      <c r="M178" s="40"/>
      <c r="O178" s="107"/>
      <c r="P178" s="22"/>
      <c r="Q178" s="23"/>
      <c r="R178" s="107"/>
      <c r="S178" s="107"/>
      <c r="T178" s="107"/>
      <c r="U178" s="107"/>
      <c r="V178" s="107"/>
    </row>
    <row r="179" spans="1:22" s="12" customFormat="1" x14ac:dyDescent="0.2">
      <c r="A179" s="107"/>
      <c r="B179" s="107"/>
      <c r="C179" s="107"/>
      <c r="D179" s="107"/>
      <c r="E179" s="35"/>
      <c r="F179" s="36"/>
      <c r="G179" s="37"/>
      <c r="H179" s="38"/>
      <c r="I179" s="39"/>
      <c r="J179" s="39"/>
      <c r="K179" s="35"/>
      <c r="L179" s="103"/>
      <c r="M179" s="40"/>
      <c r="O179" s="107"/>
      <c r="P179" s="22"/>
      <c r="Q179" s="23"/>
      <c r="R179" s="107"/>
      <c r="S179" s="107"/>
      <c r="T179" s="107"/>
      <c r="U179" s="107"/>
      <c r="V179" s="107"/>
    </row>
    <row r="180" spans="1:22" s="12" customFormat="1" x14ac:dyDescent="0.2">
      <c r="A180" s="107"/>
      <c r="B180" s="107"/>
      <c r="C180" s="107"/>
      <c r="D180" s="107"/>
      <c r="E180" s="35"/>
      <c r="F180" s="36"/>
      <c r="G180" s="37"/>
      <c r="H180" s="38"/>
      <c r="I180" s="39"/>
      <c r="J180" s="39"/>
      <c r="K180" s="35"/>
      <c r="L180" s="103"/>
      <c r="M180" s="40"/>
      <c r="O180" s="107"/>
      <c r="P180" s="22"/>
      <c r="Q180" s="23"/>
      <c r="R180" s="107"/>
      <c r="S180" s="107"/>
      <c r="T180" s="107"/>
      <c r="U180" s="107"/>
      <c r="V180" s="107"/>
    </row>
    <row r="181" spans="1:22" s="12" customFormat="1" x14ac:dyDescent="0.2">
      <c r="A181" s="107"/>
      <c r="B181" s="107"/>
      <c r="C181" s="107"/>
      <c r="D181" s="107"/>
      <c r="E181" s="35"/>
      <c r="F181" s="36"/>
      <c r="G181" s="37"/>
      <c r="H181" s="38"/>
      <c r="I181" s="39"/>
      <c r="J181" s="39"/>
      <c r="K181" s="35"/>
      <c r="L181" s="103"/>
      <c r="M181" s="40"/>
      <c r="O181" s="107"/>
      <c r="P181" s="22"/>
      <c r="Q181" s="23"/>
      <c r="R181" s="107"/>
      <c r="S181" s="107"/>
      <c r="T181" s="107"/>
      <c r="U181" s="107"/>
      <c r="V181" s="107"/>
    </row>
    <row r="182" spans="1:22" s="12" customFormat="1" x14ac:dyDescent="0.2">
      <c r="A182" s="107"/>
      <c r="B182" s="107"/>
      <c r="C182" s="107"/>
      <c r="D182" s="107"/>
      <c r="E182" s="35"/>
      <c r="F182" s="36"/>
      <c r="G182" s="37"/>
      <c r="H182" s="38"/>
      <c r="I182" s="39"/>
      <c r="J182" s="39"/>
      <c r="K182" s="35"/>
      <c r="L182" s="103"/>
      <c r="M182" s="40"/>
      <c r="O182" s="107"/>
      <c r="P182" s="22"/>
      <c r="Q182" s="23"/>
      <c r="R182" s="107"/>
      <c r="S182" s="107"/>
      <c r="T182" s="107"/>
      <c r="U182" s="107"/>
      <c r="V182" s="107"/>
    </row>
    <row r="183" spans="1:22" s="12" customFormat="1" x14ac:dyDescent="0.2">
      <c r="A183" s="107"/>
      <c r="B183" s="107"/>
      <c r="C183" s="107"/>
      <c r="D183" s="107"/>
      <c r="E183" s="35"/>
      <c r="F183" s="36"/>
      <c r="G183" s="37"/>
      <c r="H183" s="38"/>
      <c r="I183" s="39"/>
      <c r="J183" s="39"/>
      <c r="K183" s="35"/>
      <c r="L183" s="103"/>
      <c r="M183" s="40"/>
      <c r="O183" s="107"/>
      <c r="P183" s="22"/>
      <c r="Q183" s="23"/>
      <c r="R183" s="107"/>
      <c r="S183" s="107"/>
      <c r="T183" s="107"/>
      <c r="U183" s="107"/>
      <c r="V183" s="107"/>
    </row>
    <row r="184" spans="1:22" s="12" customFormat="1" x14ac:dyDescent="0.2">
      <c r="A184" s="107"/>
      <c r="B184" s="107"/>
      <c r="C184" s="107"/>
      <c r="D184" s="107"/>
      <c r="E184" s="35"/>
      <c r="F184" s="36"/>
      <c r="G184" s="37"/>
      <c r="H184" s="38"/>
      <c r="I184" s="39"/>
      <c r="J184" s="39"/>
      <c r="K184" s="35"/>
      <c r="L184" s="103"/>
      <c r="M184" s="40"/>
      <c r="O184" s="107"/>
      <c r="P184" s="22"/>
      <c r="Q184" s="23"/>
      <c r="R184" s="107"/>
      <c r="S184" s="107"/>
      <c r="T184" s="107"/>
      <c r="U184" s="107"/>
      <c r="V184" s="107"/>
    </row>
    <row r="185" spans="1:22" s="12" customFormat="1" x14ac:dyDescent="0.2">
      <c r="A185" s="107"/>
      <c r="B185" s="107"/>
      <c r="C185" s="107"/>
      <c r="D185" s="107"/>
      <c r="E185" s="35"/>
      <c r="F185" s="36"/>
      <c r="G185" s="37"/>
      <c r="H185" s="38"/>
      <c r="I185" s="39"/>
      <c r="J185" s="39"/>
      <c r="K185" s="35"/>
      <c r="L185" s="103"/>
      <c r="M185" s="40"/>
      <c r="O185" s="107"/>
      <c r="P185" s="22"/>
      <c r="Q185" s="23"/>
      <c r="R185" s="107"/>
      <c r="S185" s="107"/>
      <c r="T185" s="107"/>
      <c r="U185" s="107"/>
      <c r="V185" s="107"/>
    </row>
    <row r="186" spans="1:22" s="12" customFormat="1" x14ac:dyDescent="0.2">
      <c r="A186" s="107"/>
      <c r="B186" s="107"/>
      <c r="C186" s="107"/>
      <c r="D186" s="107"/>
      <c r="E186" s="35"/>
      <c r="F186" s="36"/>
      <c r="G186" s="37"/>
      <c r="H186" s="38"/>
      <c r="I186" s="39"/>
      <c r="J186" s="39"/>
      <c r="K186" s="35"/>
      <c r="L186" s="103"/>
      <c r="M186" s="40"/>
      <c r="O186" s="107"/>
      <c r="P186" s="22"/>
      <c r="Q186" s="23"/>
      <c r="R186" s="107"/>
      <c r="S186" s="107"/>
      <c r="T186" s="107"/>
      <c r="U186" s="107"/>
      <c r="V186" s="107"/>
    </row>
    <row r="187" spans="1:22" s="12" customFormat="1" x14ac:dyDescent="0.2">
      <c r="A187" s="107"/>
      <c r="B187" s="107"/>
      <c r="C187" s="107"/>
      <c r="D187" s="107"/>
      <c r="E187" s="35"/>
      <c r="F187" s="36"/>
      <c r="G187" s="37"/>
      <c r="H187" s="38"/>
      <c r="I187" s="39"/>
      <c r="J187" s="39"/>
      <c r="K187" s="35"/>
      <c r="L187" s="103"/>
      <c r="M187" s="40"/>
      <c r="O187" s="107"/>
      <c r="P187" s="22"/>
      <c r="Q187" s="23"/>
      <c r="R187" s="107"/>
      <c r="S187" s="107"/>
      <c r="T187" s="107"/>
      <c r="U187" s="107"/>
      <c r="V187" s="107"/>
    </row>
    <row r="188" spans="1:22" s="12" customFormat="1" x14ac:dyDescent="0.2">
      <c r="A188" s="107"/>
      <c r="B188" s="107"/>
      <c r="C188" s="107"/>
      <c r="D188" s="107"/>
      <c r="E188" s="35"/>
      <c r="F188" s="36"/>
      <c r="G188" s="37"/>
      <c r="H188" s="38"/>
      <c r="I188" s="39"/>
      <c r="J188" s="39"/>
      <c r="K188" s="35"/>
      <c r="L188" s="103"/>
      <c r="M188" s="40"/>
      <c r="O188" s="107"/>
      <c r="P188" s="22"/>
      <c r="Q188" s="23"/>
      <c r="R188" s="107"/>
      <c r="S188" s="107"/>
      <c r="T188" s="107"/>
      <c r="U188" s="107"/>
      <c r="V188" s="107"/>
    </row>
    <row r="189" spans="1:22" s="12" customFormat="1" x14ac:dyDescent="0.2">
      <c r="A189" s="107"/>
      <c r="B189" s="107"/>
      <c r="C189" s="107"/>
      <c r="D189" s="107"/>
      <c r="E189" s="35"/>
      <c r="F189" s="36"/>
      <c r="G189" s="37"/>
      <c r="H189" s="38"/>
      <c r="I189" s="39"/>
      <c r="J189" s="39"/>
      <c r="K189" s="35"/>
      <c r="L189" s="103"/>
      <c r="M189" s="40"/>
      <c r="O189" s="107"/>
      <c r="P189" s="22"/>
      <c r="Q189" s="23"/>
      <c r="R189" s="107"/>
      <c r="S189" s="107"/>
      <c r="T189" s="107"/>
      <c r="U189" s="107"/>
      <c r="V189" s="107"/>
    </row>
    <row r="190" spans="1:22" s="12" customFormat="1" x14ac:dyDescent="0.2">
      <c r="A190" s="107"/>
      <c r="B190" s="107"/>
      <c r="C190" s="107"/>
      <c r="D190" s="107"/>
      <c r="E190" s="35"/>
      <c r="F190" s="36"/>
      <c r="G190" s="37"/>
      <c r="H190" s="38"/>
      <c r="I190" s="39"/>
      <c r="J190" s="39"/>
      <c r="K190" s="35"/>
      <c r="L190" s="103"/>
      <c r="M190" s="40"/>
      <c r="O190" s="107"/>
      <c r="P190" s="22"/>
      <c r="Q190" s="23"/>
      <c r="R190" s="107"/>
      <c r="S190" s="107"/>
      <c r="T190" s="107"/>
      <c r="U190" s="107"/>
      <c r="V190" s="107"/>
    </row>
    <row r="191" spans="1:22" s="12" customFormat="1" x14ac:dyDescent="0.2">
      <c r="A191" s="107"/>
      <c r="B191" s="107"/>
      <c r="C191" s="107"/>
      <c r="D191" s="107"/>
      <c r="E191" s="35"/>
      <c r="F191" s="36"/>
      <c r="G191" s="37"/>
      <c r="H191" s="38"/>
      <c r="I191" s="39"/>
      <c r="J191" s="39"/>
      <c r="K191" s="35"/>
      <c r="L191" s="103"/>
      <c r="M191" s="40"/>
      <c r="O191" s="107"/>
      <c r="P191" s="22"/>
      <c r="Q191" s="23"/>
      <c r="R191" s="107"/>
      <c r="S191" s="107"/>
      <c r="T191" s="107"/>
      <c r="U191" s="107"/>
      <c r="V191" s="107"/>
    </row>
    <row r="192" spans="1:22" s="12" customFormat="1" x14ac:dyDescent="0.2">
      <c r="A192" s="107"/>
      <c r="B192" s="107"/>
      <c r="C192" s="107"/>
      <c r="D192" s="107"/>
      <c r="E192" s="35"/>
      <c r="F192" s="36"/>
      <c r="G192" s="37"/>
      <c r="H192" s="38"/>
      <c r="I192" s="39"/>
      <c r="J192" s="39"/>
      <c r="K192" s="35"/>
      <c r="L192" s="103"/>
      <c r="M192" s="40"/>
      <c r="O192" s="107"/>
      <c r="P192" s="22"/>
      <c r="Q192" s="23"/>
      <c r="R192" s="107"/>
      <c r="S192" s="107"/>
      <c r="T192" s="107"/>
      <c r="U192" s="107"/>
      <c r="V192" s="107"/>
    </row>
    <row r="193" spans="1:22" s="12" customFormat="1" x14ac:dyDescent="0.2">
      <c r="A193" s="107"/>
      <c r="B193" s="107"/>
      <c r="C193" s="107"/>
      <c r="D193" s="107"/>
      <c r="E193" s="35"/>
      <c r="F193" s="36"/>
      <c r="G193" s="37"/>
      <c r="H193" s="38"/>
      <c r="I193" s="39"/>
      <c r="J193" s="39"/>
      <c r="K193" s="35"/>
      <c r="L193" s="103"/>
      <c r="M193" s="40"/>
      <c r="O193" s="107"/>
      <c r="P193" s="22"/>
      <c r="Q193" s="23"/>
      <c r="R193" s="107"/>
      <c r="S193" s="107"/>
      <c r="T193" s="107"/>
      <c r="U193" s="107"/>
      <c r="V193" s="107"/>
    </row>
    <row r="194" spans="1:22" s="12" customFormat="1" x14ac:dyDescent="0.2">
      <c r="A194" s="107"/>
      <c r="B194" s="107"/>
      <c r="C194" s="107"/>
      <c r="D194" s="107"/>
      <c r="E194" s="35"/>
      <c r="F194" s="36"/>
      <c r="G194" s="37"/>
      <c r="H194" s="38"/>
      <c r="I194" s="39"/>
      <c r="J194" s="39"/>
      <c r="K194" s="35"/>
      <c r="L194" s="103"/>
      <c r="M194" s="40"/>
      <c r="O194" s="107"/>
      <c r="P194" s="22"/>
      <c r="Q194" s="23"/>
      <c r="R194" s="107"/>
      <c r="S194" s="107"/>
      <c r="T194" s="107"/>
      <c r="U194" s="107"/>
      <c r="V194" s="107"/>
    </row>
    <row r="195" spans="1:22" s="12" customFormat="1" x14ac:dyDescent="0.2">
      <c r="A195" s="107"/>
      <c r="B195" s="107"/>
      <c r="C195" s="107"/>
      <c r="D195" s="107"/>
      <c r="E195" s="35"/>
      <c r="F195" s="36"/>
      <c r="G195" s="37"/>
      <c r="H195" s="38"/>
      <c r="I195" s="39"/>
      <c r="J195" s="39"/>
      <c r="K195" s="35"/>
      <c r="L195" s="103"/>
      <c r="M195" s="40"/>
      <c r="O195" s="107"/>
      <c r="P195" s="22"/>
      <c r="Q195" s="23"/>
      <c r="R195" s="107"/>
      <c r="S195" s="107"/>
      <c r="T195" s="107"/>
      <c r="U195" s="107"/>
      <c r="V195" s="107"/>
    </row>
    <row r="196" spans="1:22" s="12" customFormat="1" x14ac:dyDescent="0.2">
      <c r="A196" s="107"/>
      <c r="B196" s="107"/>
      <c r="C196" s="107"/>
      <c r="D196" s="107"/>
      <c r="E196" s="35"/>
      <c r="F196" s="36"/>
      <c r="G196" s="37"/>
      <c r="H196" s="38"/>
      <c r="I196" s="39"/>
      <c r="J196" s="39"/>
      <c r="K196" s="35"/>
      <c r="L196" s="103"/>
      <c r="M196" s="40"/>
      <c r="O196" s="107"/>
      <c r="P196" s="22"/>
      <c r="Q196" s="23"/>
      <c r="R196" s="107"/>
      <c r="S196" s="107"/>
      <c r="T196" s="107"/>
      <c r="U196" s="107"/>
      <c r="V196" s="107"/>
    </row>
    <row r="197" spans="1:22" s="12" customFormat="1" x14ac:dyDescent="0.2">
      <c r="A197" s="107"/>
      <c r="B197" s="107"/>
      <c r="C197" s="107"/>
      <c r="D197" s="107"/>
      <c r="E197" s="35"/>
      <c r="F197" s="36"/>
      <c r="G197" s="37"/>
      <c r="H197" s="38"/>
      <c r="I197" s="39"/>
      <c r="J197" s="39"/>
      <c r="K197" s="35"/>
      <c r="L197" s="103"/>
      <c r="M197" s="40"/>
      <c r="O197" s="107"/>
      <c r="P197" s="22"/>
      <c r="Q197" s="23"/>
      <c r="R197" s="107"/>
      <c r="S197" s="107"/>
      <c r="T197" s="107"/>
      <c r="U197" s="107"/>
      <c r="V197" s="107"/>
    </row>
    <row r="198" spans="1:22" s="12" customFormat="1" x14ac:dyDescent="0.2">
      <c r="A198" s="107"/>
      <c r="B198" s="28"/>
      <c r="C198" s="107"/>
      <c r="D198" s="107"/>
      <c r="E198" s="35"/>
      <c r="F198" s="36"/>
      <c r="G198" s="37"/>
      <c r="H198" s="38"/>
      <c r="I198" s="39"/>
      <c r="J198" s="39"/>
      <c r="K198" s="35"/>
      <c r="L198" s="103"/>
      <c r="M198" s="40"/>
      <c r="O198" s="107"/>
      <c r="P198" s="22"/>
      <c r="Q198" s="23"/>
      <c r="R198" s="107"/>
      <c r="S198" s="107"/>
      <c r="T198" s="107"/>
      <c r="U198" s="107"/>
      <c r="V198" s="107"/>
    </row>
    <row r="199" spans="1:22" s="12" customFormat="1" x14ac:dyDescent="0.2">
      <c r="A199" s="107"/>
      <c r="B199" s="107"/>
      <c r="C199" s="107"/>
      <c r="D199" s="107"/>
      <c r="E199" s="35"/>
      <c r="F199" s="36"/>
      <c r="G199" s="37"/>
      <c r="H199" s="38"/>
      <c r="I199" s="39"/>
      <c r="J199" s="39"/>
      <c r="K199" s="35"/>
      <c r="L199" s="103"/>
      <c r="M199" s="40"/>
      <c r="O199" s="107"/>
      <c r="P199" s="22"/>
      <c r="Q199" s="23"/>
      <c r="R199" s="107"/>
      <c r="S199" s="107"/>
      <c r="T199" s="107"/>
      <c r="U199" s="107"/>
      <c r="V199" s="107"/>
    </row>
    <row r="200" spans="1:22" s="12" customFormat="1" x14ac:dyDescent="0.2">
      <c r="A200" s="107"/>
      <c r="B200" s="107"/>
      <c r="C200" s="107"/>
      <c r="D200" s="107"/>
      <c r="E200" s="35"/>
      <c r="F200" s="36"/>
      <c r="G200" s="37"/>
      <c r="H200" s="38"/>
      <c r="I200" s="39"/>
      <c r="J200" s="39"/>
      <c r="K200" s="35"/>
      <c r="L200" s="103"/>
      <c r="M200" s="40"/>
      <c r="O200" s="107"/>
      <c r="P200" s="22"/>
      <c r="Q200" s="23"/>
      <c r="R200" s="107"/>
      <c r="S200" s="107"/>
      <c r="T200" s="107"/>
      <c r="U200" s="107"/>
      <c r="V200" s="107"/>
    </row>
    <row r="201" spans="1:22" s="12" customFormat="1" x14ac:dyDescent="0.2">
      <c r="A201" s="107"/>
      <c r="B201" s="107"/>
      <c r="C201" s="107"/>
      <c r="D201" s="107"/>
      <c r="E201" s="35"/>
      <c r="F201" s="36"/>
      <c r="G201" s="37"/>
      <c r="H201" s="38"/>
      <c r="I201" s="39"/>
      <c r="J201" s="39"/>
      <c r="K201" s="35"/>
      <c r="L201" s="103"/>
      <c r="M201" s="40"/>
      <c r="O201" s="107"/>
      <c r="P201" s="22"/>
      <c r="Q201" s="23"/>
      <c r="R201" s="107"/>
      <c r="S201" s="107"/>
      <c r="T201" s="107"/>
      <c r="U201" s="107"/>
      <c r="V201" s="107"/>
    </row>
    <row r="202" spans="1:22" s="12" customFormat="1" x14ac:dyDescent="0.2">
      <c r="A202" s="107"/>
      <c r="B202" s="107"/>
      <c r="C202" s="107"/>
      <c r="D202" s="107"/>
      <c r="E202" s="35"/>
      <c r="F202" s="36"/>
      <c r="G202" s="37"/>
      <c r="H202" s="38"/>
      <c r="I202" s="39"/>
      <c r="J202" s="39"/>
      <c r="K202" s="35"/>
      <c r="L202" s="103"/>
      <c r="M202" s="40"/>
      <c r="O202" s="107"/>
      <c r="P202" s="22"/>
      <c r="Q202" s="23"/>
      <c r="R202" s="107"/>
      <c r="S202" s="107"/>
      <c r="T202" s="107"/>
      <c r="U202" s="107"/>
      <c r="V202" s="107"/>
    </row>
    <row r="203" spans="1:22" s="12" customFormat="1" x14ac:dyDescent="0.2">
      <c r="D203" s="107"/>
      <c r="E203" s="35"/>
      <c r="F203" s="36"/>
      <c r="G203" s="37"/>
      <c r="H203" s="38"/>
      <c r="I203" s="39"/>
      <c r="J203" s="39"/>
      <c r="K203" s="35"/>
      <c r="L203" s="103"/>
      <c r="M203" s="40"/>
      <c r="O203" s="107"/>
      <c r="P203" s="22"/>
      <c r="Q203" s="23"/>
      <c r="R203" s="107"/>
      <c r="S203" s="107"/>
      <c r="T203" s="107"/>
      <c r="U203" s="107"/>
      <c r="V203" s="107"/>
    </row>
    <row r="204" spans="1:22" s="12" customFormat="1" x14ac:dyDescent="0.2">
      <c r="D204" s="107"/>
      <c r="E204" s="35"/>
      <c r="F204" s="36"/>
      <c r="G204" s="37"/>
      <c r="H204" s="38"/>
      <c r="I204" s="39"/>
      <c r="J204" s="39"/>
      <c r="K204" s="35"/>
      <c r="L204" s="103"/>
      <c r="M204" s="40"/>
      <c r="O204" s="107"/>
      <c r="P204" s="22"/>
      <c r="Q204" s="23"/>
      <c r="R204" s="107"/>
      <c r="S204" s="107"/>
      <c r="T204" s="107"/>
      <c r="U204" s="107"/>
      <c r="V204" s="107"/>
    </row>
    <row r="205" spans="1:22" s="12" customFormat="1" x14ac:dyDescent="0.2">
      <c r="D205" s="107"/>
      <c r="E205" s="35"/>
      <c r="F205" s="36"/>
      <c r="G205" s="37"/>
      <c r="H205" s="38"/>
      <c r="I205" s="39"/>
      <c r="J205" s="39"/>
      <c r="K205" s="35"/>
      <c r="L205" s="103"/>
      <c r="M205" s="40"/>
      <c r="O205" s="107"/>
      <c r="P205" s="22"/>
      <c r="Q205" s="23"/>
      <c r="R205" s="107"/>
      <c r="S205" s="107"/>
      <c r="T205" s="107"/>
      <c r="U205" s="107"/>
      <c r="V205" s="107"/>
    </row>
    <row r="206" spans="1:22" s="12" customFormat="1" x14ac:dyDescent="0.2">
      <c r="D206" s="107"/>
      <c r="E206" s="35"/>
      <c r="F206" s="36"/>
      <c r="G206" s="37"/>
      <c r="H206" s="38"/>
      <c r="I206" s="39"/>
      <c r="J206" s="39"/>
      <c r="K206" s="35"/>
      <c r="L206" s="103"/>
      <c r="M206" s="40"/>
      <c r="O206" s="107"/>
      <c r="P206" s="22"/>
      <c r="Q206" s="23"/>
      <c r="R206" s="107"/>
      <c r="S206" s="107"/>
      <c r="T206" s="107"/>
      <c r="U206" s="107"/>
      <c r="V206" s="107"/>
    </row>
    <row r="207" spans="1:22" s="12" customFormat="1" x14ac:dyDescent="0.2">
      <c r="D207" s="107"/>
      <c r="E207" s="35"/>
      <c r="F207" s="36"/>
      <c r="G207" s="37"/>
      <c r="H207" s="38"/>
      <c r="I207" s="39"/>
      <c r="J207" s="39"/>
      <c r="K207" s="35"/>
      <c r="L207" s="103"/>
      <c r="M207" s="40"/>
      <c r="O207" s="107"/>
      <c r="P207" s="22"/>
      <c r="Q207" s="23"/>
      <c r="R207" s="107"/>
      <c r="S207" s="107"/>
      <c r="T207" s="107"/>
      <c r="U207" s="107"/>
      <c r="V207" s="107"/>
    </row>
    <row r="208" spans="1:22" s="12" customFormat="1" x14ac:dyDescent="0.2">
      <c r="D208" s="107"/>
      <c r="E208" s="35"/>
      <c r="F208" s="36"/>
      <c r="G208" s="37"/>
      <c r="H208" s="38"/>
      <c r="I208" s="39"/>
      <c r="J208" s="39"/>
      <c r="K208" s="35"/>
      <c r="L208" s="103"/>
      <c r="M208" s="40"/>
      <c r="O208" s="107"/>
      <c r="P208" s="22"/>
      <c r="Q208" s="23"/>
      <c r="R208" s="107"/>
      <c r="S208" s="107"/>
      <c r="T208" s="107"/>
      <c r="U208" s="107"/>
      <c r="V208" s="107"/>
    </row>
    <row r="209" spans="4:22" s="12" customFormat="1" x14ac:dyDescent="0.2">
      <c r="D209" s="107"/>
      <c r="E209" s="35"/>
      <c r="F209" s="36"/>
      <c r="G209" s="37"/>
      <c r="H209" s="38"/>
      <c r="I209" s="39"/>
      <c r="J209" s="39"/>
      <c r="K209" s="35"/>
      <c r="L209" s="103"/>
      <c r="M209" s="40"/>
      <c r="O209" s="107"/>
      <c r="P209" s="22"/>
      <c r="Q209" s="23"/>
      <c r="R209" s="107"/>
      <c r="S209" s="107"/>
      <c r="T209" s="107"/>
      <c r="U209" s="107"/>
      <c r="V209" s="107"/>
    </row>
    <row r="210" spans="4:22" s="12" customFormat="1" x14ac:dyDescent="0.2">
      <c r="D210" s="107"/>
      <c r="E210" s="35"/>
      <c r="F210" s="36"/>
      <c r="G210" s="37"/>
      <c r="H210" s="38"/>
      <c r="I210" s="39"/>
      <c r="J210" s="39"/>
      <c r="K210" s="35"/>
      <c r="L210" s="103"/>
      <c r="M210" s="40"/>
      <c r="O210" s="107"/>
      <c r="P210" s="22"/>
      <c r="Q210" s="23"/>
      <c r="R210" s="107"/>
      <c r="S210" s="107"/>
      <c r="T210" s="107"/>
      <c r="U210" s="107"/>
      <c r="V210" s="107"/>
    </row>
    <row r="211" spans="4:22" s="12" customFormat="1" x14ac:dyDescent="0.2">
      <c r="D211" s="107"/>
      <c r="E211" s="35"/>
      <c r="F211" s="36"/>
      <c r="G211" s="37"/>
      <c r="H211" s="38"/>
      <c r="I211" s="39"/>
      <c r="J211" s="39"/>
      <c r="K211" s="35"/>
      <c r="L211" s="103"/>
      <c r="M211" s="40"/>
      <c r="O211" s="107"/>
      <c r="P211" s="22"/>
      <c r="Q211" s="23"/>
      <c r="R211" s="107"/>
      <c r="S211" s="107"/>
      <c r="T211" s="107"/>
      <c r="U211" s="107"/>
      <c r="V211" s="107"/>
    </row>
    <row r="212" spans="4:22" s="12" customFormat="1" x14ac:dyDescent="0.2">
      <c r="D212" s="107"/>
      <c r="E212" s="35"/>
      <c r="F212" s="36"/>
      <c r="G212" s="37"/>
      <c r="H212" s="38"/>
      <c r="I212" s="39"/>
      <c r="J212" s="39"/>
      <c r="K212" s="35"/>
      <c r="L212" s="103"/>
      <c r="M212" s="40"/>
      <c r="O212" s="107"/>
      <c r="P212" s="22"/>
      <c r="Q212" s="23"/>
      <c r="R212" s="107"/>
      <c r="S212" s="107"/>
      <c r="T212" s="107"/>
      <c r="U212" s="107"/>
      <c r="V212" s="107"/>
    </row>
    <row r="213" spans="4:22" s="12" customFormat="1" x14ac:dyDescent="0.2">
      <c r="D213" s="107"/>
      <c r="E213" s="35"/>
      <c r="F213" s="36"/>
      <c r="G213" s="37"/>
      <c r="H213" s="38"/>
      <c r="I213" s="39"/>
      <c r="J213" s="39"/>
      <c r="K213" s="35"/>
      <c r="L213" s="103"/>
      <c r="M213" s="40"/>
      <c r="O213" s="107"/>
      <c r="P213" s="22"/>
      <c r="Q213" s="23"/>
      <c r="R213" s="107"/>
      <c r="S213" s="107"/>
      <c r="T213" s="107"/>
      <c r="U213" s="107"/>
      <c r="V213" s="107"/>
    </row>
    <row r="214" spans="4:22" s="12" customFormat="1" x14ac:dyDescent="0.2">
      <c r="D214" s="107"/>
      <c r="E214" s="35"/>
      <c r="F214" s="36"/>
      <c r="G214" s="37"/>
      <c r="H214" s="38"/>
      <c r="I214" s="39"/>
      <c r="J214" s="39"/>
      <c r="K214" s="35"/>
      <c r="L214" s="103"/>
      <c r="M214" s="40"/>
      <c r="O214" s="107"/>
      <c r="P214" s="22"/>
      <c r="Q214" s="23"/>
      <c r="R214" s="107"/>
      <c r="S214" s="107"/>
      <c r="T214" s="107"/>
      <c r="U214" s="107"/>
      <c r="V214" s="107"/>
    </row>
    <row r="215" spans="4:22" s="12" customFormat="1" x14ac:dyDescent="0.2">
      <c r="D215" s="107"/>
      <c r="E215" s="35"/>
      <c r="F215" s="36"/>
      <c r="G215" s="37"/>
      <c r="H215" s="38"/>
      <c r="I215" s="39"/>
      <c r="J215" s="39"/>
      <c r="K215" s="35"/>
      <c r="L215" s="103"/>
      <c r="M215" s="40"/>
      <c r="O215" s="107"/>
      <c r="P215" s="22"/>
      <c r="Q215" s="23"/>
      <c r="R215" s="107"/>
      <c r="S215" s="107"/>
      <c r="T215" s="107"/>
      <c r="U215" s="107"/>
      <c r="V215" s="107"/>
    </row>
    <row r="216" spans="4:22" s="12" customFormat="1" x14ac:dyDescent="0.2">
      <c r="D216" s="107"/>
      <c r="E216" s="35"/>
      <c r="F216" s="36"/>
      <c r="G216" s="37"/>
      <c r="H216" s="38"/>
      <c r="I216" s="39"/>
      <c r="J216" s="39"/>
      <c r="K216" s="35"/>
      <c r="L216" s="103"/>
      <c r="M216" s="40"/>
      <c r="O216" s="107"/>
      <c r="P216" s="22"/>
      <c r="Q216" s="23"/>
      <c r="R216" s="107"/>
      <c r="S216" s="107"/>
      <c r="T216" s="107"/>
      <c r="U216" s="107"/>
      <c r="V216" s="107"/>
    </row>
    <row r="217" spans="4:22" s="12" customFormat="1" x14ac:dyDescent="0.2">
      <c r="D217" s="107"/>
      <c r="E217" s="35"/>
      <c r="F217" s="36"/>
      <c r="G217" s="37"/>
      <c r="H217" s="38"/>
      <c r="I217" s="39"/>
      <c r="J217" s="39"/>
      <c r="K217" s="35"/>
      <c r="L217" s="103"/>
      <c r="M217" s="40"/>
      <c r="O217" s="107"/>
      <c r="P217" s="22"/>
      <c r="Q217" s="23"/>
      <c r="R217" s="107"/>
      <c r="S217" s="107"/>
      <c r="T217" s="107"/>
      <c r="U217" s="107"/>
      <c r="V217" s="107"/>
    </row>
    <row r="218" spans="4:22" s="12" customFormat="1" x14ac:dyDescent="0.2">
      <c r="D218" s="107"/>
      <c r="E218" s="35"/>
      <c r="F218" s="36"/>
      <c r="G218" s="37"/>
      <c r="H218" s="38"/>
      <c r="I218" s="39"/>
      <c r="J218" s="39"/>
      <c r="K218" s="35"/>
      <c r="L218" s="103"/>
      <c r="M218" s="40"/>
      <c r="O218" s="107"/>
      <c r="P218" s="22"/>
      <c r="Q218" s="23"/>
      <c r="R218" s="107"/>
      <c r="S218" s="107"/>
      <c r="T218" s="107"/>
      <c r="U218" s="107"/>
      <c r="V218" s="107"/>
    </row>
    <row r="219" spans="4:22" s="12" customFormat="1" x14ac:dyDescent="0.2">
      <c r="D219" s="107"/>
      <c r="E219" s="35"/>
      <c r="F219" s="36"/>
      <c r="G219" s="37"/>
      <c r="H219" s="38"/>
      <c r="I219" s="39"/>
      <c r="J219" s="39"/>
      <c r="K219" s="35"/>
      <c r="L219" s="103"/>
      <c r="M219" s="40"/>
      <c r="O219" s="107"/>
      <c r="P219" s="22"/>
      <c r="Q219" s="23"/>
      <c r="R219" s="107"/>
      <c r="S219" s="107"/>
      <c r="T219" s="107"/>
      <c r="U219" s="107"/>
      <c r="V219" s="107"/>
    </row>
    <row r="220" spans="4:22" s="12" customFormat="1" x14ac:dyDescent="0.2">
      <c r="D220" s="107"/>
      <c r="E220" s="35"/>
      <c r="F220" s="36"/>
      <c r="G220" s="37"/>
      <c r="H220" s="38"/>
      <c r="I220" s="39"/>
      <c r="J220" s="39"/>
      <c r="K220" s="35"/>
      <c r="L220" s="103"/>
      <c r="M220" s="40"/>
      <c r="O220" s="107"/>
      <c r="P220" s="22"/>
      <c r="Q220" s="23"/>
      <c r="R220" s="107"/>
      <c r="S220" s="107"/>
      <c r="T220" s="107"/>
      <c r="U220" s="107"/>
      <c r="V220" s="107"/>
    </row>
    <row r="221" spans="4:22" s="12" customFormat="1" x14ac:dyDescent="0.2">
      <c r="D221" s="107"/>
      <c r="E221" s="35"/>
      <c r="F221" s="36"/>
      <c r="G221" s="37"/>
      <c r="H221" s="38"/>
      <c r="I221" s="39"/>
      <c r="J221" s="39"/>
      <c r="K221" s="35"/>
      <c r="L221" s="103"/>
      <c r="M221" s="40"/>
      <c r="O221" s="107"/>
      <c r="P221" s="22"/>
      <c r="Q221" s="23"/>
      <c r="R221" s="107"/>
      <c r="S221" s="107"/>
      <c r="T221" s="107"/>
      <c r="U221" s="107"/>
      <c r="V221" s="107"/>
    </row>
    <row r="222" spans="4:22" s="12" customFormat="1" x14ac:dyDescent="0.2">
      <c r="D222" s="107"/>
      <c r="E222" s="35"/>
      <c r="F222" s="36"/>
      <c r="G222" s="37"/>
      <c r="H222" s="38"/>
      <c r="I222" s="39"/>
      <c r="J222" s="39"/>
      <c r="K222" s="35"/>
      <c r="L222" s="103"/>
      <c r="M222" s="40"/>
      <c r="O222" s="107"/>
      <c r="P222" s="22"/>
      <c r="Q222" s="23"/>
      <c r="R222" s="107"/>
      <c r="S222" s="107"/>
      <c r="T222" s="107"/>
      <c r="U222" s="107"/>
      <c r="V222" s="107"/>
    </row>
    <row r="223" spans="4:22" s="12" customFormat="1" x14ac:dyDescent="0.2">
      <c r="D223" s="107"/>
      <c r="E223" s="35"/>
      <c r="F223" s="36"/>
      <c r="G223" s="37"/>
      <c r="H223" s="38"/>
      <c r="I223" s="39"/>
      <c r="J223" s="39"/>
      <c r="K223" s="35"/>
      <c r="L223" s="103"/>
      <c r="M223" s="40"/>
      <c r="O223" s="107"/>
      <c r="P223" s="22"/>
      <c r="Q223" s="23"/>
      <c r="R223" s="107"/>
      <c r="S223" s="107"/>
      <c r="T223" s="107"/>
      <c r="U223" s="107"/>
      <c r="V223" s="107"/>
    </row>
    <row r="224" spans="4:22" s="12" customFormat="1" x14ac:dyDescent="0.2">
      <c r="D224" s="107"/>
      <c r="E224" s="35"/>
      <c r="F224" s="36"/>
      <c r="G224" s="37"/>
      <c r="H224" s="38"/>
      <c r="I224" s="39"/>
      <c r="J224" s="39"/>
      <c r="K224" s="35"/>
      <c r="L224" s="103"/>
      <c r="M224" s="40"/>
      <c r="O224" s="107"/>
      <c r="P224" s="22"/>
      <c r="Q224" s="23"/>
      <c r="R224" s="107"/>
      <c r="S224" s="107"/>
      <c r="T224" s="107"/>
      <c r="U224" s="107"/>
      <c r="V224" s="107"/>
    </row>
    <row r="225" spans="4:22" s="12" customFormat="1" x14ac:dyDescent="0.2">
      <c r="D225" s="107"/>
      <c r="E225" s="35"/>
      <c r="F225" s="36"/>
      <c r="G225" s="37"/>
      <c r="H225" s="38"/>
      <c r="I225" s="39"/>
      <c r="J225" s="39"/>
      <c r="K225" s="35"/>
      <c r="L225" s="103"/>
      <c r="M225" s="40"/>
      <c r="O225" s="107"/>
      <c r="P225" s="22"/>
      <c r="Q225" s="23"/>
      <c r="R225" s="107"/>
      <c r="S225" s="107"/>
      <c r="T225" s="107"/>
      <c r="U225" s="107"/>
      <c r="V225" s="107"/>
    </row>
    <row r="226" spans="4:22" s="12" customFormat="1" x14ac:dyDescent="0.2">
      <c r="D226" s="107"/>
      <c r="E226" s="35"/>
      <c r="F226" s="36"/>
      <c r="G226" s="37"/>
      <c r="H226" s="38"/>
      <c r="I226" s="39"/>
      <c r="J226" s="39"/>
      <c r="K226" s="35"/>
      <c r="L226" s="103"/>
      <c r="M226" s="40"/>
      <c r="O226" s="107"/>
      <c r="P226" s="22"/>
      <c r="Q226" s="23"/>
      <c r="R226" s="107"/>
      <c r="S226" s="107"/>
      <c r="T226" s="107"/>
      <c r="U226" s="107"/>
      <c r="V226" s="107"/>
    </row>
    <row r="227" spans="4:22" s="12" customFormat="1" x14ac:dyDescent="0.2">
      <c r="D227" s="107"/>
      <c r="E227" s="35"/>
      <c r="F227" s="36"/>
      <c r="G227" s="37"/>
      <c r="H227" s="38"/>
      <c r="I227" s="39"/>
      <c r="J227" s="39"/>
      <c r="K227" s="35"/>
      <c r="L227" s="103"/>
      <c r="M227" s="40"/>
      <c r="O227" s="107"/>
      <c r="P227" s="22"/>
      <c r="Q227" s="23"/>
      <c r="R227" s="107"/>
      <c r="S227" s="107"/>
      <c r="T227" s="107"/>
      <c r="U227" s="107"/>
      <c r="V227" s="107"/>
    </row>
    <row r="228" spans="4:22" s="12" customFormat="1" x14ac:dyDescent="0.2">
      <c r="D228" s="107"/>
      <c r="E228" s="35"/>
      <c r="F228" s="36"/>
      <c r="G228" s="37"/>
      <c r="H228" s="38"/>
      <c r="I228" s="39"/>
      <c r="J228" s="39"/>
      <c r="K228" s="35"/>
      <c r="L228" s="103"/>
      <c r="M228" s="40"/>
      <c r="O228" s="107"/>
      <c r="P228" s="22"/>
      <c r="Q228" s="23"/>
      <c r="R228" s="107"/>
      <c r="S228" s="107"/>
      <c r="T228" s="107"/>
      <c r="U228" s="107"/>
      <c r="V228" s="107"/>
    </row>
    <row r="229" spans="4:22" s="12" customFormat="1" x14ac:dyDescent="0.2">
      <c r="D229" s="107"/>
      <c r="E229" s="35"/>
      <c r="F229" s="36"/>
      <c r="G229" s="37"/>
      <c r="H229" s="38"/>
      <c r="I229" s="39"/>
      <c r="J229" s="39"/>
      <c r="K229" s="35"/>
      <c r="L229" s="103"/>
      <c r="M229" s="40"/>
      <c r="O229" s="107"/>
      <c r="P229" s="22"/>
      <c r="Q229" s="23"/>
      <c r="R229" s="107"/>
      <c r="S229" s="107"/>
      <c r="T229" s="107"/>
      <c r="U229" s="107"/>
      <c r="V229" s="107"/>
    </row>
    <row r="230" spans="4:22" s="12" customFormat="1" x14ac:dyDescent="0.2">
      <c r="D230" s="107"/>
      <c r="E230" s="35"/>
      <c r="F230" s="36"/>
      <c r="G230" s="37"/>
      <c r="H230" s="38"/>
      <c r="I230" s="39"/>
      <c r="J230" s="39"/>
      <c r="K230" s="35"/>
      <c r="L230" s="103"/>
      <c r="M230" s="40"/>
      <c r="O230" s="107"/>
      <c r="P230" s="22"/>
      <c r="Q230" s="23"/>
      <c r="R230" s="107"/>
      <c r="S230" s="107"/>
      <c r="T230" s="107"/>
      <c r="U230" s="107"/>
      <c r="V230" s="107"/>
    </row>
    <row r="231" spans="4:22" s="12" customFormat="1" x14ac:dyDescent="0.2">
      <c r="D231" s="107"/>
      <c r="E231" s="35"/>
      <c r="F231" s="36"/>
      <c r="G231" s="37"/>
      <c r="H231" s="38"/>
      <c r="I231" s="39"/>
      <c r="J231" s="39"/>
      <c r="K231" s="35"/>
      <c r="L231" s="103"/>
      <c r="M231" s="40"/>
      <c r="O231" s="107"/>
      <c r="P231" s="22"/>
      <c r="Q231" s="23"/>
      <c r="R231" s="107"/>
      <c r="S231" s="107"/>
      <c r="T231" s="107"/>
      <c r="U231" s="107"/>
      <c r="V231" s="107"/>
    </row>
    <row r="232" spans="4:22" s="12" customFormat="1" x14ac:dyDescent="0.2">
      <c r="D232" s="107"/>
      <c r="E232" s="35"/>
      <c r="F232" s="36"/>
      <c r="G232" s="37"/>
      <c r="H232" s="38"/>
      <c r="I232" s="39"/>
      <c r="J232" s="39"/>
      <c r="K232" s="35"/>
      <c r="L232" s="103"/>
      <c r="M232" s="40"/>
      <c r="O232" s="107"/>
      <c r="P232" s="22"/>
      <c r="Q232" s="23"/>
      <c r="R232" s="107"/>
      <c r="S232" s="107"/>
      <c r="T232" s="107"/>
      <c r="U232" s="107"/>
      <c r="V232" s="107"/>
    </row>
    <row r="233" spans="4:22" s="12" customFormat="1" x14ac:dyDescent="0.2">
      <c r="D233" s="107"/>
      <c r="E233" s="35"/>
      <c r="F233" s="36"/>
      <c r="G233" s="37"/>
      <c r="H233" s="38"/>
      <c r="I233" s="39"/>
      <c r="J233" s="39"/>
      <c r="K233" s="35"/>
      <c r="L233" s="103"/>
      <c r="M233" s="40"/>
      <c r="O233" s="107"/>
      <c r="P233" s="22"/>
      <c r="Q233" s="23"/>
      <c r="R233" s="107"/>
      <c r="S233" s="107"/>
      <c r="T233" s="107"/>
      <c r="U233" s="107"/>
      <c r="V233" s="107"/>
    </row>
    <row r="234" spans="4:22" s="12" customFormat="1" x14ac:dyDescent="0.2">
      <c r="D234" s="107"/>
      <c r="E234" s="35"/>
      <c r="F234" s="36"/>
      <c r="G234" s="37"/>
      <c r="H234" s="38"/>
      <c r="I234" s="39"/>
      <c r="J234" s="39"/>
      <c r="K234" s="35"/>
      <c r="L234" s="103"/>
      <c r="M234" s="40"/>
      <c r="O234" s="107"/>
      <c r="P234" s="22"/>
      <c r="Q234" s="23"/>
      <c r="R234" s="107"/>
      <c r="S234" s="107"/>
      <c r="T234" s="107"/>
      <c r="U234" s="107"/>
      <c r="V234" s="107"/>
    </row>
    <row r="235" spans="4:22" s="12" customFormat="1" x14ac:dyDescent="0.2">
      <c r="D235" s="107"/>
      <c r="E235" s="35"/>
      <c r="F235" s="36"/>
      <c r="G235" s="37"/>
      <c r="H235" s="38"/>
      <c r="I235" s="39"/>
      <c r="J235" s="39"/>
      <c r="K235" s="35"/>
      <c r="L235" s="103"/>
      <c r="M235" s="40"/>
      <c r="O235" s="107"/>
      <c r="P235" s="22"/>
      <c r="Q235" s="23"/>
      <c r="R235" s="107"/>
      <c r="S235" s="107"/>
      <c r="T235" s="107"/>
      <c r="U235" s="107"/>
      <c r="V235" s="107"/>
    </row>
    <row r="236" spans="4:22" s="12" customFormat="1" x14ac:dyDescent="0.2">
      <c r="D236" s="107"/>
      <c r="E236" s="35"/>
      <c r="F236" s="36"/>
      <c r="G236" s="37"/>
      <c r="H236" s="38"/>
      <c r="I236" s="39"/>
      <c r="J236" s="39"/>
      <c r="K236" s="35"/>
      <c r="L236" s="103"/>
      <c r="M236" s="40"/>
      <c r="O236" s="107"/>
      <c r="P236" s="22"/>
      <c r="Q236" s="23"/>
      <c r="R236" s="107"/>
      <c r="S236" s="107"/>
      <c r="T236" s="107"/>
      <c r="U236" s="107"/>
      <c r="V236" s="107"/>
    </row>
    <row r="237" spans="4:22" s="12" customFormat="1" x14ac:dyDescent="0.2">
      <c r="D237" s="107"/>
      <c r="E237" s="35"/>
      <c r="F237" s="36"/>
      <c r="G237" s="37"/>
      <c r="H237" s="38"/>
      <c r="I237" s="39"/>
      <c r="J237" s="39"/>
      <c r="K237" s="35"/>
      <c r="L237" s="103"/>
      <c r="M237" s="40"/>
      <c r="O237" s="107"/>
      <c r="P237" s="22"/>
      <c r="Q237" s="23"/>
      <c r="R237" s="107"/>
      <c r="S237" s="107"/>
      <c r="T237" s="107"/>
      <c r="U237" s="107"/>
      <c r="V237" s="107"/>
    </row>
    <row r="238" spans="4:22" s="12" customFormat="1" x14ac:dyDescent="0.2">
      <c r="D238" s="107"/>
      <c r="E238" s="35"/>
      <c r="F238" s="36"/>
      <c r="G238" s="37"/>
      <c r="H238" s="38"/>
      <c r="I238" s="39"/>
      <c r="J238" s="39"/>
      <c r="K238" s="35"/>
      <c r="L238" s="103"/>
      <c r="M238" s="40"/>
      <c r="O238" s="107"/>
      <c r="P238" s="22"/>
      <c r="Q238" s="23"/>
      <c r="R238" s="107"/>
      <c r="S238" s="107"/>
      <c r="T238" s="107"/>
      <c r="U238" s="107"/>
      <c r="V238" s="107"/>
    </row>
    <row r="239" spans="4:22" s="12" customFormat="1" x14ac:dyDescent="0.2">
      <c r="D239" s="107"/>
      <c r="E239" s="35"/>
      <c r="F239" s="36"/>
      <c r="G239" s="37"/>
      <c r="H239" s="38"/>
      <c r="I239" s="39"/>
      <c r="J239" s="39"/>
      <c r="K239" s="35"/>
      <c r="L239" s="103"/>
      <c r="M239" s="40"/>
      <c r="O239" s="107"/>
      <c r="P239" s="22"/>
      <c r="Q239" s="23"/>
      <c r="R239" s="107"/>
      <c r="S239" s="107"/>
      <c r="T239" s="107"/>
      <c r="U239" s="107"/>
      <c r="V239" s="107"/>
    </row>
    <row r="240" spans="4:22" s="12" customFormat="1" x14ac:dyDescent="0.2">
      <c r="D240" s="107"/>
      <c r="E240" s="35"/>
      <c r="F240" s="36"/>
      <c r="G240" s="37"/>
      <c r="H240" s="38"/>
      <c r="I240" s="39"/>
      <c r="J240" s="39"/>
      <c r="K240" s="35"/>
      <c r="L240" s="103"/>
      <c r="M240" s="40"/>
      <c r="O240" s="107"/>
      <c r="P240" s="22"/>
      <c r="Q240" s="23"/>
      <c r="R240" s="107"/>
      <c r="S240" s="107"/>
      <c r="T240" s="107"/>
      <c r="U240" s="107"/>
      <c r="V240" s="107"/>
    </row>
    <row r="241" spans="4:22" s="12" customFormat="1" x14ac:dyDescent="0.2">
      <c r="D241" s="107"/>
      <c r="E241" s="35"/>
      <c r="F241" s="36"/>
      <c r="G241" s="37"/>
      <c r="H241" s="38"/>
      <c r="I241" s="39"/>
      <c r="J241" s="39"/>
      <c r="K241" s="35"/>
      <c r="L241" s="103"/>
      <c r="M241" s="40"/>
      <c r="O241" s="107"/>
      <c r="P241" s="22"/>
      <c r="Q241" s="23"/>
      <c r="R241" s="107"/>
      <c r="S241" s="107"/>
      <c r="T241" s="107"/>
      <c r="U241" s="107"/>
      <c r="V241" s="107"/>
    </row>
    <row r="242" spans="4:22" s="12" customFormat="1" x14ac:dyDescent="0.2">
      <c r="D242" s="107"/>
      <c r="E242" s="35"/>
      <c r="F242" s="36"/>
      <c r="G242" s="37"/>
      <c r="H242" s="38"/>
      <c r="I242" s="39"/>
      <c r="J242" s="39"/>
      <c r="K242" s="35"/>
      <c r="L242" s="103"/>
      <c r="M242" s="40"/>
      <c r="O242" s="107"/>
      <c r="P242" s="22"/>
      <c r="Q242" s="23"/>
      <c r="R242" s="107"/>
      <c r="S242" s="107"/>
      <c r="T242" s="107"/>
      <c r="U242" s="107"/>
      <c r="V242" s="107"/>
    </row>
    <row r="243" spans="4:22" s="12" customFormat="1" x14ac:dyDescent="0.2">
      <c r="D243" s="107"/>
      <c r="E243" s="35"/>
      <c r="F243" s="36"/>
      <c r="G243" s="37"/>
      <c r="H243" s="38"/>
      <c r="I243" s="39"/>
      <c r="J243" s="39"/>
      <c r="K243" s="35"/>
      <c r="L243" s="103"/>
      <c r="M243" s="40"/>
      <c r="O243" s="107"/>
      <c r="P243" s="22"/>
      <c r="Q243" s="23"/>
      <c r="R243" s="107"/>
      <c r="S243" s="107"/>
      <c r="T243" s="107"/>
      <c r="U243" s="107"/>
      <c r="V243" s="107"/>
    </row>
    <row r="244" spans="4:22" s="12" customFormat="1" x14ac:dyDescent="0.2">
      <c r="D244" s="107"/>
      <c r="E244" s="35"/>
      <c r="F244" s="36"/>
      <c r="G244" s="37"/>
      <c r="H244" s="38"/>
      <c r="I244" s="39"/>
      <c r="J244" s="39"/>
      <c r="K244" s="35"/>
      <c r="L244" s="103"/>
      <c r="M244" s="40"/>
      <c r="O244" s="107"/>
      <c r="P244" s="22"/>
      <c r="Q244" s="23"/>
      <c r="R244" s="107"/>
      <c r="S244" s="107"/>
      <c r="T244" s="107"/>
      <c r="U244" s="107"/>
      <c r="V244" s="107"/>
    </row>
    <row r="245" spans="4:22" s="12" customFormat="1" x14ac:dyDescent="0.2">
      <c r="D245" s="107"/>
      <c r="E245" s="35"/>
      <c r="F245" s="36"/>
      <c r="G245" s="37"/>
      <c r="H245" s="38"/>
      <c r="I245" s="39"/>
      <c r="J245" s="39"/>
      <c r="K245" s="35"/>
      <c r="L245" s="103"/>
      <c r="M245" s="40"/>
      <c r="O245" s="107"/>
      <c r="P245" s="22"/>
      <c r="Q245" s="23"/>
      <c r="R245" s="107"/>
      <c r="S245" s="107"/>
      <c r="T245" s="107"/>
      <c r="U245" s="107"/>
      <c r="V245" s="107"/>
    </row>
    <row r="246" spans="4:22" s="12" customFormat="1" x14ac:dyDescent="0.2">
      <c r="D246" s="107"/>
      <c r="E246" s="35"/>
      <c r="F246" s="36"/>
      <c r="G246" s="37"/>
      <c r="H246" s="38"/>
      <c r="I246" s="39"/>
      <c r="J246" s="39"/>
      <c r="K246" s="35"/>
      <c r="L246" s="103"/>
      <c r="M246" s="40"/>
      <c r="O246" s="107"/>
      <c r="P246" s="22"/>
      <c r="Q246" s="23"/>
      <c r="R246" s="107"/>
      <c r="S246" s="107"/>
      <c r="T246" s="107"/>
      <c r="U246" s="107"/>
      <c r="V246" s="107"/>
    </row>
    <row r="247" spans="4:22" s="12" customFormat="1" x14ac:dyDescent="0.2">
      <c r="D247" s="107"/>
      <c r="E247" s="35"/>
      <c r="F247" s="36"/>
      <c r="G247" s="37"/>
      <c r="H247" s="38"/>
      <c r="I247" s="39"/>
      <c r="J247" s="39"/>
      <c r="K247" s="35"/>
      <c r="L247" s="103"/>
      <c r="M247" s="40"/>
      <c r="O247" s="107"/>
      <c r="P247" s="22"/>
      <c r="Q247" s="23"/>
      <c r="R247" s="107"/>
      <c r="S247" s="107"/>
      <c r="T247" s="107"/>
      <c r="U247" s="107"/>
      <c r="V247" s="107"/>
    </row>
    <row r="248" spans="4:22" s="12" customFormat="1" x14ac:dyDescent="0.2">
      <c r="D248" s="107"/>
      <c r="E248" s="35"/>
      <c r="F248" s="36"/>
      <c r="G248" s="37"/>
      <c r="H248" s="38"/>
      <c r="I248" s="39"/>
      <c r="J248" s="39"/>
      <c r="K248" s="35"/>
      <c r="L248" s="103"/>
      <c r="M248" s="40"/>
      <c r="O248" s="107"/>
      <c r="P248" s="22"/>
      <c r="Q248" s="23"/>
      <c r="R248" s="107"/>
      <c r="S248" s="107"/>
      <c r="T248" s="107"/>
      <c r="U248" s="107"/>
      <c r="V248" s="107"/>
    </row>
    <row r="249" spans="4:22" s="12" customFormat="1" x14ac:dyDescent="0.2">
      <c r="D249" s="107"/>
      <c r="E249" s="35"/>
      <c r="F249" s="36"/>
      <c r="G249" s="37"/>
      <c r="H249" s="38"/>
      <c r="I249" s="39"/>
      <c r="J249" s="39"/>
      <c r="K249" s="35"/>
      <c r="L249" s="103"/>
      <c r="M249" s="40"/>
      <c r="O249" s="107"/>
      <c r="P249" s="22"/>
      <c r="Q249" s="23"/>
      <c r="R249" s="107"/>
      <c r="S249" s="107"/>
      <c r="T249" s="107"/>
      <c r="U249" s="107"/>
      <c r="V249" s="107"/>
    </row>
    <row r="250" spans="4:22" s="12" customFormat="1" x14ac:dyDescent="0.2">
      <c r="D250" s="107"/>
      <c r="E250" s="35"/>
      <c r="F250" s="36"/>
      <c r="G250" s="37"/>
      <c r="H250" s="38"/>
      <c r="I250" s="39"/>
      <c r="J250" s="39"/>
      <c r="K250" s="35"/>
      <c r="L250" s="103"/>
      <c r="M250" s="40"/>
      <c r="O250" s="107"/>
      <c r="P250" s="22"/>
      <c r="Q250" s="23"/>
      <c r="R250" s="107"/>
      <c r="S250" s="107"/>
      <c r="T250" s="107"/>
      <c r="U250" s="107"/>
      <c r="V250" s="107"/>
    </row>
    <row r="251" spans="4:22" s="12" customFormat="1" x14ac:dyDescent="0.2">
      <c r="D251" s="107"/>
      <c r="E251" s="35"/>
      <c r="F251" s="36"/>
      <c r="G251" s="37"/>
      <c r="H251" s="38"/>
      <c r="I251" s="39"/>
      <c r="J251" s="39"/>
      <c r="K251" s="35"/>
      <c r="L251" s="103"/>
      <c r="M251" s="40"/>
      <c r="O251" s="107"/>
      <c r="P251" s="22"/>
      <c r="Q251" s="23"/>
      <c r="R251" s="107"/>
      <c r="S251" s="107"/>
      <c r="T251" s="107"/>
      <c r="U251" s="107"/>
      <c r="V251" s="107"/>
    </row>
    <row r="252" spans="4:22" s="12" customFormat="1" x14ac:dyDescent="0.2">
      <c r="D252" s="107"/>
      <c r="E252" s="35"/>
      <c r="F252" s="36"/>
      <c r="G252" s="37"/>
      <c r="H252" s="38"/>
      <c r="I252" s="39"/>
      <c r="J252" s="39"/>
      <c r="K252" s="35"/>
      <c r="L252" s="103"/>
      <c r="M252" s="40"/>
      <c r="O252" s="107"/>
      <c r="P252" s="22"/>
      <c r="Q252" s="23"/>
      <c r="R252" s="107"/>
      <c r="S252" s="107"/>
      <c r="T252" s="107"/>
      <c r="U252" s="107"/>
      <c r="V252" s="107"/>
    </row>
    <row r="253" spans="4:22" s="12" customFormat="1" x14ac:dyDescent="0.2">
      <c r="D253" s="107"/>
      <c r="E253" s="35"/>
      <c r="F253" s="36"/>
      <c r="G253" s="37"/>
      <c r="H253" s="38"/>
      <c r="I253" s="39"/>
      <c r="J253" s="39"/>
      <c r="K253" s="35"/>
      <c r="L253" s="103"/>
      <c r="M253" s="40"/>
      <c r="O253" s="107"/>
      <c r="P253" s="22"/>
      <c r="Q253" s="23"/>
      <c r="R253" s="107"/>
      <c r="S253" s="107"/>
      <c r="T253" s="107"/>
      <c r="U253" s="107"/>
      <c r="V253" s="107"/>
    </row>
    <row r="254" spans="4:22" s="12" customFormat="1" x14ac:dyDescent="0.2">
      <c r="D254" s="107"/>
      <c r="E254" s="35"/>
      <c r="F254" s="36"/>
      <c r="G254" s="37"/>
      <c r="H254" s="38"/>
      <c r="I254" s="39"/>
      <c r="J254" s="39"/>
      <c r="K254" s="35"/>
      <c r="L254" s="103"/>
      <c r="M254" s="40"/>
      <c r="O254" s="107"/>
      <c r="P254" s="22"/>
      <c r="Q254" s="23"/>
      <c r="R254" s="107"/>
      <c r="S254" s="107"/>
      <c r="T254" s="107"/>
      <c r="U254" s="107"/>
      <c r="V254" s="107"/>
    </row>
    <row r="255" spans="4:22" s="12" customFormat="1" x14ac:dyDescent="0.2">
      <c r="D255" s="107"/>
      <c r="E255" s="35"/>
      <c r="F255" s="36"/>
      <c r="G255" s="37"/>
      <c r="H255" s="38"/>
      <c r="I255" s="39"/>
      <c r="J255" s="39"/>
      <c r="K255" s="35"/>
      <c r="L255" s="103"/>
      <c r="M255" s="40"/>
      <c r="O255" s="107"/>
      <c r="P255" s="22"/>
      <c r="Q255" s="23"/>
      <c r="R255" s="107"/>
      <c r="S255" s="107"/>
      <c r="T255" s="107"/>
      <c r="U255" s="107"/>
      <c r="V255" s="107"/>
    </row>
    <row r="256" spans="4:22" s="12" customFormat="1" x14ac:dyDescent="0.2">
      <c r="D256" s="107"/>
      <c r="E256" s="35"/>
      <c r="F256" s="36"/>
      <c r="G256" s="37"/>
      <c r="H256" s="38"/>
      <c r="I256" s="39"/>
      <c r="J256" s="39"/>
      <c r="K256" s="35"/>
      <c r="L256" s="103"/>
      <c r="M256" s="40"/>
      <c r="O256" s="107"/>
      <c r="P256" s="22"/>
      <c r="Q256" s="23"/>
      <c r="R256" s="107"/>
      <c r="S256" s="107"/>
      <c r="T256" s="107"/>
      <c r="U256" s="107"/>
      <c r="V256" s="107"/>
    </row>
    <row r="257" spans="4:22" s="12" customFormat="1" x14ac:dyDescent="0.2">
      <c r="D257" s="107"/>
      <c r="E257" s="35"/>
      <c r="F257" s="36"/>
      <c r="G257" s="37"/>
      <c r="H257" s="38"/>
      <c r="I257" s="39"/>
      <c r="J257" s="39"/>
      <c r="K257" s="35"/>
      <c r="L257" s="103"/>
      <c r="M257" s="40"/>
      <c r="O257" s="107"/>
      <c r="P257" s="22"/>
      <c r="Q257" s="23"/>
      <c r="R257" s="107"/>
      <c r="S257" s="107"/>
      <c r="T257" s="107"/>
      <c r="U257" s="107"/>
      <c r="V257" s="107"/>
    </row>
    <row r="258" spans="4:22" s="12" customFormat="1" x14ac:dyDescent="0.2">
      <c r="D258" s="107"/>
      <c r="E258" s="35"/>
      <c r="F258" s="36"/>
      <c r="G258" s="37"/>
      <c r="H258" s="38"/>
      <c r="I258" s="39"/>
      <c r="J258" s="39"/>
      <c r="K258" s="35"/>
      <c r="L258" s="103"/>
      <c r="M258" s="40"/>
      <c r="O258" s="107"/>
      <c r="P258" s="22"/>
      <c r="Q258" s="23"/>
      <c r="R258" s="107"/>
      <c r="S258" s="107"/>
      <c r="T258" s="107"/>
      <c r="U258" s="107"/>
      <c r="V258" s="107"/>
    </row>
    <row r="259" spans="4:22" s="12" customFormat="1" x14ac:dyDescent="0.2">
      <c r="D259" s="107"/>
      <c r="E259" s="35"/>
      <c r="F259" s="36"/>
      <c r="G259" s="37"/>
      <c r="H259" s="38"/>
      <c r="I259" s="39"/>
      <c r="J259" s="39"/>
      <c r="K259" s="35"/>
      <c r="L259" s="103"/>
      <c r="M259" s="40"/>
      <c r="O259" s="107"/>
      <c r="P259" s="22"/>
      <c r="Q259" s="23"/>
      <c r="R259" s="107"/>
      <c r="S259" s="107"/>
      <c r="T259" s="107"/>
      <c r="U259" s="107"/>
      <c r="V259" s="107"/>
    </row>
    <row r="260" spans="4:22" s="12" customFormat="1" x14ac:dyDescent="0.2">
      <c r="D260" s="107"/>
      <c r="E260" s="35"/>
      <c r="F260" s="36"/>
      <c r="G260" s="37"/>
      <c r="H260" s="38"/>
      <c r="I260" s="39"/>
      <c r="J260" s="39"/>
      <c r="K260" s="35"/>
      <c r="L260" s="103"/>
      <c r="M260" s="40"/>
      <c r="O260" s="107"/>
      <c r="P260" s="22"/>
      <c r="Q260" s="23"/>
      <c r="R260" s="107"/>
      <c r="S260" s="107"/>
      <c r="T260" s="107"/>
      <c r="U260" s="107"/>
      <c r="V260" s="107"/>
    </row>
    <row r="261" spans="4:22" s="12" customFormat="1" x14ac:dyDescent="0.2">
      <c r="D261" s="107"/>
      <c r="E261" s="35"/>
      <c r="F261" s="36"/>
      <c r="G261" s="37"/>
      <c r="H261" s="38"/>
      <c r="I261" s="39"/>
      <c r="J261" s="39"/>
      <c r="K261" s="35"/>
      <c r="L261" s="103"/>
      <c r="M261" s="40"/>
      <c r="O261" s="107"/>
      <c r="P261" s="22"/>
      <c r="Q261" s="23"/>
      <c r="R261" s="107"/>
      <c r="S261" s="107"/>
      <c r="T261" s="107"/>
      <c r="U261" s="107"/>
      <c r="V261" s="107"/>
    </row>
    <row r="262" spans="4:22" s="12" customFormat="1" x14ac:dyDescent="0.2">
      <c r="D262" s="107"/>
      <c r="E262" s="35"/>
      <c r="F262" s="36"/>
      <c r="G262" s="37"/>
      <c r="H262" s="38"/>
      <c r="I262" s="39"/>
      <c r="J262" s="39"/>
      <c r="K262" s="35"/>
      <c r="L262" s="103"/>
      <c r="M262" s="40"/>
      <c r="O262" s="107"/>
      <c r="P262" s="22"/>
      <c r="Q262" s="23"/>
      <c r="R262" s="107"/>
      <c r="S262" s="107"/>
      <c r="T262" s="107"/>
      <c r="U262" s="107"/>
      <c r="V262" s="107"/>
    </row>
    <row r="263" spans="4:22" s="12" customFormat="1" x14ac:dyDescent="0.2">
      <c r="D263" s="107"/>
      <c r="E263" s="35"/>
      <c r="F263" s="36"/>
      <c r="G263" s="37"/>
      <c r="H263" s="38"/>
      <c r="I263" s="39"/>
      <c r="J263" s="39"/>
      <c r="K263" s="35"/>
      <c r="L263" s="103"/>
      <c r="M263" s="40"/>
      <c r="O263" s="107"/>
      <c r="P263" s="22"/>
      <c r="Q263" s="23"/>
      <c r="R263" s="107"/>
      <c r="S263" s="107"/>
      <c r="T263" s="107"/>
      <c r="U263" s="107"/>
      <c r="V263" s="107"/>
    </row>
    <row r="264" spans="4:22" s="12" customFormat="1" x14ac:dyDescent="0.2">
      <c r="D264" s="107"/>
      <c r="E264" s="35"/>
      <c r="F264" s="36"/>
      <c r="G264" s="37"/>
      <c r="H264" s="38"/>
      <c r="I264" s="39"/>
      <c r="J264" s="39"/>
      <c r="K264" s="35"/>
      <c r="L264" s="103"/>
      <c r="M264" s="40"/>
      <c r="O264" s="107"/>
      <c r="P264" s="22"/>
      <c r="Q264" s="23"/>
      <c r="R264" s="107"/>
      <c r="S264" s="107"/>
      <c r="T264" s="107"/>
      <c r="U264" s="107"/>
      <c r="V264" s="107"/>
    </row>
    <row r="265" spans="4:22" s="12" customFormat="1" x14ac:dyDescent="0.2">
      <c r="D265" s="107"/>
      <c r="E265" s="35"/>
      <c r="F265" s="36"/>
      <c r="G265" s="37"/>
      <c r="H265" s="38"/>
      <c r="I265" s="39"/>
      <c r="J265" s="39"/>
      <c r="K265" s="35"/>
      <c r="L265" s="103"/>
      <c r="M265" s="40"/>
      <c r="O265" s="107"/>
      <c r="P265" s="22"/>
      <c r="Q265" s="23"/>
      <c r="R265" s="107"/>
      <c r="S265" s="107"/>
      <c r="T265" s="107"/>
      <c r="U265" s="107"/>
      <c r="V265" s="107"/>
    </row>
    <row r="266" spans="4:22" s="12" customFormat="1" x14ac:dyDescent="0.2">
      <c r="D266" s="107"/>
      <c r="E266" s="35"/>
      <c r="F266" s="36"/>
      <c r="G266" s="37"/>
      <c r="H266" s="38"/>
      <c r="I266" s="39"/>
      <c r="J266" s="39"/>
      <c r="K266" s="35"/>
      <c r="L266" s="103"/>
      <c r="M266" s="40"/>
      <c r="O266" s="107"/>
      <c r="P266" s="22"/>
      <c r="Q266" s="23"/>
      <c r="R266" s="107"/>
      <c r="S266" s="107"/>
      <c r="T266" s="107"/>
      <c r="U266" s="107"/>
      <c r="V266" s="107"/>
    </row>
    <row r="267" spans="4:22" s="12" customFormat="1" x14ac:dyDescent="0.2">
      <c r="D267" s="107"/>
      <c r="E267" s="35"/>
      <c r="F267" s="36"/>
      <c r="G267" s="37"/>
      <c r="H267" s="38"/>
      <c r="I267" s="39"/>
      <c r="J267" s="39"/>
      <c r="K267" s="35"/>
      <c r="L267" s="103"/>
      <c r="M267" s="40"/>
      <c r="O267" s="107"/>
      <c r="P267" s="22"/>
      <c r="Q267" s="23"/>
      <c r="R267" s="107"/>
      <c r="S267" s="107"/>
      <c r="T267" s="107"/>
      <c r="U267" s="107"/>
      <c r="V267" s="107"/>
    </row>
    <row r="268" spans="4:22" s="12" customFormat="1" x14ac:dyDescent="0.2">
      <c r="D268" s="107"/>
      <c r="E268" s="35"/>
      <c r="F268" s="36"/>
      <c r="G268" s="37"/>
      <c r="H268" s="38"/>
      <c r="I268" s="39"/>
      <c r="J268" s="39"/>
      <c r="K268" s="35"/>
      <c r="L268" s="103"/>
      <c r="M268" s="40"/>
      <c r="O268" s="107"/>
      <c r="P268" s="22"/>
      <c r="Q268" s="23"/>
      <c r="R268" s="107"/>
      <c r="S268" s="107"/>
      <c r="T268" s="107"/>
      <c r="U268" s="107"/>
      <c r="V268" s="107"/>
    </row>
    <row r="269" spans="4:22" s="12" customFormat="1" x14ac:dyDescent="0.2">
      <c r="D269" s="107"/>
      <c r="E269" s="35"/>
      <c r="F269" s="36"/>
      <c r="G269" s="37"/>
      <c r="H269" s="38"/>
      <c r="I269" s="39"/>
      <c r="J269" s="39"/>
      <c r="K269" s="35"/>
      <c r="L269" s="103"/>
      <c r="M269" s="40"/>
      <c r="O269" s="107"/>
      <c r="P269" s="22"/>
      <c r="Q269" s="23"/>
      <c r="R269" s="107"/>
      <c r="S269" s="107"/>
      <c r="T269" s="107"/>
      <c r="U269" s="107"/>
      <c r="V269" s="107"/>
    </row>
    <row r="270" spans="4:22" s="12" customFormat="1" x14ac:dyDescent="0.2">
      <c r="D270" s="107"/>
      <c r="E270" s="35"/>
      <c r="F270" s="36"/>
      <c r="G270" s="37"/>
      <c r="H270" s="38"/>
      <c r="I270" s="39"/>
      <c r="J270" s="39"/>
      <c r="K270" s="35"/>
      <c r="L270" s="103"/>
      <c r="M270" s="40"/>
      <c r="O270" s="107"/>
      <c r="P270" s="22"/>
      <c r="Q270" s="23"/>
      <c r="R270" s="107"/>
      <c r="S270" s="107"/>
      <c r="T270" s="107"/>
      <c r="U270" s="107"/>
      <c r="V270" s="107"/>
    </row>
    <row r="271" spans="4:22" s="12" customFormat="1" x14ac:dyDescent="0.2">
      <c r="D271" s="107"/>
      <c r="E271" s="35"/>
      <c r="F271" s="36"/>
      <c r="G271" s="37"/>
      <c r="H271" s="38"/>
      <c r="I271" s="39"/>
      <c r="J271" s="39"/>
      <c r="K271" s="35"/>
      <c r="L271" s="103"/>
      <c r="M271" s="40"/>
      <c r="O271" s="107"/>
      <c r="P271" s="22"/>
      <c r="Q271" s="23"/>
      <c r="R271" s="107"/>
      <c r="S271" s="107"/>
      <c r="T271" s="107"/>
      <c r="U271" s="107"/>
      <c r="V271" s="107"/>
    </row>
    <row r="272" spans="4:22" s="12" customFormat="1" x14ac:dyDescent="0.2">
      <c r="D272" s="107"/>
      <c r="E272" s="35"/>
      <c r="F272" s="36"/>
      <c r="G272" s="37"/>
      <c r="H272" s="38"/>
      <c r="I272" s="39"/>
      <c r="J272" s="39"/>
      <c r="K272" s="35"/>
      <c r="L272" s="103"/>
      <c r="M272" s="40"/>
      <c r="O272" s="107"/>
      <c r="P272" s="22"/>
      <c r="Q272" s="23"/>
      <c r="R272" s="107"/>
      <c r="S272" s="107"/>
      <c r="T272" s="107"/>
      <c r="U272" s="107"/>
      <c r="V272" s="107"/>
    </row>
    <row r="273" spans="4:22" s="12" customFormat="1" x14ac:dyDescent="0.2">
      <c r="D273" s="107"/>
      <c r="E273" s="35"/>
      <c r="F273" s="36"/>
      <c r="G273" s="37"/>
      <c r="H273" s="38"/>
      <c r="I273" s="39"/>
      <c r="J273" s="39"/>
      <c r="K273" s="35"/>
      <c r="L273" s="103"/>
      <c r="M273" s="40"/>
      <c r="O273" s="107"/>
      <c r="P273" s="22"/>
      <c r="Q273" s="23"/>
      <c r="R273" s="107"/>
      <c r="S273" s="107"/>
      <c r="T273" s="107"/>
      <c r="U273" s="107"/>
      <c r="V273" s="107"/>
    </row>
    <row r="274" spans="4:22" s="12" customFormat="1" x14ac:dyDescent="0.2">
      <c r="D274" s="107"/>
      <c r="E274" s="35"/>
      <c r="F274" s="36"/>
      <c r="G274" s="37"/>
      <c r="H274" s="38"/>
      <c r="I274" s="39"/>
      <c r="J274" s="39"/>
      <c r="K274" s="35"/>
      <c r="L274" s="103"/>
      <c r="M274" s="40"/>
      <c r="O274" s="107"/>
      <c r="P274" s="22"/>
      <c r="Q274" s="23"/>
      <c r="R274" s="107"/>
      <c r="S274" s="107"/>
      <c r="T274" s="107"/>
      <c r="U274" s="107"/>
      <c r="V274" s="107"/>
    </row>
    <row r="275" spans="4:22" s="12" customFormat="1" x14ac:dyDescent="0.2">
      <c r="D275" s="107"/>
      <c r="E275" s="35"/>
      <c r="F275" s="36"/>
      <c r="G275" s="37"/>
      <c r="H275" s="38"/>
      <c r="I275" s="39"/>
      <c r="J275" s="39"/>
      <c r="K275" s="35"/>
      <c r="L275" s="103"/>
      <c r="M275" s="40"/>
      <c r="O275" s="107"/>
      <c r="P275" s="22"/>
      <c r="Q275" s="23"/>
      <c r="R275" s="107"/>
      <c r="S275" s="107"/>
      <c r="T275" s="107"/>
      <c r="U275" s="107"/>
      <c r="V275" s="107"/>
    </row>
    <row r="276" spans="4:22" s="12" customFormat="1" x14ac:dyDescent="0.2">
      <c r="D276" s="107"/>
      <c r="E276" s="35"/>
      <c r="F276" s="36"/>
      <c r="G276" s="37"/>
      <c r="H276" s="38"/>
      <c r="I276" s="39"/>
      <c r="J276" s="39"/>
      <c r="K276" s="35"/>
      <c r="L276" s="103"/>
      <c r="M276" s="40"/>
      <c r="O276" s="107"/>
      <c r="P276" s="22"/>
      <c r="Q276" s="23"/>
      <c r="R276" s="107"/>
      <c r="S276" s="107"/>
      <c r="T276" s="107"/>
      <c r="U276" s="107"/>
      <c r="V276" s="107"/>
    </row>
    <row r="277" spans="4:22" s="12" customFormat="1" x14ac:dyDescent="0.2">
      <c r="D277" s="107"/>
      <c r="E277" s="35"/>
      <c r="F277" s="36"/>
      <c r="G277" s="37"/>
      <c r="H277" s="38"/>
      <c r="I277" s="39"/>
      <c r="J277" s="39"/>
      <c r="K277" s="35"/>
      <c r="L277" s="103"/>
      <c r="M277" s="40"/>
      <c r="O277" s="107"/>
      <c r="P277" s="22"/>
      <c r="Q277" s="23"/>
      <c r="R277" s="107"/>
      <c r="S277" s="107"/>
      <c r="T277" s="107"/>
      <c r="U277" s="107"/>
      <c r="V277" s="107"/>
    </row>
    <row r="278" spans="4:22" s="12" customFormat="1" x14ac:dyDescent="0.2">
      <c r="D278" s="107"/>
      <c r="E278" s="35"/>
      <c r="F278" s="36"/>
      <c r="G278" s="37"/>
      <c r="H278" s="38"/>
      <c r="I278" s="39"/>
      <c r="J278" s="39"/>
      <c r="K278" s="35"/>
      <c r="L278" s="103"/>
      <c r="M278" s="40"/>
      <c r="O278" s="107"/>
      <c r="P278" s="22"/>
      <c r="Q278" s="23"/>
      <c r="R278" s="107"/>
      <c r="S278" s="107"/>
      <c r="T278" s="107"/>
      <c r="U278" s="107"/>
      <c r="V278" s="107"/>
    </row>
    <row r="279" spans="4:22" s="12" customFormat="1" x14ac:dyDescent="0.2">
      <c r="D279" s="107"/>
      <c r="E279" s="35"/>
      <c r="F279" s="36"/>
      <c r="G279" s="37"/>
      <c r="H279" s="38"/>
      <c r="I279" s="39"/>
      <c r="J279" s="39"/>
      <c r="K279" s="35"/>
      <c r="L279" s="103"/>
      <c r="M279" s="40"/>
      <c r="O279" s="107"/>
      <c r="P279" s="22"/>
      <c r="Q279" s="23"/>
      <c r="R279" s="107"/>
      <c r="S279" s="107"/>
      <c r="T279" s="107"/>
      <c r="U279" s="107"/>
      <c r="V279" s="107"/>
    </row>
    <row r="280" spans="4:22" s="12" customFormat="1" x14ac:dyDescent="0.2">
      <c r="D280" s="107"/>
      <c r="E280" s="35"/>
      <c r="F280" s="36"/>
      <c r="G280" s="37"/>
      <c r="H280" s="38"/>
      <c r="I280" s="39"/>
      <c r="J280" s="39"/>
      <c r="K280" s="35"/>
      <c r="L280" s="103"/>
      <c r="M280" s="40"/>
      <c r="O280" s="107"/>
      <c r="P280" s="22"/>
      <c r="Q280" s="23"/>
      <c r="R280" s="107"/>
      <c r="S280" s="107"/>
      <c r="T280" s="107"/>
      <c r="U280" s="107"/>
      <c r="V280" s="107"/>
    </row>
    <row r="281" spans="4:22" s="12" customFormat="1" x14ac:dyDescent="0.2">
      <c r="D281" s="107"/>
      <c r="E281" s="35"/>
      <c r="F281" s="36"/>
      <c r="G281" s="37"/>
      <c r="H281" s="38"/>
      <c r="I281" s="39"/>
      <c r="J281" s="39"/>
      <c r="K281" s="35"/>
      <c r="L281" s="103"/>
      <c r="M281" s="40"/>
      <c r="O281" s="107"/>
      <c r="P281" s="22"/>
      <c r="Q281" s="23"/>
      <c r="R281" s="107"/>
      <c r="S281" s="107"/>
      <c r="T281" s="107"/>
      <c r="U281" s="107"/>
      <c r="V281" s="107"/>
    </row>
    <row r="282" spans="4:22" s="12" customFormat="1" x14ac:dyDescent="0.2">
      <c r="D282" s="107"/>
      <c r="E282" s="35"/>
      <c r="F282" s="36"/>
      <c r="G282" s="37"/>
      <c r="H282" s="38"/>
      <c r="I282" s="39"/>
      <c r="J282" s="39"/>
      <c r="K282" s="35"/>
      <c r="L282" s="103"/>
      <c r="M282" s="40"/>
      <c r="O282" s="107"/>
      <c r="P282" s="22"/>
      <c r="Q282" s="23"/>
      <c r="R282" s="107"/>
      <c r="S282" s="107"/>
      <c r="T282" s="107"/>
      <c r="U282" s="107"/>
      <c r="V282" s="107"/>
    </row>
    <row r="283" spans="4:22" s="12" customFormat="1" x14ac:dyDescent="0.2">
      <c r="D283" s="107"/>
      <c r="E283" s="35"/>
      <c r="F283" s="36"/>
      <c r="G283" s="37"/>
      <c r="H283" s="38"/>
      <c r="I283" s="39"/>
      <c r="J283" s="39"/>
      <c r="K283" s="35"/>
      <c r="L283" s="103"/>
      <c r="M283" s="40"/>
      <c r="O283" s="107"/>
      <c r="P283" s="22"/>
      <c r="Q283" s="23"/>
      <c r="R283" s="107"/>
      <c r="S283" s="107"/>
      <c r="T283" s="107"/>
      <c r="U283" s="107"/>
      <c r="V283" s="107"/>
    </row>
    <row r="284" spans="4:22" s="12" customFormat="1" x14ac:dyDescent="0.2">
      <c r="D284" s="107"/>
      <c r="E284" s="35"/>
      <c r="F284" s="36"/>
      <c r="G284" s="37"/>
      <c r="H284" s="38"/>
      <c r="I284" s="39"/>
      <c r="J284" s="39"/>
      <c r="K284" s="35"/>
      <c r="L284" s="103"/>
      <c r="M284" s="40"/>
      <c r="O284" s="107"/>
      <c r="P284" s="22"/>
      <c r="Q284" s="23"/>
      <c r="R284" s="107"/>
      <c r="S284" s="107"/>
      <c r="T284" s="107"/>
      <c r="U284" s="107"/>
      <c r="V284" s="107"/>
    </row>
    <row r="285" spans="4:22" s="12" customFormat="1" x14ac:dyDescent="0.2">
      <c r="D285" s="107"/>
      <c r="E285" s="35"/>
      <c r="F285" s="36"/>
      <c r="G285" s="37"/>
      <c r="H285" s="38"/>
      <c r="I285" s="39"/>
      <c r="J285" s="39"/>
      <c r="K285" s="35"/>
      <c r="L285" s="103"/>
      <c r="M285" s="40"/>
      <c r="O285" s="107"/>
      <c r="P285" s="22"/>
      <c r="Q285" s="23"/>
      <c r="R285" s="107"/>
      <c r="S285" s="107"/>
      <c r="T285" s="107"/>
      <c r="U285" s="107"/>
      <c r="V285" s="107"/>
    </row>
    <row r="286" spans="4:22" s="12" customFormat="1" x14ac:dyDescent="0.2">
      <c r="D286" s="107"/>
      <c r="E286" s="35"/>
      <c r="F286" s="36"/>
      <c r="G286" s="37"/>
      <c r="H286" s="38"/>
      <c r="I286" s="39"/>
      <c r="J286" s="39"/>
      <c r="K286" s="35"/>
      <c r="L286" s="103"/>
      <c r="M286" s="40"/>
      <c r="O286" s="107"/>
      <c r="P286" s="22"/>
      <c r="Q286" s="23"/>
      <c r="R286" s="107"/>
      <c r="S286" s="107"/>
      <c r="T286" s="107"/>
      <c r="U286" s="107"/>
      <c r="V286" s="107"/>
    </row>
    <row r="287" spans="4:22" s="12" customFormat="1" x14ac:dyDescent="0.2">
      <c r="D287" s="107"/>
      <c r="E287" s="35"/>
      <c r="F287" s="36"/>
      <c r="G287" s="37"/>
      <c r="H287" s="38"/>
      <c r="I287" s="39"/>
      <c r="J287" s="39"/>
      <c r="K287" s="35"/>
      <c r="L287" s="103"/>
      <c r="M287" s="40"/>
      <c r="O287" s="107"/>
      <c r="P287" s="22"/>
      <c r="Q287" s="23"/>
      <c r="R287" s="107"/>
      <c r="S287" s="107"/>
      <c r="T287" s="107"/>
      <c r="U287" s="107"/>
      <c r="V287" s="107"/>
    </row>
    <row r="288" spans="4:22" s="12" customFormat="1" x14ac:dyDescent="0.2">
      <c r="D288" s="107"/>
      <c r="E288" s="35"/>
      <c r="F288" s="36"/>
      <c r="G288" s="37"/>
      <c r="H288" s="38"/>
      <c r="I288" s="39"/>
      <c r="J288" s="39"/>
      <c r="K288" s="35"/>
      <c r="L288" s="103"/>
      <c r="M288" s="40"/>
      <c r="O288" s="107"/>
      <c r="P288" s="22"/>
      <c r="Q288" s="23"/>
      <c r="R288" s="107"/>
      <c r="S288" s="107"/>
      <c r="T288" s="107"/>
      <c r="U288" s="107"/>
      <c r="V288" s="107"/>
    </row>
    <row r="289" spans="4:22" s="12" customFormat="1" x14ac:dyDescent="0.2">
      <c r="D289" s="107"/>
      <c r="E289" s="35"/>
      <c r="F289" s="36"/>
      <c r="G289" s="37"/>
      <c r="H289" s="38"/>
      <c r="I289" s="39"/>
      <c r="J289" s="39"/>
      <c r="K289" s="35"/>
      <c r="L289" s="103"/>
      <c r="M289" s="40"/>
      <c r="O289" s="107"/>
      <c r="P289" s="22"/>
      <c r="Q289" s="23"/>
      <c r="R289" s="107"/>
      <c r="S289" s="107"/>
      <c r="T289" s="107"/>
      <c r="U289" s="107"/>
      <c r="V289" s="107"/>
    </row>
    <row r="290" spans="4:22" s="12" customFormat="1" x14ac:dyDescent="0.2">
      <c r="D290" s="107"/>
      <c r="E290" s="35"/>
      <c r="F290" s="36"/>
      <c r="G290" s="37"/>
      <c r="H290" s="38"/>
      <c r="I290" s="39"/>
      <c r="J290" s="39"/>
      <c r="K290" s="35"/>
      <c r="L290" s="103"/>
      <c r="M290" s="40"/>
      <c r="O290" s="107"/>
      <c r="P290" s="22"/>
      <c r="Q290" s="23"/>
      <c r="R290" s="107"/>
      <c r="S290" s="107"/>
      <c r="T290" s="107"/>
      <c r="U290" s="107"/>
      <c r="V290" s="107"/>
    </row>
    <row r="291" spans="4:22" s="12" customFormat="1" x14ac:dyDescent="0.2">
      <c r="D291" s="107"/>
      <c r="E291" s="35"/>
      <c r="F291" s="36"/>
      <c r="G291" s="37"/>
      <c r="H291" s="38"/>
      <c r="I291" s="39"/>
      <c r="J291" s="39"/>
      <c r="K291" s="35"/>
      <c r="L291" s="103"/>
      <c r="M291" s="40"/>
      <c r="O291" s="107"/>
      <c r="P291" s="22"/>
      <c r="Q291" s="23"/>
      <c r="R291" s="107"/>
      <c r="S291" s="107"/>
      <c r="T291" s="107"/>
      <c r="U291" s="107"/>
      <c r="V291" s="107"/>
    </row>
    <row r="292" spans="4:22" s="12" customFormat="1" x14ac:dyDescent="0.2">
      <c r="D292" s="107"/>
      <c r="E292" s="35"/>
      <c r="F292" s="36"/>
      <c r="G292" s="37"/>
      <c r="H292" s="38"/>
      <c r="I292" s="39"/>
      <c r="J292" s="39"/>
      <c r="K292" s="35"/>
      <c r="L292" s="103"/>
      <c r="M292" s="40"/>
      <c r="O292" s="107"/>
      <c r="P292" s="22"/>
      <c r="Q292" s="23"/>
      <c r="R292" s="107"/>
      <c r="S292" s="107"/>
      <c r="T292" s="107"/>
      <c r="U292" s="107"/>
      <c r="V292" s="107"/>
    </row>
    <row r="293" spans="4:22" s="12" customFormat="1" x14ac:dyDescent="0.2">
      <c r="D293" s="107"/>
      <c r="E293" s="35"/>
      <c r="F293" s="36"/>
      <c r="G293" s="37"/>
      <c r="H293" s="38"/>
      <c r="I293" s="39"/>
      <c r="J293" s="39"/>
      <c r="K293" s="35"/>
      <c r="L293" s="103"/>
      <c r="M293" s="40"/>
      <c r="O293" s="107"/>
      <c r="P293" s="22"/>
      <c r="Q293" s="23"/>
      <c r="R293" s="107"/>
      <c r="S293" s="107"/>
      <c r="T293" s="107"/>
      <c r="U293" s="107"/>
      <c r="V293" s="107"/>
    </row>
    <row r="294" spans="4:22" s="12" customFormat="1" x14ac:dyDescent="0.2">
      <c r="D294" s="107"/>
      <c r="E294" s="35"/>
      <c r="F294" s="36"/>
      <c r="G294" s="37"/>
      <c r="H294" s="38"/>
      <c r="I294" s="39"/>
      <c r="J294" s="39"/>
      <c r="K294" s="35"/>
      <c r="L294" s="103"/>
      <c r="M294" s="40"/>
      <c r="O294" s="107"/>
      <c r="P294" s="22"/>
      <c r="Q294" s="23"/>
      <c r="R294" s="107"/>
      <c r="S294" s="107"/>
      <c r="T294" s="107"/>
      <c r="U294" s="107"/>
      <c r="V294" s="107"/>
    </row>
    <row r="295" spans="4:22" s="12" customFormat="1" x14ac:dyDescent="0.2">
      <c r="D295" s="107"/>
      <c r="E295" s="35"/>
      <c r="F295" s="36"/>
      <c r="G295" s="37"/>
      <c r="H295" s="38"/>
      <c r="I295" s="39"/>
      <c r="J295" s="39"/>
      <c r="K295" s="35"/>
      <c r="L295" s="103"/>
      <c r="M295" s="40"/>
      <c r="O295" s="107"/>
      <c r="P295" s="22"/>
      <c r="Q295" s="23"/>
      <c r="R295" s="107"/>
      <c r="S295" s="107"/>
      <c r="T295" s="107"/>
      <c r="U295" s="107"/>
      <c r="V295" s="107"/>
    </row>
    <row r="296" spans="4:22" s="12" customFormat="1" x14ac:dyDescent="0.2">
      <c r="D296" s="107"/>
      <c r="E296" s="35"/>
      <c r="F296" s="36"/>
      <c r="G296" s="37"/>
      <c r="H296" s="38"/>
      <c r="I296" s="39"/>
      <c r="J296" s="39"/>
      <c r="K296" s="35"/>
      <c r="L296" s="103"/>
      <c r="M296" s="40"/>
      <c r="O296" s="107"/>
      <c r="P296" s="22"/>
      <c r="Q296" s="23"/>
      <c r="R296" s="107"/>
      <c r="S296" s="107"/>
      <c r="T296" s="107"/>
      <c r="U296" s="107"/>
      <c r="V296" s="107"/>
    </row>
    <row r="297" spans="4:22" s="12" customFormat="1" x14ac:dyDescent="0.2">
      <c r="D297" s="107"/>
      <c r="E297" s="35"/>
      <c r="F297" s="36"/>
      <c r="G297" s="37"/>
      <c r="H297" s="38"/>
      <c r="I297" s="39"/>
      <c r="J297" s="39"/>
      <c r="K297" s="35"/>
      <c r="L297" s="103"/>
      <c r="M297" s="40"/>
      <c r="O297" s="107"/>
      <c r="P297" s="22"/>
      <c r="Q297" s="23"/>
      <c r="R297" s="107"/>
      <c r="S297" s="107"/>
      <c r="T297" s="107"/>
      <c r="U297" s="107"/>
      <c r="V297" s="107"/>
    </row>
    <row r="298" spans="4:22" s="12" customFormat="1" x14ac:dyDescent="0.2">
      <c r="D298" s="107"/>
      <c r="E298" s="35"/>
      <c r="F298" s="36"/>
      <c r="G298" s="37"/>
      <c r="H298" s="38"/>
      <c r="I298" s="39"/>
      <c r="J298" s="39"/>
      <c r="K298" s="35"/>
      <c r="L298" s="103"/>
      <c r="M298" s="40"/>
      <c r="O298" s="107"/>
      <c r="P298" s="22"/>
      <c r="Q298" s="23"/>
      <c r="R298" s="107"/>
      <c r="S298" s="107"/>
      <c r="T298" s="107"/>
      <c r="U298" s="107"/>
      <c r="V298" s="107"/>
    </row>
    <row r="299" spans="4:22" s="12" customFormat="1" x14ac:dyDescent="0.2">
      <c r="D299" s="107"/>
      <c r="E299" s="35"/>
      <c r="F299" s="36"/>
      <c r="G299" s="37"/>
      <c r="H299" s="38"/>
      <c r="I299" s="39"/>
      <c r="J299" s="39"/>
      <c r="K299" s="35"/>
      <c r="L299" s="103"/>
      <c r="M299" s="40"/>
      <c r="O299" s="107"/>
      <c r="P299" s="22"/>
      <c r="Q299" s="23"/>
      <c r="R299" s="107"/>
      <c r="S299" s="107"/>
      <c r="T299" s="107"/>
      <c r="U299" s="107"/>
      <c r="V299" s="107"/>
    </row>
    <row r="300" spans="4:22" s="12" customFormat="1" x14ac:dyDescent="0.2">
      <c r="D300" s="107"/>
      <c r="E300" s="35"/>
      <c r="F300" s="36"/>
      <c r="G300" s="37"/>
      <c r="H300" s="38"/>
      <c r="I300" s="39"/>
      <c r="J300" s="39"/>
      <c r="K300" s="35"/>
      <c r="L300" s="103"/>
      <c r="M300" s="40"/>
      <c r="O300" s="107"/>
      <c r="P300" s="22"/>
      <c r="Q300" s="23"/>
      <c r="R300" s="107"/>
      <c r="S300" s="107"/>
      <c r="T300" s="107"/>
      <c r="U300" s="107"/>
      <c r="V300" s="107"/>
    </row>
    <row r="301" spans="4:22" s="12" customFormat="1" x14ac:dyDescent="0.2">
      <c r="D301" s="107"/>
      <c r="E301" s="35"/>
      <c r="F301" s="36"/>
      <c r="G301" s="37"/>
      <c r="H301" s="38"/>
      <c r="I301" s="39"/>
      <c r="J301" s="39"/>
      <c r="K301" s="35"/>
      <c r="L301" s="103"/>
      <c r="M301" s="40"/>
      <c r="O301" s="107"/>
      <c r="P301" s="22"/>
      <c r="Q301" s="23"/>
      <c r="R301" s="107"/>
      <c r="S301" s="107"/>
      <c r="T301" s="107"/>
      <c r="U301" s="107"/>
      <c r="V301" s="107"/>
    </row>
    <row r="302" spans="4:22" s="12" customFormat="1" x14ac:dyDescent="0.2">
      <c r="D302" s="107"/>
      <c r="E302" s="35"/>
      <c r="F302" s="36"/>
      <c r="G302" s="37"/>
      <c r="H302" s="38"/>
      <c r="I302" s="39"/>
      <c r="J302" s="39"/>
      <c r="K302" s="35"/>
      <c r="L302" s="103"/>
      <c r="M302" s="40"/>
      <c r="O302" s="107"/>
      <c r="P302" s="22"/>
      <c r="Q302" s="23"/>
      <c r="R302" s="107"/>
      <c r="S302" s="107"/>
      <c r="T302" s="107"/>
      <c r="U302" s="107"/>
      <c r="V302" s="107"/>
    </row>
    <row r="303" spans="4:22" s="12" customFormat="1" x14ac:dyDescent="0.2">
      <c r="D303" s="107"/>
      <c r="E303" s="35"/>
      <c r="F303" s="36"/>
      <c r="G303" s="37"/>
      <c r="H303" s="38"/>
      <c r="I303" s="39"/>
      <c r="J303" s="39"/>
      <c r="K303" s="35"/>
      <c r="L303" s="103"/>
      <c r="M303" s="40"/>
      <c r="O303" s="107"/>
      <c r="P303" s="22"/>
      <c r="Q303" s="23"/>
      <c r="R303" s="107"/>
      <c r="S303" s="107"/>
      <c r="T303" s="107"/>
      <c r="U303" s="107"/>
      <c r="V303" s="107"/>
    </row>
    <row r="304" spans="4:22" s="12" customFormat="1" x14ac:dyDescent="0.2">
      <c r="D304" s="107"/>
      <c r="E304" s="35"/>
      <c r="F304" s="36"/>
      <c r="G304" s="37"/>
      <c r="H304" s="38"/>
      <c r="I304" s="39"/>
      <c r="J304" s="39"/>
      <c r="K304" s="35"/>
      <c r="L304" s="103"/>
      <c r="M304" s="40"/>
      <c r="O304" s="107"/>
      <c r="P304" s="22"/>
      <c r="Q304" s="23"/>
      <c r="R304" s="107"/>
      <c r="S304" s="107"/>
      <c r="T304" s="107"/>
      <c r="U304" s="107"/>
      <c r="V304" s="107"/>
    </row>
    <row r="305" spans="4:22" s="12" customFormat="1" x14ac:dyDescent="0.2">
      <c r="D305" s="107"/>
      <c r="E305" s="35"/>
      <c r="F305" s="36"/>
      <c r="G305" s="37"/>
      <c r="H305" s="38"/>
      <c r="I305" s="39"/>
      <c r="J305" s="39"/>
      <c r="K305" s="35"/>
      <c r="L305" s="103"/>
      <c r="M305" s="40"/>
      <c r="O305" s="107"/>
      <c r="P305" s="22"/>
      <c r="Q305" s="23"/>
      <c r="R305" s="107"/>
      <c r="S305" s="107"/>
      <c r="T305" s="107"/>
      <c r="U305" s="107"/>
      <c r="V305" s="107"/>
    </row>
    <row r="306" spans="4:22" s="12" customFormat="1" x14ac:dyDescent="0.2">
      <c r="D306" s="107"/>
      <c r="E306" s="35"/>
      <c r="F306" s="36"/>
      <c r="G306" s="37"/>
      <c r="H306" s="38"/>
      <c r="I306" s="39"/>
      <c r="J306" s="39"/>
      <c r="K306" s="35"/>
      <c r="L306" s="103"/>
      <c r="M306" s="40"/>
      <c r="O306" s="107"/>
      <c r="P306" s="22"/>
      <c r="Q306" s="23"/>
      <c r="R306" s="107"/>
      <c r="S306" s="107"/>
      <c r="T306" s="107"/>
      <c r="U306" s="107"/>
      <c r="V306" s="107"/>
    </row>
    <row r="307" spans="4:22" s="12" customFormat="1" x14ac:dyDescent="0.2">
      <c r="D307" s="107"/>
      <c r="E307" s="35"/>
      <c r="F307" s="36"/>
      <c r="G307" s="37"/>
      <c r="H307" s="38"/>
      <c r="I307" s="39"/>
      <c r="J307" s="39"/>
      <c r="K307" s="35"/>
      <c r="L307" s="103"/>
      <c r="M307" s="40"/>
      <c r="O307" s="107"/>
      <c r="P307" s="22"/>
      <c r="Q307" s="23"/>
      <c r="R307" s="107"/>
      <c r="S307" s="107"/>
      <c r="T307" s="107"/>
      <c r="U307" s="107"/>
      <c r="V307" s="107"/>
    </row>
    <row r="308" spans="4:22" s="12" customFormat="1" x14ac:dyDescent="0.2">
      <c r="D308" s="107"/>
      <c r="E308" s="35"/>
      <c r="F308" s="36"/>
      <c r="G308" s="37"/>
      <c r="H308" s="38"/>
      <c r="I308" s="39"/>
      <c r="J308" s="39"/>
      <c r="K308" s="35"/>
      <c r="L308" s="103"/>
      <c r="M308" s="40"/>
      <c r="O308" s="107"/>
      <c r="P308" s="22"/>
      <c r="Q308" s="23"/>
      <c r="R308" s="107"/>
      <c r="S308" s="107"/>
      <c r="T308" s="107"/>
      <c r="U308" s="107"/>
      <c r="V308" s="107"/>
    </row>
    <row r="309" spans="4:22" s="12" customFormat="1" x14ac:dyDescent="0.2">
      <c r="D309" s="107"/>
      <c r="E309" s="35"/>
      <c r="F309" s="36"/>
      <c r="G309" s="37"/>
      <c r="H309" s="38"/>
      <c r="I309" s="39"/>
      <c r="J309" s="39"/>
      <c r="K309" s="35"/>
      <c r="L309" s="103"/>
      <c r="M309" s="40"/>
      <c r="O309" s="107"/>
      <c r="P309" s="22"/>
      <c r="Q309" s="23"/>
      <c r="R309" s="107"/>
      <c r="S309" s="107"/>
      <c r="T309" s="107"/>
      <c r="U309" s="107"/>
      <c r="V309" s="107"/>
    </row>
    <row r="310" spans="4:22" s="12" customFormat="1" x14ac:dyDescent="0.2">
      <c r="D310" s="107"/>
      <c r="E310" s="35"/>
      <c r="F310" s="36"/>
      <c r="G310" s="37"/>
      <c r="H310" s="38"/>
      <c r="I310" s="39"/>
      <c r="J310" s="39"/>
      <c r="K310" s="35"/>
      <c r="L310" s="103"/>
      <c r="M310" s="40"/>
      <c r="O310" s="107"/>
      <c r="P310" s="22"/>
      <c r="Q310" s="23"/>
      <c r="R310" s="107"/>
      <c r="S310" s="107"/>
      <c r="T310" s="107"/>
      <c r="U310" s="107"/>
      <c r="V310" s="107"/>
    </row>
    <row r="311" spans="4:22" s="12" customFormat="1" x14ac:dyDescent="0.2">
      <c r="D311" s="107"/>
      <c r="E311" s="35"/>
      <c r="F311" s="36"/>
      <c r="G311" s="37"/>
      <c r="H311" s="38"/>
      <c r="I311" s="39"/>
      <c r="J311" s="39"/>
      <c r="K311" s="35"/>
      <c r="L311" s="103"/>
      <c r="M311" s="40"/>
      <c r="O311" s="107"/>
      <c r="P311" s="22"/>
      <c r="Q311" s="23"/>
      <c r="R311" s="107"/>
      <c r="S311" s="107"/>
      <c r="T311" s="107"/>
      <c r="U311" s="107"/>
      <c r="V311" s="107"/>
    </row>
    <row r="312" spans="4:22" s="12" customFormat="1" x14ac:dyDescent="0.2">
      <c r="D312" s="107"/>
      <c r="E312" s="35"/>
      <c r="F312" s="36"/>
      <c r="G312" s="37"/>
      <c r="H312" s="38"/>
      <c r="I312" s="39"/>
      <c r="J312" s="39"/>
      <c r="K312" s="35"/>
      <c r="L312" s="103"/>
      <c r="M312" s="40"/>
      <c r="O312" s="107"/>
      <c r="P312" s="22"/>
      <c r="Q312" s="23"/>
      <c r="R312" s="107"/>
      <c r="S312" s="107"/>
      <c r="T312" s="107"/>
      <c r="U312" s="107"/>
      <c r="V312" s="107"/>
    </row>
    <row r="313" spans="4:22" s="12" customFormat="1" x14ac:dyDescent="0.2">
      <c r="D313" s="107"/>
      <c r="E313" s="35"/>
      <c r="F313" s="36"/>
      <c r="G313" s="37"/>
      <c r="H313" s="38"/>
      <c r="I313" s="39"/>
      <c r="J313" s="39"/>
      <c r="K313" s="35"/>
      <c r="L313" s="103"/>
      <c r="M313" s="40"/>
      <c r="O313" s="107"/>
      <c r="P313" s="22"/>
      <c r="Q313" s="23"/>
      <c r="R313" s="107"/>
      <c r="S313" s="107"/>
      <c r="T313" s="107"/>
      <c r="U313" s="107"/>
      <c r="V313" s="107"/>
    </row>
    <row r="314" spans="4:22" s="12" customFormat="1" x14ac:dyDescent="0.2">
      <c r="D314" s="107"/>
      <c r="E314" s="35"/>
      <c r="F314" s="36"/>
      <c r="G314" s="37"/>
      <c r="H314" s="38"/>
      <c r="I314" s="39"/>
      <c r="J314" s="39"/>
      <c r="K314" s="35"/>
      <c r="L314" s="103"/>
      <c r="M314" s="40"/>
      <c r="O314" s="107"/>
      <c r="P314" s="22"/>
      <c r="Q314" s="23"/>
      <c r="R314" s="107"/>
      <c r="S314" s="107"/>
      <c r="T314" s="107"/>
      <c r="U314" s="107"/>
      <c r="V314" s="107"/>
    </row>
    <row r="315" spans="4:22" s="12" customFormat="1" x14ac:dyDescent="0.2">
      <c r="D315" s="107"/>
      <c r="E315" s="35"/>
      <c r="F315" s="36"/>
      <c r="G315" s="37"/>
      <c r="H315" s="38"/>
      <c r="I315" s="39"/>
      <c r="J315" s="39"/>
      <c r="K315" s="35"/>
      <c r="L315" s="103"/>
      <c r="M315" s="40"/>
      <c r="O315" s="107"/>
      <c r="P315" s="22"/>
      <c r="Q315" s="23"/>
      <c r="R315" s="107"/>
      <c r="S315" s="107"/>
      <c r="T315" s="107"/>
      <c r="U315" s="107"/>
      <c r="V315" s="107"/>
    </row>
    <row r="316" spans="4:22" s="12" customFormat="1" x14ac:dyDescent="0.2">
      <c r="D316" s="107"/>
      <c r="E316" s="35"/>
      <c r="F316" s="36"/>
      <c r="G316" s="37"/>
      <c r="H316" s="38"/>
      <c r="I316" s="39"/>
      <c r="J316" s="39"/>
      <c r="K316" s="35"/>
      <c r="L316" s="103"/>
      <c r="M316" s="40"/>
      <c r="O316" s="107"/>
      <c r="P316" s="22"/>
      <c r="Q316" s="23"/>
      <c r="R316" s="107"/>
      <c r="S316" s="107"/>
      <c r="T316" s="107"/>
      <c r="U316" s="107"/>
      <c r="V316" s="107"/>
    </row>
    <row r="317" spans="4:22" s="12" customFormat="1" x14ac:dyDescent="0.2">
      <c r="D317" s="107"/>
      <c r="E317" s="35"/>
      <c r="F317" s="36"/>
      <c r="G317" s="37"/>
      <c r="H317" s="38"/>
      <c r="I317" s="39"/>
      <c r="J317" s="39"/>
      <c r="K317" s="35"/>
      <c r="L317" s="103"/>
      <c r="M317" s="40"/>
      <c r="O317" s="107"/>
      <c r="P317" s="22"/>
      <c r="Q317" s="23"/>
      <c r="R317" s="107"/>
      <c r="S317" s="107"/>
      <c r="T317" s="107"/>
      <c r="U317" s="107"/>
      <c r="V317" s="107"/>
    </row>
    <row r="318" spans="4:22" s="12" customFormat="1" x14ac:dyDescent="0.2">
      <c r="D318" s="107"/>
      <c r="E318" s="35"/>
      <c r="F318" s="36"/>
      <c r="G318" s="37"/>
      <c r="H318" s="38"/>
      <c r="I318" s="39"/>
      <c r="J318" s="39"/>
      <c r="K318" s="35"/>
      <c r="L318" s="103"/>
      <c r="M318" s="40"/>
      <c r="O318" s="107"/>
      <c r="P318" s="22"/>
      <c r="Q318" s="23"/>
      <c r="R318" s="107"/>
      <c r="S318" s="107"/>
      <c r="T318" s="107"/>
      <c r="U318" s="107"/>
      <c r="V318" s="107"/>
    </row>
    <row r="319" spans="4:22" s="12" customFormat="1" x14ac:dyDescent="0.2">
      <c r="D319" s="107"/>
      <c r="E319" s="35"/>
      <c r="F319" s="36"/>
      <c r="G319" s="37"/>
      <c r="H319" s="38"/>
      <c r="I319" s="39"/>
      <c r="J319" s="39"/>
      <c r="K319" s="35"/>
      <c r="L319" s="103"/>
      <c r="M319" s="40"/>
      <c r="O319" s="107"/>
      <c r="P319" s="22"/>
      <c r="Q319" s="23"/>
      <c r="R319" s="107"/>
      <c r="S319" s="107"/>
      <c r="T319" s="107"/>
      <c r="U319" s="107"/>
      <c r="V319" s="107"/>
    </row>
    <row r="320" spans="4:22" s="12" customFormat="1" x14ac:dyDescent="0.2">
      <c r="D320" s="107"/>
      <c r="E320" s="35"/>
      <c r="F320" s="36"/>
      <c r="G320" s="37"/>
      <c r="H320" s="38"/>
      <c r="I320" s="39"/>
      <c r="J320" s="39"/>
      <c r="K320" s="35"/>
      <c r="L320" s="103"/>
      <c r="M320" s="40"/>
      <c r="O320" s="107"/>
      <c r="P320" s="22"/>
      <c r="Q320" s="23"/>
      <c r="R320" s="107"/>
      <c r="S320" s="107"/>
      <c r="T320" s="107"/>
      <c r="U320" s="107"/>
      <c r="V320" s="107"/>
    </row>
    <row r="321" spans="4:22" s="12" customFormat="1" x14ac:dyDescent="0.2">
      <c r="D321" s="107"/>
      <c r="E321" s="35"/>
      <c r="F321" s="36"/>
      <c r="G321" s="37"/>
      <c r="H321" s="38"/>
      <c r="I321" s="39"/>
      <c r="J321" s="39"/>
      <c r="K321" s="35"/>
      <c r="L321" s="103"/>
      <c r="M321" s="40"/>
      <c r="O321" s="107"/>
      <c r="P321" s="22"/>
      <c r="Q321" s="23"/>
      <c r="R321" s="107"/>
      <c r="S321" s="107"/>
      <c r="T321" s="107"/>
      <c r="U321" s="107"/>
      <c r="V321" s="107"/>
    </row>
    <row r="322" spans="4:22" s="12" customFormat="1" x14ac:dyDescent="0.2">
      <c r="D322" s="107"/>
      <c r="E322" s="35"/>
      <c r="F322" s="36"/>
      <c r="G322" s="37"/>
      <c r="H322" s="38"/>
      <c r="I322" s="39"/>
      <c r="J322" s="39"/>
      <c r="K322" s="35"/>
      <c r="L322" s="103"/>
      <c r="M322" s="40"/>
      <c r="O322" s="107"/>
      <c r="P322" s="22"/>
      <c r="Q322" s="23"/>
      <c r="R322" s="107"/>
      <c r="S322" s="107"/>
      <c r="T322" s="107"/>
      <c r="U322" s="107"/>
      <c r="V322" s="107"/>
    </row>
    <row r="323" spans="4:22" s="12" customFormat="1" x14ac:dyDescent="0.2">
      <c r="D323" s="107"/>
      <c r="E323" s="35"/>
      <c r="F323" s="36"/>
      <c r="G323" s="37"/>
      <c r="H323" s="38"/>
      <c r="I323" s="39"/>
      <c r="J323" s="39"/>
      <c r="K323" s="35"/>
      <c r="L323" s="103"/>
      <c r="M323" s="40"/>
      <c r="O323" s="107"/>
      <c r="P323" s="22"/>
      <c r="Q323" s="23"/>
      <c r="R323" s="107"/>
      <c r="S323" s="107"/>
      <c r="T323" s="107"/>
      <c r="U323" s="107"/>
      <c r="V323" s="107"/>
    </row>
    <row r="324" spans="4:22" s="12" customFormat="1" x14ac:dyDescent="0.2">
      <c r="D324" s="107"/>
      <c r="E324" s="35"/>
      <c r="F324" s="36"/>
      <c r="G324" s="37"/>
      <c r="H324" s="38"/>
      <c r="I324" s="39"/>
      <c r="J324" s="39"/>
      <c r="K324" s="35"/>
      <c r="L324" s="103"/>
      <c r="M324" s="40"/>
      <c r="O324" s="107"/>
      <c r="P324" s="22"/>
      <c r="Q324" s="23"/>
      <c r="R324" s="107"/>
      <c r="S324" s="107"/>
      <c r="T324" s="107"/>
      <c r="U324" s="107"/>
      <c r="V324" s="107"/>
    </row>
    <row r="325" spans="4:22" s="12" customFormat="1" x14ac:dyDescent="0.2">
      <c r="D325" s="107"/>
      <c r="E325" s="35"/>
      <c r="F325" s="36"/>
      <c r="G325" s="37"/>
      <c r="H325" s="38"/>
      <c r="I325" s="39"/>
      <c r="J325" s="39"/>
      <c r="K325" s="35"/>
      <c r="L325" s="103"/>
      <c r="M325" s="40"/>
      <c r="O325" s="107"/>
      <c r="P325" s="22"/>
      <c r="Q325" s="23"/>
      <c r="R325" s="107"/>
      <c r="S325" s="107"/>
      <c r="T325" s="107"/>
      <c r="U325" s="107"/>
      <c r="V325" s="107"/>
    </row>
    <row r="326" spans="4:22" s="12" customFormat="1" x14ac:dyDescent="0.2">
      <c r="D326" s="107"/>
      <c r="E326" s="35"/>
      <c r="F326" s="36"/>
      <c r="G326" s="37"/>
      <c r="H326" s="38"/>
      <c r="I326" s="39"/>
      <c r="J326" s="39"/>
      <c r="K326" s="35"/>
      <c r="L326" s="103"/>
      <c r="M326" s="40"/>
      <c r="O326" s="107"/>
      <c r="P326" s="22"/>
      <c r="Q326" s="23"/>
      <c r="R326" s="107"/>
      <c r="S326" s="107"/>
      <c r="T326" s="107"/>
      <c r="U326" s="107"/>
      <c r="V326" s="107"/>
    </row>
    <row r="327" spans="4:22" s="12" customFormat="1" x14ac:dyDescent="0.2">
      <c r="D327" s="107"/>
      <c r="E327" s="35"/>
      <c r="F327" s="36"/>
      <c r="G327" s="37"/>
      <c r="H327" s="38"/>
      <c r="I327" s="39"/>
      <c r="J327" s="39"/>
      <c r="K327" s="35"/>
      <c r="L327" s="103"/>
      <c r="M327" s="40"/>
      <c r="O327" s="107"/>
      <c r="P327" s="22"/>
      <c r="Q327" s="23"/>
      <c r="R327" s="107"/>
      <c r="S327" s="107"/>
      <c r="T327" s="107"/>
      <c r="U327" s="107"/>
      <c r="V327" s="107"/>
    </row>
    <row r="328" spans="4:22" s="12" customFormat="1" x14ac:dyDescent="0.2">
      <c r="D328" s="107"/>
      <c r="E328" s="35"/>
      <c r="F328" s="36"/>
      <c r="G328" s="37"/>
      <c r="H328" s="38"/>
      <c r="I328" s="39"/>
      <c r="J328" s="39"/>
      <c r="K328" s="35"/>
      <c r="L328" s="103"/>
      <c r="M328" s="40"/>
      <c r="O328" s="107"/>
      <c r="P328" s="22"/>
      <c r="Q328" s="23"/>
      <c r="R328" s="107"/>
      <c r="S328" s="107"/>
      <c r="T328" s="107"/>
      <c r="U328" s="107"/>
      <c r="V328" s="107"/>
    </row>
    <row r="329" spans="4:22" s="12" customFormat="1" x14ac:dyDescent="0.2">
      <c r="D329" s="107"/>
      <c r="E329" s="35"/>
      <c r="F329" s="36"/>
      <c r="G329" s="37"/>
      <c r="H329" s="38"/>
      <c r="I329" s="39"/>
      <c r="J329" s="39"/>
      <c r="K329" s="35"/>
      <c r="L329" s="103"/>
      <c r="M329" s="40"/>
      <c r="O329" s="107"/>
      <c r="P329" s="22"/>
      <c r="Q329" s="23"/>
      <c r="R329" s="107"/>
      <c r="S329" s="107"/>
      <c r="T329" s="107"/>
      <c r="U329" s="107"/>
      <c r="V329" s="107"/>
    </row>
    <row r="330" spans="4:22" s="12" customFormat="1" x14ac:dyDescent="0.2">
      <c r="D330" s="107"/>
      <c r="E330" s="35"/>
      <c r="F330" s="36"/>
      <c r="G330" s="37"/>
      <c r="H330" s="38"/>
      <c r="I330" s="39"/>
      <c r="J330" s="39"/>
      <c r="K330" s="35"/>
      <c r="L330" s="103"/>
      <c r="M330" s="40"/>
      <c r="O330" s="107"/>
      <c r="P330" s="22"/>
      <c r="Q330" s="23"/>
      <c r="R330" s="107"/>
      <c r="S330" s="107"/>
      <c r="T330" s="107"/>
      <c r="U330" s="107"/>
      <c r="V330" s="107"/>
    </row>
    <row r="331" spans="4:22" s="12" customFormat="1" x14ac:dyDescent="0.2">
      <c r="D331" s="107"/>
      <c r="E331" s="35"/>
      <c r="F331" s="36"/>
      <c r="G331" s="37"/>
      <c r="H331" s="38"/>
      <c r="I331" s="39"/>
      <c r="J331" s="39"/>
      <c r="K331" s="35"/>
      <c r="L331" s="103"/>
      <c r="M331" s="40"/>
      <c r="O331" s="107"/>
      <c r="P331" s="22"/>
      <c r="Q331" s="23"/>
      <c r="R331" s="107"/>
      <c r="S331" s="107"/>
      <c r="T331" s="107"/>
      <c r="U331" s="107"/>
      <c r="V331" s="107"/>
    </row>
    <row r="332" spans="4:22" s="12" customFormat="1" x14ac:dyDescent="0.2">
      <c r="D332" s="107"/>
      <c r="E332" s="35"/>
      <c r="F332" s="36"/>
      <c r="G332" s="37"/>
      <c r="H332" s="38"/>
      <c r="I332" s="39"/>
      <c r="J332" s="39"/>
      <c r="K332" s="35"/>
      <c r="L332" s="103"/>
      <c r="M332" s="40"/>
      <c r="O332" s="107"/>
      <c r="P332" s="22"/>
      <c r="Q332" s="23"/>
      <c r="R332" s="107"/>
      <c r="S332" s="107"/>
      <c r="T332" s="107"/>
      <c r="U332" s="107"/>
      <c r="V332" s="107"/>
    </row>
    <row r="333" spans="4:22" s="12" customFormat="1" x14ac:dyDescent="0.2">
      <c r="D333" s="107"/>
      <c r="E333" s="35"/>
      <c r="F333" s="36"/>
      <c r="G333" s="37"/>
      <c r="H333" s="38"/>
      <c r="I333" s="39"/>
      <c r="J333" s="39"/>
      <c r="K333" s="35"/>
      <c r="L333" s="103"/>
      <c r="M333" s="40"/>
      <c r="O333" s="107"/>
      <c r="P333" s="22"/>
      <c r="Q333" s="23"/>
      <c r="R333" s="107"/>
      <c r="S333" s="107"/>
      <c r="T333" s="107"/>
      <c r="U333" s="107"/>
      <c r="V333" s="107"/>
    </row>
    <row r="334" spans="4:22" s="12" customFormat="1" x14ac:dyDescent="0.2">
      <c r="D334" s="107"/>
      <c r="E334" s="35"/>
      <c r="F334" s="36"/>
      <c r="G334" s="37"/>
      <c r="H334" s="38"/>
      <c r="I334" s="39"/>
      <c r="J334" s="39"/>
      <c r="K334" s="35"/>
      <c r="L334" s="103"/>
      <c r="M334" s="40"/>
      <c r="O334" s="107"/>
      <c r="P334" s="22"/>
      <c r="Q334" s="23"/>
      <c r="R334" s="107"/>
      <c r="S334" s="107"/>
      <c r="T334" s="107"/>
      <c r="U334" s="107"/>
      <c r="V334" s="107"/>
    </row>
    <row r="335" spans="4:22" s="12" customFormat="1" x14ac:dyDescent="0.2">
      <c r="D335" s="107"/>
      <c r="E335" s="35"/>
      <c r="F335" s="36"/>
      <c r="G335" s="37"/>
      <c r="H335" s="38"/>
      <c r="I335" s="39"/>
      <c r="J335" s="39"/>
      <c r="K335" s="35"/>
      <c r="L335" s="103"/>
      <c r="M335" s="40"/>
      <c r="O335" s="107"/>
      <c r="P335" s="22"/>
      <c r="Q335" s="23"/>
      <c r="R335" s="107"/>
      <c r="S335" s="107"/>
      <c r="T335" s="107"/>
      <c r="U335" s="107"/>
      <c r="V335" s="107"/>
    </row>
    <row r="336" spans="4:22" s="12" customFormat="1" x14ac:dyDescent="0.2">
      <c r="D336" s="107"/>
      <c r="E336" s="35"/>
      <c r="F336" s="36"/>
      <c r="G336" s="37"/>
      <c r="H336" s="38"/>
      <c r="I336" s="39"/>
      <c r="J336" s="39"/>
      <c r="K336" s="35"/>
      <c r="L336" s="103"/>
      <c r="M336" s="40"/>
      <c r="O336" s="107"/>
      <c r="P336" s="22"/>
      <c r="Q336" s="23"/>
      <c r="R336" s="107"/>
      <c r="S336" s="107"/>
      <c r="T336" s="107"/>
      <c r="U336" s="107"/>
      <c r="V336" s="107"/>
    </row>
    <row r="337" spans="4:22" s="12" customFormat="1" x14ac:dyDescent="0.2">
      <c r="D337" s="107"/>
      <c r="E337" s="35"/>
      <c r="F337" s="36"/>
      <c r="G337" s="37"/>
      <c r="H337" s="38"/>
      <c r="I337" s="39"/>
      <c r="J337" s="39"/>
      <c r="K337" s="35"/>
      <c r="L337" s="103"/>
      <c r="M337" s="40"/>
      <c r="O337" s="107"/>
      <c r="P337" s="22"/>
      <c r="Q337" s="23"/>
      <c r="R337" s="107"/>
      <c r="S337" s="107"/>
      <c r="T337" s="107"/>
      <c r="U337" s="107"/>
      <c r="V337" s="107"/>
    </row>
    <row r="338" spans="4:22" s="12" customFormat="1" x14ac:dyDescent="0.2">
      <c r="D338" s="107"/>
      <c r="E338" s="35"/>
      <c r="F338" s="36"/>
      <c r="G338" s="37"/>
      <c r="H338" s="38"/>
      <c r="I338" s="39"/>
      <c r="J338" s="39"/>
      <c r="K338" s="35"/>
      <c r="L338" s="103"/>
      <c r="M338" s="40"/>
      <c r="O338" s="107"/>
      <c r="P338" s="22"/>
      <c r="Q338" s="23"/>
      <c r="R338" s="107"/>
      <c r="S338" s="107"/>
      <c r="T338" s="107"/>
      <c r="U338" s="107"/>
      <c r="V338" s="107"/>
    </row>
    <row r="339" spans="4:22" s="12" customFormat="1" x14ac:dyDescent="0.2">
      <c r="D339" s="107"/>
      <c r="E339" s="35"/>
      <c r="F339" s="36"/>
      <c r="G339" s="37"/>
      <c r="H339" s="38"/>
      <c r="I339" s="39"/>
      <c r="J339" s="39"/>
      <c r="K339" s="35"/>
      <c r="L339" s="103"/>
      <c r="M339" s="40"/>
      <c r="O339" s="107"/>
      <c r="P339" s="22"/>
      <c r="Q339" s="23"/>
      <c r="R339" s="107"/>
      <c r="S339" s="107"/>
      <c r="T339" s="107"/>
      <c r="U339" s="107"/>
      <c r="V339" s="107"/>
    </row>
    <row r="340" spans="4:22" s="12" customFormat="1" x14ac:dyDescent="0.2">
      <c r="D340" s="107"/>
      <c r="E340" s="35"/>
      <c r="F340" s="36"/>
      <c r="G340" s="37"/>
      <c r="H340" s="38"/>
      <c r="I340" s="39"/>
      <c r="J340" s="39"/>
      <c r="K340" s="35"/>
      <c r="L340" s="103"/>
      <c r="M340" s="40"/>
      <c r="O340" s="107"/>
      <c r="P340" s="22"/>
      <c r="Q340" s="23"/>
      <c r="R340" s="107"/>
      <c r="S340" s="107"/>
      <c r="T340" s="107"/>
      <c r="U340" s="107"/>
      <c r="V340" s="107"/>
    </row>
    <row r="341" spans="4:22" s="12" customFormat="1" x14ac:dyDescent="0.2">
      <c r="D341" s="107"/>
      <c r="E341" s="35"/>
      <c r="F341" s="36"/>
      <c r="G341" s="37"/>
      <c r="H341" s="38"/>
      <c r="I341" s="39"/>
      <c r="J341" s="39"/>
      <c r="K341" s="35"/>
      <c r="L341" s="103"/>
      <c r="M341" s="40"/>
      <c r="O341" s="107"/>
      <c r="P341" s="22"/>
      <c r="Q341" s="23"/>
      <c r="R341" s="107"/>
      <c r="S341" s="107"/>
      <c r="T341" s="107"/>
      <c r="U341" s="107"/>
      <c r="V341" s="107"/>
    </row>
    <row r="342" spans="4:22" s="12" customFormat="1" x14ac:dyDescent="0.2">
      <c r="D342" s="107"/>
      <c r="E342" s="35"/>
      <c r="F342" s="36"/>
      <c r="G342" s="37"/>
      <c r="H342" s="38"/>
      <c r="I342" s="39"/>
      <c r="J342" s="39"/>
      <c r="K342" s="35"/>
      <c r="L342" s="103"/>
      <c r="M342" s="40"/>
      <c r="O342" s="107"/>
      <c r="P342" s="22"/>
      <c r="Q342" s="23"/>
      <c r="R342" s="107"/>
      <c r="S342" s="107"/>
      <c r="T342" s="107"/>
      <c r="U342" s="107"/>
      <c r="V342" s="107"/>
    </row>
    <row r="343" spans="4:22" s="12" customFormat="1" x14ac:dyDescent="0.2">
      <c r="D343" s="107"/>
      <c r="E343" s="35"/>
      <c r="F343" s="36"/>
      <c r="G343" s="37"/>
      <c r="H343" s="38"/>
      <c r="I343" s="39"/>
      <c r="J343" s="39"/>
      <c r="K343" s="35"/>
      <c r="L343" s="103"/>
      <c r="M343" s="40"/>
      <c r="O343" s="107"/>
      <c r="P343" s="22"/>
      <c r="Q343" s="23"/>
      <c r="R343" s="107"/>
      <c r="S343" s="107"/>
      <c r="T343" s="107"/>
      <c r="U343" s="107"/>
      <c r="V343" s="107"/>
    </row>
    <row r="344" spans="4:22" s="12" customFormat="1" x14ac:dyDescent="0.2">
      <c r="D344" s="107"/>
      <c r="E344" s="35"/>
      <c r="F344" s="36"/>
      <c r="G344" s="37"/>
      <c r="H344" s="38"/>
      <c r="I344" s="39"/>
      <c r="J344" s="39"/>
      <c r="K344" s="35"/>
      <c r="L344" s="103"/>
      <c r="M344" s="40"/>
      <c r="O344" s="107"/>
      <c r="P344" s="22"/>
      <c r="Q344" s="23"/>
      <c r="R344" s="107"/>
      <c r="S344" s="107"/>
      <c r="T344" s="107"/>
      <c r="U344" s="107"/>
      <c r="V344" s="107"/>
    </row>
    <row r="345" spans="4:22" s="12" customFormat="1" x14ac:dyDescent="0.2">
      <c r="D345" s="107"/>
      <c r="E345" s="35"/>
      <c r="F345" s="36"/>
      <c r="G345" s="37"/>
      <c r="H345" s="38"/>
      <c r="I345" s="39"/>
      <c r="J345" s="39"/>
      <c r="K345" s="35"/>
      <c r="L345" s="103"/>
      <c r="M345" s="40"/>
      <c r="O345" s="107"/>
      <c r="P345" s="22"/>
      <c r="Q345" s="23"/>
      <c r="R345" s="107"/>
      <c r="S345" s="107"/>
      <c r="T345" s="107"/>
      <c r="U345" s="107"/>
      <c r="V345" s="107"/>
    </row>
    <row r="346" spans="4:22" s="12" customFormat="1" x14ac:dyDescent="0.2">
      <c r="D346" s="107"/>
      <c r="E346" s="35"/>
      <c r="F346" s="36"/>
      <c r="G346" s="37"/>
      <c r="H346" s="38"/>
      <c r="I346" s="39"/>
      <c r="J346" s="39"/>
      <c r="K346" s="35"/>
      <c r="L346" s="103"/>
      <c r="M346" s="40"/>
      <c r="O346" s="107"/>
      <c r="P346" s="22"/>
      <c r="Q346" s="23"/>
      <c r="R346" s="107"/>
      <c r="S346" s="107"/>
      <c r="T346" s="107"/>
      <c r="U346" s="107"/>
      <c r="V346" s="107"/>
    </row>
    <row r="347" spans="4:22" s="12" customFormat="1" x14ac:dyDescent="0.2">
      <c r="D347" s="107"/>
      <c r="E347" s="35"/>
      <c r="F347" s="36"/>
      <c r="G347" s="37"/>
      <c r="H347" s="38"/>
      <c r="I347" s="39"/>
      <c r="J347" s="39"/>
      <c r="K347" s="35"/>
      <c r="L347" s="103"/>
      <c r="M347" s="40"/>
      <c r="O347" s="107"/>
      <c r="P347" s="22"/>
      <c r="Q347" s="23"/>
      <c r="R347" s="107"/>
      <c r="S347" s="107"/>
      <c r="T347" s="107"/>
      <c r="U347" s="107"/>
      <c r="V347" s="107"/>
    </row>
    <row r="348" spans="4:22" s="12" customFormat="1" x14ac:dyDescent="0.2">
      <c r="D348" s="107"/>
      <c r="E348" s="35"/>
      <c r="F348" s="36"/>
      <c r="G348" s="37"/>
      <c r="H348" s="38"/>
      <c r="I348" s="39"/>
      <c r="J348" s="39"/>
      <c r="K348" s="35"/>
      <c r="L348" s="103"/>
      <c r="M348" s="40"/>
      <c r="O348" s="107"/>
      <c r="P348" s="22"/>
      <c r="Q348" s="23"/>
      <c r="R348" s="107"/>
      <c r="S348" s="107"/>
      <c r="T348" s="107"/>
      <c r="U348" s="107"/>
      <c r="V348" s="107"/>
    </row>
    <row r="349" spans="4:22" s="12" customFormat="1" x14ac:dyDescent="0.2">
      <c r="D349" s="107"/>
      <c r="E349" s="35"/>
      <c r="F349" s="36"/>
      <c r="G349" s="37"/>
      <c r="H349" s="38"/>
      <c r="I349" s="39"/>
      <c r="J349" s="39"/>
      <c r="K349" s="35"/>
      <c r="L349" s="103"/>
      <c r="M349" s="40"/>
      <c r="O349" s="107"/>
      <c r="P349" s="22"/>
      <c r="Q349" s="23"/>
      <c r="R349" s="107"/>
      <c r="S349" s="107"/>
      <c r="T349" s="107"/>
      <c r="U349" s="107"/>
      <c r="V349" s="107"/>
    </row>
    <row r="350" spans="4:22" s="12" customFormat="1" x14ac:dyDescent="0.2">
      <c r="D350" s="107"/>
      <c r="E350" s="35"/>
      <c r="F350" s="36"/>
      <c r="G350" s="37"/>
      <c r="H350" s="38"/>
      <c r="I350" s="39"/>
      <c r="J350" s="39"/>
      <c r="K350" s="35"/>
      <c r="L350" s="103"/>
      <c r="M350" s="40"/>
      <c r="O350" s="107"/>
      <c r="P350" s="22"/>
      <c r="Q350" s="23"/>
      <c r="R350" s="107"/>
      <c r="S350" s="107"/>
      <c r="T350" s="107"/>
      <c r="U350" s="107"/>
      <c r="V350" s="107"/>
    </row>
    <row r="351" spans="4:22" s="12" customFormat="1" x14ac:dyDescent="0.2">
      <c r="D351" s="107"/>
      <c r="E351" s="35"/>
      <c r="F351" s="36"/>
      <c r="G351" s="37"/>
      <c r="H351" s="38"/>
      <c r="I351" s="39"/>
      <c r="J351" s="39"/>
      <c r="K351" s="35"/>
      <c r="L351" s="103"/>
      <c r="M351" s="40"/>
      <c r="O351" s="107"/>
      <c r="P351" s="22"/>
      <c r="Q351" s="23"/>
      <c r="R351" s="107"/>
      <c r="S351" s="107"/>
      <c r="T351" s="107"/>
      <c r="U351" s="107"/>
      <c r="V351" s="107"/>
    </row>
    <row r="352" spans="4:22" s="12" customFormat="1" x14ac:dyDescent="0.2">
      <c r="D352" s="107"/>
      <c r="E352" s="35"/>
      <c r="F352" s="36"/>
      <c r="G352" s="37"/>
      <c r="H352" s="38"/>
      <c r="I352" s="39"/>
      <c r="J352" s="39"/>
      <c r="K352" s="35"/>
      <c r="L352" s="103"/>
      <c r="M352" s="40"/>
      <c r="O352" s="107"/>
      <c r="P352" s="22"/>
      <c r="Q352" s="23"/>
      <c r="R352" s="107"/>
      <c r="S352" s="107"/>
      <c r="T352" s="107"/>
      <c r="U352" s="107"/>
      <c r="V352" s="107"/>
    </row>
    <row r="353" spans="4:22" s="12" customFormat="1" x14ac:dyDescent="0.2">
      <c r="D353" s="107"/>
      <c r="E353" s="35"/>
      <c r="F353" s="36"/>
      <c r="G353" s="37"/>
      <c r="H353" s="38"/>
      <c r="I353" s="39"/>
      <c r="J353" s="39"/>
      <c r="K353" s="35"/>
      <c r="L353" s="103"/>
      <c r="M353" s="40"/>
      <c r="O353" s="107"/>
      <c r="P353" s="22"/>
      <c r="Q353" s="23"/>
      <c r="R353" s="107"/>
      <c r="S353" s="107"/>
      <c r="T353" s="107"/>
      <c r="U353" s="107"/>
      <c r="V353" s="107"/>
    </row>
    <row r="354" spans="4:22" s="12" customFormat="1" x14ac:dyDescent="0.2">
      <c r="D354" s="107"/>
      <c r="E354" s="35"/>
      <c r="F354" s="36"/>
      <c r="G354" s="37"/>
      <c r="H354" s="38"/>
      <c r="I354" s="39"/>
      <c r="J354" s="39"/>
      <c r="K354" s="35"/>
      <c r="L354" s="103"/>
      <c r="M354" s="40"/>
      <c r="O354" s="107"/>
      <c r="P354" s="22"/>
      <c r="Q354" s="23"/>
      <c r="R354" s="107"/>
      <c r="S354" s="107"/>
      <c r="T354" s="107"/>
      <c r="U354" s="107"/>
      <c r="V354" s="107"/>
    </row>
    <row r="355" spans="4:22" s="12" customFormat="1" x14ac:dyDescent="0.2">
      <c r="D355" s="107"/>
      <c r="E355" s="35"/>
      <c r="F355" s="36"/>
      <c r="G355" s="37"/>
      <c r="H355" s="38"/>
      <c r="I355" s="39"/>
      <c r="J355" s="39"/>
      <c r="K355" s="35"/>
      <c r="L355" s="103"/>
      <c r="M355" s="40"/>
      <c r="O355" s="107"/>
      <c r="P355" s="22"/>
      <c r="Q355" s="23"/>
      <c r="R355" s="107"/>
      <c r="S355" s="107"/>
      <c r="T355" s="107"/>
      <c r="U355" s="107"/>
      <c r="V355" s="107"/>
    </row>
    <row r="356" spans="4:22" s="12" customFormat="1" x14ac:dyDescent="0.2">
      <c r="D356" s="107"/>
      <c r="E356" s="35"/>
      <c r="F356" s="36"/>
      <c r="G356" s="37"/>
      <c r="H356" s="38"/>
      <c r="I356" s="39"/>
      <c r="J356" s="39"/>
      <c r="K356" s="35"/>
      <c r="L356" s="103"/>
      <c r="M356" s="40"/>
      <c r="O356" s="107"/>
      <c r="P356" s="22"/>
      <c r="Q356" s="23"/>
      <c r="R356" s="107"/>
      <c r="S356" s="107"/>
      <c r="T356" s="107"/>
      <c r="U356" s="107"/>
      <c r="V356" s="107"/>
    </row>
    <row r="357" spans="4:22" s="12" customFormat="1" x14ac:dyDescent="0.2">
      <c r="D357" s="107"/>
      <c r="E357" s="35"/>
      <c r="F357" s="36"/>
      <c r="G357" s="37"/>
      <c r="H357" s="38"/>
      <c r="I357" s="39"/>
      <c r="J357" s="39"/>
      <c r="K357" s="35"/>
      <c r="L357" s="103"/>
      <c r="M357" s="40"/>
      <c r="O357" s="107"/>
      <c r="P357" s="22"/>
      <c r="Q357" s="23"/>
      <c r="R357" s="107"/>
      <c r="S357" s="107"/>
      <c r="T357" s="107"/>
      <c r="U357" s="107"/>
      <c r="V357" s="107"/>
    </row>
    <row r="358" spans="4:22" s="12" customFormat="1" x14ac:dyDescent="0.2">
      <c r="D358" s="107"/>
      <c r="E358" s="35"/>
      <c r="F358" s="36"/>
      <c r="G358" s="37"/>
      <c r="H358" s="38"/>
      <c r="I358" s="39"/>
      <c r="J358" s="39"/>
      <c r="K358" s="35"/>
      <c r="L358" s="103"/>
      <c r="M358" s="40"/>
      <c r="O358" s="107"/>
      <c r="P358" s="22"/>
      <c r="Q358" s="23"/>
      <c r="R358" s="107"/>
      <c r="S358" s="107"/>
      <c r="T358" s="107"/>
      <c r="U358" s="107"/>
      <c r="V358" s="107"/>
    </row>
    <row r="359" spans="4:22" s="12" customFormat="1" x14ac:dyDescent="0.2">
      <c r="D359" s="107"/>
      <c r="E359" s="35"/>
      <c r="F359" s="36"/>
      <c r="G359" s="37"/>
      <c r="H359" s="38"/>
      <c r="I359" s="39"/>
      <c r="J359" s="39"/>
      <c r="K359" s="35"/>
      <c r="L359" s="103"/>
      <c r="M359" s="40"/>
      <c r="O359" s="107"/>
      <c r="P359" s="22"/>
      <c r="Q359" s="23"/>
      <c r="R359" s="107"/>
      <c r="S359" s="107"/>
      <c r="T359" s="107"/>
      <c r="U359" s="107"/>
      <c r="V359" s="107"/>
    </row>
    <row r="360" spans="4:22" s="12" customFormat="1" x14ac:dyDescent="0.2">
      <c r="D360" s="107"/>
      <c r="E360" s="35"/>
      <c r="F360" s="36"/>
      <c r="G360" s="37"/>
      <c r="H360" s="38"/>
      <c r="I360" s="39"/>
      <c r="J360" s="39"/>
      <c r="K360" s="35"/>
      <c r="L360" s="103"/>
      <c r="M360" s="40"/>
      <c r="O360" s="107"/>
      <c r="P360" s="22"/>
      <c r="Q360" s="23"/>
      <c r="R360" s="107"/>
      <c r="S360" s="107"/>
      <c r="T360" s="107"/>
      <c r="U360" s="107"/>
      <c r="V360" s="107"/>
    </row>
    <row r="361" spans="4:22" s="12" customFormat="1" x14ac:dyDescent="0.2">
      <c r="D361" s="107"/>
      <c r="E361" s="35"/>
      <c r="F361" s="36"/>
      <c r="G361" s="37"/>
      <c r="H361" s="38"/>
      <c r="I361" s="39"/>
      <c r="J361" s="39"/>
      <c r="K361" s="35"/>
      <c r="L361" s="103"/>
      <c r="M361" s="40"/>
      <c r="O361" s="107"/>
      <c r="P361" s="22"/>
      <c r="Q361" s="23"/>
      <c r="R361" s="107"/>
      <c r="S361" s="107"/>
      <c r="T361" s="107"/>
      <c r="U361" s="107"/>
      <c r="V361" s="107"/>
    </row>
    <row r="362" spans="4:22" s="12" customFormat="1" x14ac:dyDescent="0.2">
      <c r="D362" s="107"/>
      <c r="E362" s="35"/>
      <c r="F362" s="36"/>
      <c r="G362" s="37"/>
      <c r="H362" s="38"/>
      <c r="I362" s="39"/>
      <c r="J362" s="39"/>
      <c r="K362" s="35"/>
      <c r="L362" s="103"/>
      <c r="M362" s="40"/>
      <c r="O362" s="107"/>
      <c r="P362" s="22"/>
      <c r="Q362" s="23"/>
      <c r="R362" s="107"/>
      <c r="S362" s="107"/>
      <c r="T362" s="107"/>
      <c r="U362" s="107"/>
      <c r="V362" s="107"/>
    </row>
    <row r="363" spans="4:22" s="12" customFormat="1" x14ac:dyDescent="0.2">
      <c r="D363" s="107"/>
      <c r="E363" s="35"/>
      <c r="F363" s="36"/>
      <c r="G363" s="37"/>
      <c r="H363" s="38"/>
      <c r="I363" s="39"/>
      <c r="J363" s="39"/>
      <c r="K363" s="35"/>
      <c r="L363" s="103"/>
      <c r="M363" s="40"/>
      <c r="O363" s="107"/>
      <c r="P363" s="22"/>
      <c r="Q363" s="23"/>
      <c r="R363" s="107"/>
      <c r="S363" s="107"/>
      <c r="T363" s="107"/>
      <c r="U363" s="107"/>
      <c r="V363" s="107"/>
    </row>
    <row r="364" spans="4:22" s="12" customFormat="1" x14ac:dyDescent="0.2">
      <c r="D364" s="107"/>
      <c r="E364" s="35"/>
      <c r="F364" s="36"/>
      <c r="G364" s="37"/>
      <c r="H364" s="38"/>
      <c r="I364" s="39"/>
      <c r="J364" s="39"/>
      <c r="K364" s="35"/>
      <c r="L364" s="103"/>
      <c r="M364" s="40"/>
      <c r="O364" s="107"/>
      <c r="P364" s="22"/>
      <c r="Q364" s="23"/>
      <c r="R364" s="107"/>
      <c r="S364" s="107"/>
      <c r="T364" s="107"/>
      <c r="U364" s="107"/>
      <c r="V364" s="107"/>
    </row>
    <row r="365" spans="4:22" s="12" customFormat="1" x14ac:dyDescent="0.2">
      <c r="D365" s="107"/>
      <c r="E365" s="35"/>
      <c r="F365" s="36"/>
      <c r="G365" s="37"/>
      <c r="H365" s="38"/>
      <c r="I365" s="39"/>
      <c r="J365" s="39"/>
      <c r="K365" s="35"/>
      <c r="L365" s="103"/>
      <c r="M365" s="40"/>
      <c r="O365" s="107"/>
      <c r="P365" s="22"/>
      <c r="Q365" s="23"/>
      <c r="R365" s="107"/>
      <c r="S365" s="107"/>
      <c r="T365" s="107"/>
      <c r="U365" s="107"/>
      <c r="V365" s="107"/>
    </row>
    <row r="366" spans="4:22" s="12" customFormat="1" x14ac:dyDescent="0.2">
      <c r="D366" s="107"/>
      <c r="E366" s="35"/>
      <c r="F366" s="36"/>
      <c r="G366" s="37"/>
      <c r="H366" s="38"/>
      <c r="I366" s="39"/>
      <c r="J366" s="39"/>
      <c r="K366" s="35"/>
      <c r="L366" s="103"/>
      <c r="M366" s="40"/>
      <c r="O366" s="107"/>
      <c r="P366" s="22"/>
      <c r="Q366" s="23"/>
      <c r="R366" s="107"/>
      <c r="S366" s="107"/>
      <c r="T366" s="107"/>
      <c r="U366" s="107"/>
      <c r="V366" s="107"/>
    </row>
    <row r="367" spans="4:22" s="12" customFormat="1" x14ac:dyDescent="0.2">
      <c r="D367" s="107"/>
      <c r="E367" s="35"/>
      <c r="F367" s="36"/>
      <c r="G367" s="37"/>
      <c r="H367" s="38"/>
      <c r="I367" s="39"/>
      <c r="J367" s="39"/>
      <c r="K367" s="35"/>
      <c r="L367" s="103"/>
      <c r="M367" s="40"/>
      <c r="O367" s="107"/>
      <c r="P367" s="22"/>
      <c r="Q367" s="23"/>
      <c r="R367" s="107"/>
      <c r="S367" s="107"/>
      <c r="T367" s="107"/>
      <c r="U367" s="107"/>
      <c r="V367" s="107"/>
    </row>
    <row r="368" spans="4:22" s="12" customFormat="1" x14ac:dyDescent="0.2">
      <c r="D368" s="107"/>
      <c r="E368" s="35"/>
      <c r="F368" s="36"/>
      <c r="G368" s="37"/>
      <c r="H368" s="38"/>
      <c r="I368" s="39"/>
      <c r="J368" s="39"/>
      <c r="K368" s="35"/>
      <c r="L368" s="103"/>
      <c r="M368" s="40"/>
      <c r="O368" s="107"/>
      <c r="P368" s="22"/>
      <c r="Q368" s="23"/>
      <c r="R368" s="107"/>
      <c r="S368" s="107"/>
      <c r="T368" s="107"/>
      <c r="U368" s="107"/>
      <c r="V368" s="107"/>
    </row>
    <row r="369" spans="4:22" s="12" customFormat="1" x14ac:dyDescent="0.2">
      <c r="D369" s="107"/>
      <c r="E369" s="35"/>
      <c r="F369" s="36"/>
      <c r="G369" s="37"/>
      <c r="H369" s="38"/>
      <c r="I369" s="39"/>
      <c r="J369" s="39"/>
      <c r="K369" s="35"/>
      <c r="L369" s="103"/>
      <c r="M369" s="40"/>
      <c r="O369" s="107"/>
      <c r="P369" s="22"/>
      <c r="Q369" s="23"/>
      <c r="R369" s="107"/>
      <c r="S369" s="107"/>
      <c r="T369" s="107"/>
      <c r="U369" s="107"/>
      <c r="V369" s="107"/>
    </row>
    <row r="370" spans="4:22" s="12" customFormat="1" x14ac:dyDescent="0.2">
      <c r="D370" s="107"/>
      <c r="E370" s="35"/>
      <c r="F370" s="36"/>
      <c r="G370" s="37"/>
      <c r="H370" s="38"/>
      <c r="I370" s="39"/>
      <c r="J370" s="39"/>
      <c r="K370" s="35"/>
      <c r="L370" s="103"/>
      <c r="M370" s="40"/>
      <c r="O370" s="107"/>
      <c r="P370" s="22"/>
      <c r="Q370" s="23"/>
      <c r="R370" s="107"/>
      <c r="S370" s="107"/>
      <c r="T370" s="107"/>
      <c r="U370" s="107"/>
      <c r="V370" s="107"/>
    </row>
    <row r="371" spans="4:22" s="12" customFormat="1" x14ac:dyDescent="0.2">
      <c r="D371" s="107"/>
      <c r="E371" s="35"/>
      <c r="F371" s="36"/>
      <c r="G371" s="37"/>
      <c r="H371" s="38"/>
      <c r="I371" s="39"/>
      <c r="J371" s="39"/>
      <c r="K371" s="35"/>
      <c r="L371" s="103"/>
      <c r="M371" s="40"/>
      <c r="O371" s="107"/>
      <c r="P371" s="22"/>
      <c r="Q371" s="23"/>
      <c r="R371" s="107"/>
      <c r="S371" s="107"/>
      <c r="T371" s="107"/>
      <c r="U371" s="107"/>
      <c r="V371" s="107"/>
    </row>
    <row r="372" spans="4:22" s="12" customFormat="1" x14ac:dyDescent="0.2">
      <c r="D372" s="107"/>
      <c r="E372" s="35"/>
      <c r="F372" s="36"/>
      <c r="G372" s="37"/>
      <c r="H372" s="38"/>
      <c r="I372" s="39"/>
      <c r="J372" s="39"/>
      <c r="K372" s="35"/>
      <c r="L372" s="103"/>
      <c r="M372" s="40"/>
      <c r="O372" s="107"/>
      <c r="P372" s="22"/>
      <c r="Q372" s="23"/>
      <c r="R372" s="107"/>
      <c r="S372" s="107"/>
      <c r="T372" s="107"/>
      <c r="U372" s="107"/>
      <c r="V372" s="107"/>
    </row>
    <row r="373" spans="4:22" s="12" customFormat="1" x14ac:dyDescent="0.2">
      <c r="D373" s="107"/>
      <c r="E373" s="35"/>
      <c r="F373" s="36"/>
      <c r="G373" s="37"/>
      <c r="H373" s="38"/>
      <c r="I373" s="39"/>
      <c r="J373" s="39"/>
      <c r="K373" s="35"/>
      <c r="L373" s="103"/>
      <c r="M373" s="40"/>
      <c r="O373" s="107"/>
      <c r="P373" s="22"/>
      <c r="Q373" s="23"/>
      <c r="R373" s="107"/>
      <c r="S373" s="107"/>
      <c r="T373" s="107"/>
      <c r="U373" s="107"/>
      <c r="V373" s="107"/>
    </row>
    <row r="374" spans="4:22" s="12" customFormat="1" x14ac:dyDescent="0.2">
      <c r="D374" s="107"/>
      <c r="E374" s="35"/>
      <c r="F374" s="36"/>
      <c r="G374" s="37"/>
      <c r="H374" s="38"/>
      <c r="I374" s="39"/>
      <c r="J374" s="39"/>
      <c r="K374" s="35"/>
      <c r="L374" s="103"/>
      <c r="M374" s="40"/>
      <c r="O374" s="107"/>
      <c r="P374" s="22"/>
      <c r="Q374" s="23"/>
      <c r="R374" s="107"/>
      <c r="S374" s="107"/>
      <c r="T374" s="107"/>
      <c r="U374" s="107"/>
      <c r="V374" s="107"/>
    </row>
    <row r="375" spans="4:22" s="12" customFormat="1" x14ac:dyDescent="0.2">
      <c r="D375" s="107"/>
      <c r="E375" s="35"/>
      <c r="F375" s="36"/>
      <c r="G375" s="37"/>
      <c r="H375" s="38"/>
      <c r="I375" s="39"/>
      <c r="J375" s="39"/>
      <c r="K375" s="35"/>
      <c r="L375" s="103"/>
      <c r="M375" s="40"/>
      <c r="O375" s="107"/>
      <c r="P375" s="22"/>
      <c r="Q375" s="23"/>
      <c r="R375" s="107"/>
      <c r="S375" s="107"/>
      <c r="T375" s="107"/>
      <c r="U375" s="107"/>
      <c r="V375" s="107"/>
    </row>
    <row r="376" spans="4:22" s="12" customFormat="1" x14ac:dyDescent="0.2">
      <c r="D376" s="107"/>
      <c r="E376" s="35"/>
      <c r="F376" s="36"/>
      <c r="G376" s="37"/>
      <c r="H376" s="38"/>
      <c r="I376" s="39"/>
      <c r="J376" s="39"/>
      <c r="K376" s="35"/>
      <c r="L376" s="103"/>
      <c r="M376" s="40"/>
      <c r="O376" s="107"/>
      <c r="P376" s="22"/>
      <c r="Q376" s="23"/>
      <c r="R376" s="107"/>
      <c r="S376" s="107"/>
      <c r="T376" s="107"/>
      <c r="U376" s="107"/>
      <c r="V376" s="107"/>
    </row>
    <row r="377" spans="4:22" s="12" customFormat="1" x14ac:dyDescent="0.2">
      <c r="D377" s="107"/>
      <c r="E377" s="35"/>
      <c r="F377" s="36"/>
      <c r="G377" s="37"/>
      <c r="H377" s="38"/>
      <c r="I377" s="39"/>
      <c r="J377" s="39"/>
      <c r="K377" s="35"/>
      <c r="L377" s="103"/>
      <c r="M377" s="40"/>
      <c r="O377" s="107"/>
      <c r="P377" s="22"/>
      <c r="Q377" s="23"/>
      <c r="R377" s="107"/>
      <c r="S377" s="107"/>
      <c r="T377" s="107"/>
      <c r="U377" s="107"/>
      <c r="V377" s="107"/>
    </row>
    <row r="378" spans="4:22" s="12" customFormat="1" x14ac:dyDescent="0.2">
      <c r="D378" s="107"/>
      <c r="E378" s="35"/>
      <c r="F378" s="36"/>
      <c r="G378" s="37"/>
      <c r="H378" s="38"/>
      <c r="I378" s="39"/>
      <c r="J378" s="39"/>
      <c r="K378" s="35"/>
      <c r="L378" s="103"/>
      <c r="M378" s="40"/>
      <c r="O378" s="107"/>
      <c r="P378" s="22"/>
      <c r="Q378" s="23"/>
      <c r="R378" s="107"/>
      <c r="S378" s="107"/>
      <c r="T378" s="107"/>
      <c r="U378" s="107"/>
      <c r="V378" s="107"/>
    </row>
    <row r="379" spans="4:22" s="12" customFormat="1" x14ac:dyDescent="0.2">
      <c r="D379" s="107"/>
      <c r="E379" s="35"/>
      <c r="F379" s="36"/>
      <c r="G379" s="37"/>
      <c r="H379" s="38"/>
      <c r="I379" s="39"/>
      <c r="J379" s="39"/>
      <c r="K379" s="35"/>
      <c r="L379" s="103"/>
      <c r="M379" s="40"/>
      <c r="O379" s="107"/>
      <c r="P379" s="22"/>
      <c r="Q379" s="23"/>
      <c r="R379" s="107"/>
      <c r="S379" s="107"/>
      <c r="T379" s="107"/>
      <c r="U379" s="107"/>
      <c r="V379" s="107"/>
    </row>
    <row r="380" spans="4:22" s="12" customFormat="1" x14ac:dyDescent="0.2">
      <c r="D380" s="107"/>
      <c r="E380" s="35"/>
      <c r="F380" s="36"/>
      <c r="G380" s="37"/>
      <c r="H380" s="38"/>
      <c r="I380" s="39"/>
      <c r="J380" s="39"/>
      <c r="K380" s="35"/>
      <c r="L380" s="103"/>
      <c r="M380" s="40"/>
      <c r="O380" s="107"/>
      <c r="P380" s="22"/>
      <c r="Q380" s="23"/>
      <c r="R380" s="107"/>
      <c r="S380" s="107"/>
      <c r="T380" s="107"/>
      <c r="U380" s="107"/>
      <c r="V380" s="107"/>
    </row>
    <row r="381" spans="4:22" s="12" customFormat="1" x14ac:dyDescent="0.2">
      <c r="D381" s="107"/>
      <c r="E381" s="35"/>
      <c r="F381" s="36"/>
      <c r="G381" s="37"/>
      <c r="H381" s="38"/>
      <c r="I381" s="39"/>
      <c r="J381" s="39"/>
      <c r="K381" s="35"/>
      <c r="L381" s="103"/>
      <c r="M381" s="40"/>
      <c r="O381" s="107"/>
      <c r="P381" s="22"/>
      <c r="Q381" s="23"/>
      <c r="R381" s="107"/>
      <c r="S381" s="107"/>
      <c r="T381" s="107"/>
      <c r="U381" s="107"/>
      <c r="V381" s="107"/>
    </row>
    <row r="382" spans="4:22" s="12" customFormat="1" x14ac:dyDescent="0.2">
      <c r="D382" s="107"/>
      <c r="E382" s="35"/>
      <c r="F382" s="36"/>
      <c r="G382" s="37"/>
      <c r="H382" s="38"/>
      <c r="I382" s="39"/>
      <c r="J382" s="39"/>
      <c r="K382" s="35"/>
      <c r="L382" s="103"/>
      <c r="M382" s="40"/>
      <c r="O382" s="107"/>
      <c r="P382" s="22"/>
      <c r="Q382" s="23"/>
      <c r="R382" s="107"/>
      <c r="S382" s="107"/>
      <c r="T382" s="107"/>
      <c r="U382" s="107"/>
      <c r="V382" s="107"/>
    </row>
    <row r="383" spans="4:22" s="12" customFormat="1" x14ac:dyDescent="0.2">
      <c r="D383" s="107"/>
      <c r="E383" s="35"/>
      <c r="F383" s="36"/>
      <c r="G383" s="37"/>
      <c r="H383" s="38"/>
      <c r="I383" s="39"/>
      <c r="J383" s="39"/>
      <c r="K383" s="35"/>
      <c r="L383" s="103"/>
      <c r="M383" s="40"/>
      <c r="O383" s="107"/>
      <c r="P383" s="22"/>
      <c r="Q383" s="23"/>
      <c r="R383" s="107"/>
      <c r="S383" s="107"/>
      <c r="T383" s="107"/>
      <c r="U383" s="107"/>
      <c r="V383" s="107"/>
    </row>
    <row r="384" spans="4:22" s="12" customFormat="1" x14ac:dyDescent="0.2">
      <c r="D384" s="107"/>
      <c r="E384" s="35"/>
      <c r="F384" s="36"/>
      <c r="G384" s="37"/>
      <c r="H384" s="38"/>
      <c r="I384" s="39"/>
      <c r="J384" s="39"/>
      <c r="K384" s="35"/>
      <c r="L384" s="103"/>
      <c r="M384" s="40"/>
      <c r="O384" s="107"/>
      <c r="P384" s="22"/>
      <c r="Q384" s="23"/>
      <c r="R384" s="107"/>
      <c r="S384" s="107"/>
      <c r="T384" s="107"/>
      <c r="U384" s="107"/>
      <c r="V384" s="107"/>
    </row>
    <row r="385" spans="4:22" s="12" customFormat="1" x14ac:dyDescent="0.2">
      <c r="D385" s="107"/>
      <c r="E385" s="35"/>
      <c r="F385" s="36"/>
      <c r="G385" s="37"/>
      <c r="H385" s="38"/>
      <c r="I385" s="39"/>
      <c r="J385" s="39"/>
      <c r="K385" s="35"/>
      <c r="L385" s="103"/>
      <c r="M385" s="40"/>
      <c r="O385" s="107"/>
      <c r="P385" s="22"/>
      <c r="Q385" s="23"/>
      <c r="R385" s="107"/>
      <c r="S385" s="107"/>
      <c r="T385" s="107"/>
      <c r="U385" s="107"/>
      <c r="V385" s="107"/>
    </row>
    <row r="386" spans="4:22" s="12" customFormat="1" x14ac:dyDescent="0.2">
      <c r="D386" s="107"/>
      <c r="E386" s="35"/>
      <c r="F386" s="36"/>
      <c r="G386" s="37"/>
      <c r="H386" s="38"/>
      <c r="I386" s="39"/>
      <c r="J386" s="39"/>
      <c r="K386" s="35"/>
      <c r="L386" s="103"/>
      <c r="M386" s="40"/>
      <c r="O386" s="107"/>
      <c r="P386" s="22"/>
      <c r="Q386" s="23"/>
      <c r="R386" s="107"/>
      <c r="S386" s="107"/>
      <c r="T386" s="107"/>
      <c r="U386" s="107"/>
      <c r="V386" s="107"/>
    </row>
    <row r="387" spans="4:22" s="12" customFormat="1" x14ac:dyDescent="0.2">
      <c r="D387" s="107"/>
      <c r="E387" s="35"/>
      <c r="F387" s="36"/>
      <c r="G387" s="37"/>
      <c r="H387" s="38"/>
      <c r="I387" s="39"/>
      <c r="J387" s="39"/>
      <c r="K387" s="35"/>
      <c r="L387" s="103"/>
      <c r="M387" s="40"/>
      <c r="O387" s="107"/>
      <c r="P387" s="22"/>
      <c r="Q387" s="23"/>
      <c r="R387" s="107"/>
      <c r="S387" s="107"/>
      <c r="T387" s="107"/>
      <c r="U387" s="107"/>
      <c r="V387" s="107"/>
    </row>
    <row r="388" spans="4:22" s="12" customFormat="1" x14ac:dyDescent="0.2">
      <c r="D388" s="107"/>
      <c r="E388" s="35"/>
      <c r="F388" s="36"/>
      <c r="G388" s="37"/>
      <c r="H388" s="38"/>
      <c r="I388" s="39"/>
      <c r="J388" s="39"/>
      <c r="K388" s="35"/>
      <c r="L388" s="103"/>
      <c r="M388" s="40"/>
      <c r="O388" s="107"/>
      <c r="P388" s="22"/>
      <c r="Q388" s="23"/>
      <c r="R388" s="107"/>
      <c r="S388" s="107"/>
      <c r="T388" s="107"/>
      <c r="U388" s="107"/>
      <c r="V388" s="107"/>
    </row>
    <row r="389" spans="4:22" s="12" customFormat="1" x14ac:dyDescent="0.2">
      <c r="D389" s="107"/>
      <c r="E389" s="35"/>
      <c r="F389" s="36"/>
      <c r="G389" s="37"/>
      <c r="H389" s="38"/>
      <c r="I389" s="39"/>
      <c r="J389" s="39"/>
      <c r="K389" s="35"/>
      <c r="L389" s="103"/>
      <c r="M389" s="40"/>
      <c r="O389" s="107"/>
      <c r="P389" s="22"/>
      <c r="Q389" s="23"/>
      <c r="R389" s="107"/>
      <c r="S389" s="107"/>
      <c r="T389" s="107"/>
      <c r="U389" s="107"/>
      <c r="V389" s="107"/>
    </row>
    <row r="390" spans="4:22" s="12" customFormat="1" x14ac:dyDescent="0.2">
      <c r="D390" s="107"/>
      <c r="E390" s="35"/>
      <c r="F390" s="36"/>
      <c r="G390" s="37"/>
      <c r="H390" s="38"/>
      <c r="I390" s="39"/>
      <c r="J390" s="39"/>
      <c r="K390" s="35"/>
      <c r="L390" s="103"/>
      <c r="M390" s="40"/>
      <c r="O390" s="107"/>
      <c r="P390" s="22"/>
      <c r="Q390" s="23"/>
      <c r="R390" s="107"/>
      <c r="S390" s="107"/>
      <c r="T390" s="107"/>
      <c r="U390" s="107"/>
      <c r="V390" s="107"/>
    </row>
    <row r="391" spans="4:22" s="12" customFormat="1" x14ac:dyDescent="0.2">
      <c r="D391" s="107"/>
      <c r="E391" s="35"/>
      <c r="F391" s="36"/>
      <c r="G391" s="37"/>
      <c r="H391" s="38"/>
      <c r="I391" s="39"/>
      <c r="J391" s="39"/>
      <c r="K391" s="35"/>
      <c r="L391" s="103"/>
      <c r="M391" s="40"/>
      <c r="O391" s="107"/>
      <c r="P391" s="22"/>
      <c r="Q391" s="23"/>
      <c r="R391" s="107"/>
      <c r="S391" s="107"/>
      <c r="T391" s="107"/>
      <c r="U391" s="107"/>
      <c r="V391" s="107"/>
    </row>
    <row r="392" spans="4:22" s="12" customFormat="1" x14ac:dyDescent="0.2">
      <c r="D392" s="107"/>
      <c r="E392" s="35"/>
      <c r="F392" s="36"/>
      <c r="G392" s="37"/>
      <c r="H392" s="38"/>
      <c r="I392" s="39"/>
      <c r="J392" s="39"/>
      <c r="K392" s="35"/>
      <c r="L392" s="103"/>
      <c r="M392" s="40"/>
      <c r="O392" s="107"/>
      <c r="P392" s="22"/>
      <c r="Q392" s="23"/>
      <c r="R392" s="107"/>
      <c r="S392" s="107"/>
      <c r="T392" s="107"/>
      <c r="U392" s="107"/>
      <c r="V392" s="107"/>
    </row>
    <row r="393" spans="4:22" s="12" customFormat="1" x14ac:dyDescent="0.2">
      <c r="D393" s="107"/>
      <c r="E393" s="35"/>
      <c r="F393" s="36"/>
      <c r="G393" s="37"/>
      <c r="H393" s="38"/>
      <c r="I393" s="39"/>
      <c r="J393" s="39"/>
      <c r="K393" s="35"/>
      <c r="L393" s="103"/>
      <c r="M393" s="40"/>
      <c r="O393" s="107"/>
      <c r="P393" s="22"/>
      <c r="Q393" s="23"/>
      <c r="R393" s="107"/>
      <c r="S393" s="107"/>
      <c r="T393" s="107"/>
      <c r="U393" s="107"/>
      <c r="V393" s="107"/>
    </row>
    <row r="394" spans="4:22" s="12" customFormat="1" x14ac:dyDescent="0.2">
      <c r="D394" s="107"/>
      <c r="E394" s="35"/>
      <c r="F394" s="36"/>
      <c r="G394" s="37"/>
      <c r="H394" s="38"/>
      <c r="I394" s="39"/>
      <c r="J394" s="39"/>
      <c r="K394" s="35"/>
      <c r="L394" s="103"/>
      <c r="M394" s="40"/>
      <c r="O394" s="107"/>
      <c r="P394" s="22"/>
      <c r="Q394" s="23"/>
      <c r="R394" s="107"/>
      <c r="S394" s="107"/>
      <c r="T394" s="107"/>
      <c r="U394" s="107"/>
      <c r="V394" s="107"/>
    </row>
    <row r="395" spans="4:22" s="12" customFormat="1" x14ac:dyDescent="0.2">
      <c r="D395" s="107"/>
      <c r="E395" s="35"/>
      <c r="F395" s="36"/>
      <c r="G395" s="37"/>
      <c r="H395" s="38"/>
      <c r="I395" s="39"/>
      <c r="J395" s="39"/>
      <c r="K395" s="35"/>
      <c r="L395" s="103"/>
      <c r="M395" s="40"/>
      <c r="O395" s="107"/>
      <c r="P395" s="22"/>
      <c r="Q395" s="23"/>
      <c r="R395" s="107"/>
      <c r="S395" s="107"/>
      <c r="T395" s="107"/>
      <c r="U395" s="107"/>
      <c r="V395" s="107"/>
    </row>
    <row r="396" spans="4:22" s="12" customFormat="1" x14ac:dyDescent="0.2">
      <c r="D396" s="107"/>
      <c r="E396" s="35"/>
      <c r="F396" s="36"/>
      <c r="G396" s="37"/>
      <c r="H396" s="38"/>
      <c r="I396" s="39"/>
      <c r="J396" s="39"/>
      <c r="K396" s="35"/>
      <c r="L396" s="103"/>
      <c r="M396" s="40"/>
      <c r="O396" s="107"/>
      <c r="P396" s="22"/>
      <c r="Q396" s="23"/>
      <c r="R396" s="107"/>
      <c r="S396" s="107"/>
      <c r="T396" s="107"/>
      <c r="U396" s="107"/>
      <c r="V396" s="107"/>
    </row>
    <row r="397" spans="4:22" s="12" customFormat="1" x14ac:dyDescent="0.2">
      <c r="D397" s="107"/>
      <c r="E397" s="35"/>
      <c r="F397" s="36"/>
      <c r="G397" s="37"/>
      <c r="H397" s="38"/>
      <c r="I397" s="39"/>
      <c r="J397" s="39"/>
      <c r="K397" s="35"/>
      <c r="L397" s="103"/>
      <c r="M397" s="40"/>
      <c r="O397" s="107"/>
      <c r="P397" s="22"/>
      <c r="Q397" s="23"/>
      <c r="R397" s="107"/>
      <c r="S397" s="107"/>
      <c r="T397" s="107"/>
      <c r="U397" s="107"/>
      <c r="V397" s="107"/>
    </row>
    <row r="398" spans="4:22" s="12" customFormat="1" x14ac:dyDescent="0.2">
      <c r="D398" s="107"/>
      <c r="E398" s="35"/>
      <c r="F398" s="36"/>
      <c r="G398" s="37"/>
      <c r="H398" s="38"/>
      <c r="I398" s="39"/>
      <c r="J398" s="39"/>
      <c r="K398" s="35"/>
      <c r="L398" s="103"/>
      <c r="M398" s="40"/>
      <c r="O398" s="107"/>
      <c r="P398" s="22"/>
      <c r="Q398" s="23"/>
      <c r="R398" s="107"/>
      <c r="S398" s="107"/>
      <c r="T398" s="107"/>
      <c r="U398" s="107"/>
      <c r="V398" s="107"/>
    </row>
    <row r="399" spans="4:22" s="12" customFormat="1" x14ac:dyDescent="0.2">
      <c r="D399" s="107"/>
      <c r="E399" s="35"/>
      <c r="F399" s="36"/>
      <c r="G399" s="37"/>
      <c r="H399" s="38"/>
      <c r="I399" s="39"/>
      <c r="J399" s="39"/>
      <c r="K399" s="35"/>
      <c r="L399" s="103"/>
      <c r="M399" s="40"/>
      <c r="O399" s="107"/>
      <c r="P399" s="22"/>
      <c r="Q399" s="23"/>
      <c r="R399" s="107"/>
      <c r="S399" s="107"/>
      <c r="T399" s="107"/>
      <c r="U399" s="107"/>
      <c r="V399" s="107"/>
    </row>
    <row r="400" spans="4:22" s="12" customFormat="1" x14ac:dyDescent="0.2">
      <c r="D400" s="107"/>
      <c r="E400" s="35"/>
      <c r="F400" s="36"/>
      <c r="G400" s="37"/>
      <c r="H400" s="38"/>
      <c r="I400" s="39"/>
      <c r="J400" s="39"/>
      <c r="K400" s="35"/>
      <c r="L400" s="103"/>
      <c r="M400" s="40"/>
      <c r="O400" s="107"/>
      <c r="P400" s="22"/>
      <c r="Q400" s="23"/>
      <c r="R400" s="107"/>
      <c r="S400" s="107"/>
      <c r="T400" s="107"/>
      <c r="U400" s="107"/>
      <c r="V400" s="107"/>
    </row>
    <row r="401" spans="4:22" s="12" customFormat="1" x14ac:dyDescent="0.2">
      <c r="D401" s="107"/>
      <c r="E401" s="35"/>
      <c r="F401" s="36"/>
      <c r="G401" s="37"/>
      <c r="H401" s="38"/>
      <c r="I401" s="39"/>
      <c r="J401" s="39"/>
      <c r="K401" s="35"/>
      <c r="L401" s="103"/>
      <c r="M401" s="40"/>
      <c r="O401" s="107"/>
      <c r="P401" s="22"/>
      <c r="Q401" s="23"/>
      <c r="R401" s="107"/>
      <c r="S401" s="107"/>
      <c r="T401" s="107"/>
      <c r="U401" s="107"/>
      <c r="V401" s="107"/>
    </row>
    <row r="402" spans="4:22" s="12" customFormat="1" x14ac:dyDescent="0.2">
      <c r="D402" s="107"/>
      <c r="E402" s="35"/>
      <c r="F402" s="36"/>
      <c r="G402" s="37"/>
      <c r="H402" s="38"/>
      <c r="I402" s="39"/>
      <c r="J402" s="39"/>
      <c r="K402" s="35"/>
      <c r="L402" s="103"/>
      <c r="M402" s="40"/>
      <c r="O402" s="107"/>
      <c r="P402" s="22"/>
      <c r="Q402" s="23"/>
      <c r="R402" s="107"/>
      <c r="S402" s="107"/>
      <c r="T402" s="107"/>
      <c r="U402" s="107"/>
      <c r="V402" s="107"/>
    </row>
    <row r="403" spans="4:22" s="12" customFormat="1" x14ac:dyDescent="0.2">
      <c r="D403" s="107"/>
      <c r="E403" s="35"/>
      <c r="F403" s="36"/>
      <c r="G403" s="37"/>
      <c r="H403" s="38"/>
      <c r="I403" s="39"/>
      <c r="J403" s="39"/>
      <c r="K403" s="35"/>
      <c r="L403" s="103"/>
      <c r="M403" s="40"/>
      <c r="O403" s="107"/>
      <c r="P403" s="22"/>
      <c r="Q403" s="23"/>
      <c r="R403" s="107"/>
      <c r="S403" s="107"/>
      <c r="T403" s="107"/>
      <c r="U403" s="107"/>
      <c r="V403" s="107"/>
    </row>
    <row r="404" spans="4:22" s="12" customFormat="1" x14ac:dyDescent="0.2">
      <c r="D404" s="107"/>
      <c r="E404" s="35"/>
      <c r="F404" s="36"/>
      <c r="G404" s="37"/>
      <c r="H404" s="38"/>
      <c r="I404" s="39"/>
      <c r="J404" s="39"/>
      <c r="K404" s="35"/>
      <c r="L404" s="103"/>
      <c r="M404" s="40"/>
      <c r="O404" s="107"/>
      <c r="P404" s="22"/>
      <c r="Q404" s="23"/>
      <c r="R404" s="107"/>
      <c r="S404" s="107"/>
      <c r="T404" s="107"/>
      <c r="U404" s="107"/>
      <c r="V404" s="107"/>
    </row>
    <row r="405" spans="4:22" s="12" customFormat="1" x14ac:dyDescent="0.2">
      <c r="D405" s="107"/>
      <c r="E405" s="35"/>
      <c r="F405" s="36"/>
      <c r="G405" s="37"/>
      <c r="H405" s="38"/>
      <c r="I405" s="39"/>
      <c r="J405" s="39"/>
      <c r="K405" s="35"/>
      <c r="L405" s="103"/>
      <c r="M405" s="40"/>
      <c r="O405" s="107"/>
      <c r="P405" s="22"/>
      <c r="Q405" s="23"/>
      <c r="R405" s="107"/>
      <c r="S405" s="107"/>
      <c r="T405" s="107"/>
      <c r="U405" s="107"/>
      <c r="V405" s="107"/>
    </row>
    <row r="406" spans="4:22" s="12" customFormat="1" x14ac:dyDescent="0.2">
      <c r="D406" s="107"/>
      <c r="E406" s="35"/>
      <c r="F406" s="36"/>
      <c r="G406" s="37"/>
      <c r="H406" s="38"/>
      <c r="I406" s="39"/>
      <c r="J406" s="39"/>
      <c r="K406" s="35"/>
      <c r="L406" s="103"/>
      <c r="M406" s="40"/>
      <c r="O406" s="107"/>
      <c r="P406" s="22"/>
      <c r="Q406" s="23"/>
      <c r="R406" s="107"/>
      <c r="S406" s="107"/>
      <c r="T406" s="107"/>
      <c r="U406" s="107"/>
      <c r="V406" s="107"/>
    </row>
    <row r="407" spans="4:22" s="12" customFormat="1" x14ac:dyDescent="0.2">
      <c r="D407" s="107"/>
      <c r="E407" s="35"/>
      <c r="F407" s="36"/>
      <c r="G407" s="37"/>
      <c r="H407" s="38"/>
      <c r="I407" s="39"/>
      <c r="J407" s="39"/>
      <c r="K407" s="35"/>
      <c r="L407" s="103"/>
      <c r="M407" s="40"/>
      <c r="O407" s="107"/>
      <c r="P407" s="22"/>
      <c r="Q407" s="23"/>
      <c r="R407" s="107"/>
      <c r="S407" s="107"/>
      <c r="T407" s="107"/>
      <c r="U407" s="107"/>
      <c r="V407" s="107"/>
    </row>
    <row r="408" spans="4:22" s="12" customFormat="1" x14ac:dyDescent="0.2">
      <c r="D408" s="107"/>
      <c r="E408" s="35"/>
      <c r="F408" s="36"/>
      <c r="G408" s="37"/>
      <c r="H408" s="38"/>
      <c r="I408" s="39"/>
      <c r="J408" s="39"/>
      <c r="K408" s="35"/>
      <c r="L408" s="103"/>
      <c r="M408" s="40"/>
      <c r="O408" s="107"/>
      <c r="P408" s="22"/>
      <c r="Q408" s="23"/>
      <c r="R408" s="107"/>
      <c r="S408" s="107"/>
      <c r="T408" s="107"/>
      <c r="U408" s="107"/>
      <c r="V408" s="107"/>
    </row>
    <row r="409" spans="4:22" s="12" customFormat="1" x14ac:dyDescent="0.2">
      <c r="D409" s="107"/>
      <c r="E409" s="35"/>
      <c r="F409" s="36"/>
      <c r="G409" s="37"/>
      <c r="H409" s="38"/>
      <c r="I409" s="39"/>
      <c r="J409" s="39"/>
      <c r="K409" s="35"/>
      <c r="L409" s="103"/>
      <c r="M409" s="40"/>
      <c r="O409" s="107"/>
      <c r="P409" s="22"/>
      <c r="Q409" s="23"/>
      <c r="R409" s="107"/>
      <c r="S409" s="107"/>
      <c r="T409" s="107"/>
      <c r="U409" s="107"/>
      <c r="V409" s="107"/>
    </row>
    <row r="410" spans="4:22" s="12" customFormat="1" x14ac:dyDescent="0.2">
      <c r="D410" s="107"/>
      <c r="E410" s="35"/>
      <c r="F410" s="36"/>
      <c r="G410" s="37"/>
      <c r="H410" s="38"/>
      <c r="I410" s="39"/>
      <c r="J410" s="39"/>
      <c r="K410" s="35"/>
      <c r="L410" s="103"/>
      <c r="M410" s="40"/>
      <c r="O410" s="107"/>
      <c r="P410" s="22"/>
      <c r="Q410" s="23"/>
      <c r="R410" s="107"/>
      <c r="S410" s="107"/>
      <c r="T410" s="107"/>
      <c r="U410" s="107"/>
      <c r="V410" s="107"/>
    </row>
    <row r="411" spans="4:22" s="12" customFormat="1" x14ac:dyDescent="0.2">
      <c r="D411" s="107"/>
      <c r="E411" s="35"/>
      <c r="F411" s="36"/>
      <c r="G411" s="37"/>
      <c r="H411" s="38"/>
      <c r="I411" s="39"/>
      <c r="J411" s="39"/>
      <c r="K411" s="35"/>
      <c r="L411" s="103"/>
      <c r="M411" s="40"/>
      <c r="O411" s="107"/>
      <c r="P411" s="22"/>
      <c r="Q411" s="23"/>
      <c r="R411" s="107"/>
      <c r="S411" s="107"/>
      <c r="T411" s="107"/>
      <c r="U411" s="107"/>
      <c r="V411" s="107"/>
    </row>
    <row r="412" spans="4:22" s="12" customFormat="1" x14ac:dyDescent="0.2">
      <c r="D412" s="107"/>
      <c r="E412" s="35"/>
      <c r="F412" s="36"/>
      <c r="G412" s="37"/>
      <c r="H412" s="38"/>
      <c r="I412" s="39"/>
      <c r="J412" s="39"/>
      <c r="K412" s="35"/>
      <c r="L412" s="103"/>
      <c r="M412" s="40"/>
      <c r="O412" s="107"/>
      <c r="P412" s="22"/>
      <c r="Q412" s="23"/>
      <c r="R412" s="107"/>
      <c r="S412" s="107"/>
      <c r="T412" s="107"/>
      <c r="U412" s="107"/>
      <c r="V412" s="107"/>
    </row>
    <row r="413" spans="4:22" s="12" customFormat="1" x14ac:dyDescent="0.2">
      <c r="D413" s="107"/>
      <c r="E413" s="35"/>
      <c r="F413" s="36"/>
      <c r="G413" s="37"/>
      <c r="H413" s="38"/>
      <c r="I413" s="39"/>
      <c r="J413" s="39"/>
      <c r="K413" s="35"/>
      <c r="L413" s="103"/>
      <c r="M413" s="40"/>
      <c r="O413" s="107"/>
      <c r="P413" s="22"/>
      <c r="Q413" s="23"/>
      <c r="R413" s="107"/>
      <c r="S413" s="107"/>
      <c r="T413" s="107"/>
      <c r="U413" s="107"/>
      <c r="V413" s="107"/>
    </row>
    <row r="414" spans="4:22" s="12" customFormat="1" x14ac:dyDescent="0.2">
      <c r="D414" s="107"/>
      <c r="E414" s="35"/>
      <c r="F414" s="36"/>
      <c r="G414" s="37"/>
      <c r="H414" s="38"/>
      <c r="I414" s="39"/>
      <c r="J414" s="39"/>
      <c r="K414" s="35"/>
      <c r="L414" s="103"/>
      <c r="M414" s="40"/>
      <c r="O414" s="107"/>
      <c r="P414" s="22"/>
      <c r="Q414" s="23"/>
      <c r="R414" s="107"/>
      <c r="S414" s="107"/>
      <c r="T414" s="107"/>
      <c r="U414" s="107"/>
      <c r="V414" s="107"/>
    </row>
    <row r="415" spans="4:22" s="12" customFormat="1" x14ac:dyDescent="0.2">
      <c r="D415" s="107"/>
      <c r="E415" s="35"/>
      <c r="F415" s="36"/>
      <c r="G415" s="37"/>
      <c r="H415" s="38"/>
      <c r="I415" s="39"/>
      <c r="J415" s="39"/>
      <c r="K415" s="35"/>
      <c r="L415" s="103"/>
      <c r="M415" s="40"/>
      <c r="O415" s="107"/>
      <c r="P415" s="22"/>
      <c r="Q415" s="23"/>
      <c r="R415" s="107"/>
      <c r="S415" s="107"/>
      <c r="T415" s="107"/>
      <c r="U415" s="107"/>
      <c r="V415" s="107"/>
    </row>
    <row r="416" spans="4:22" s="12" customFormat="1" x14ac:dyDescent="0.2">
      <c r="D416" s="107"/>
      <c r="E416" s="35"/>
      <c r="F416" s="36"/>
      <c r="G416" s="37"/>
      <c r="H416" s="38"/>
      <c r="I416" s="39"/>
      <c r="J416" s="39"/>
      <c r="K416" s="35"/>
      <c r="L416" s="103"/>
      <c r="M416" s="40"/>
      <c r="O416" s="107"/>
      <c r="P416" s="22"/>
      <c r="Q416" s="23"/>
      <c r="R416" s="107"/>
      <c r="S416" s="107"/>
      <c r="T416" s="107"/>
      <c r="U416" s="107"/>
      <c r="V416" s="107"/>
    </row>
    <row r="417" spans="4:22" s="12" customFormat="1" x14ac:dyDescent="0.2">
      <c r="D417" s="107"/>
      <c r="E417" s="35"/>
      <c r="F417" s="36"/>
      <c r="G417" s="37"/>
      <c r="H417" s="38"/>
      <c r="I417" s="39"/>
      <c r="J417" s="39"/>
      <c r="K417" s="35"/>
      <c r="L417" s="103"/>
      <c r="M417" s="40"/>
      <c r="O417" s="107"/>
      <c r="P417" s="22"/>
      <c r="Q417" s="23"/>
      <c r="R417" s="107"/>
      <c r="S417" s="107"/>
      <c r="T417" s="107"/>
      <c r="U417" s="107"/>
      <c r="V417" s="107"/>
    </row>
    <row r="418" spans="4:22" s="12" customFormat="1" x14ac:dyDescent="0.2">
      <c r="D418" s="107"/>
      <c r="E418" s="35"/>
      <c r="F418" s="36"/>
      <c r="G418" s="37"/>
      <c r="H418" s="38"/>
      <c r="I418" s="39"/>
      <c r="J418" s="39"/>
      <c r="K418" s="35"/>
      <c r="L418" s="103"/>
      <c r="M418" s="40"/>
      <c r="O418" s="107"/>
      <c r="P418" s="22"/>
      <c r="Q418" s="23"/>
      <c r="R418" s="107"/>
      <c r="S418" s="107"/>
      <c r="T418" s="107"/>
      <c r="U418" s="107"/>
      <c r="V418" s="107"/>
    </row>
    <row r="419" spans="4:22" s="12" customFormat="1" x14ac:dyDescent="0.2">
      <c r="D419" s="107"/>
      <c r="E419" s="35"/>
      <c r="F419" s="36"/>
      <c r="G419" s="37"/>
      <c r="H419" s="38"/>
      <c r="I419" s="39"/>
      <c r="J419" s="39"/>
      <c r="K419" s="35"/>
      <c r="L419" s="103"/>
      <c r="M419" s="40"/>
      <c r="O419" s="107"/>
      <c r="P419" s="22"/>
      <c r="Q419" s="23"/>
      <c r="R419" s="107"/>
      <c r="S419" s="107"/>
      <c r="T419" s="107"/>
      <c r="U419" s="107"/>
      <c r="V419" s="107"/>
    </row>
    <row r="420" spans="4:22" s="12" customFormat="1" x14ac:dyDescent="0.2">
      <c r="D420" s="107"/>
      <c r="E420" s="35"/>
      <c r="F420" s="36"/>
      <c r="G420" s="37"/>
      <c r="H420" s="38"/>
      <c r="I420" s="39"/>
      <c r="J420" s="39"/>
      <c r="K420" s="35"/>
      <c r="L420" s="103"/>
      <c r="M420" s="40"/>
      <c r="O420" s="107"/>
      <c r="P420" s="22"/>
      <c r="Q420" s="23"/>
      <c r="R420" s="107"/>
      <c r="S420" s="107"/>
      <c r="T420" s="107"/>
      <c r="U420" s="107"/>
      <c r="V420" s="107"/>
    </row>
    <row r="421" spans="4:22" s="12" customFormat="1" x14ac:dyDescent="0.2">
      <c r="D421" s="107"/>
      <c r="E421" s="35"/>
      <c r="F421" s="36"/>
      <c r="G421" s="37"/>
      <c r="H421" s="38"/>
      <c r="I421" s="39"/>
      <c r="J421" s="39"/>
      <c r="K421" s="35"/>
      <c r="L421" s="103"/>
      <c r="M421" s="40"/>
      <c r="O421" s="107"/>
      <c r="P421" s="22"/>
      <c r="Q421" s="23"/>
      <c r="R421" s="107"/>
      <c r="S421" s="107"/>
      <c r="T421" s="107"/>
      <c r="U421" s="107"/>
      <c r="V421" s="107"/>
    </row>
    <row r="422" spans="4:22" s="12" customFormat="1" x14ac:dyDescent="0.2">
      <c r="D422" s="107"/>
      <c r="E422" s="35"/>
      <c r="F422" s="36"/>
      <c r="G422" s="37"/>
      <c r="H422" s="38"/>
      <c r="I422" s="39"/>
      <c r="J422" s="39"/>
      <c r="K422" s="35"/>
      <c r="L422" s="103"/>
      <c r="M422" s="40"/>
      <c r="O422" s="107"/>
      <c r="P422" s="22"/>
      <c r="Q422" s="23"/>
      <c r="R422" s="107"/>
      <c r="S422" s="107"/>
      <c r="T422" s="107"/>
      <c r="U422" s="107"/>
      <c r="V422" s="107"/>
    </row>
    <row r="423" spans="4:22" s="12" customFormat="1" x14ac:dyDescent="0.2">
      <c r="D423" s="107"/>
      <c r="E423" s="35"/>
      <c r="F423" s="36"/>
      <c r="G423" s="37"/>
      <c r="H423" s="38"/>
      <c r="I423" s="39"/>
      <c r="J423" s="39"/>
      <c r="K423" s="35"/>
      <c r="L423" s="103"/>
      <c r="M423" s="40"/>
      <c r="O423" s="107"/>
      <c r="P423" s="22"/>
      <c r="Q423" s="23"/>
      <c r="R423" s="107"/>
      <c r="S423" s="107"/>
      <c r="T423" s="107"/>
      <c r="U423" s="107"/>
      <c r="V423" s="107"/>
    </row>
    <row r="424" spans="4:22" s="12" customFormat="1" x14ac:dyDescent="0.2">
      <c r="D424" s="107"/>
      <c r="E424" s="35"/>
      <c r="F424" s="36"/>
      <c r="G424" s="37"/>
      <c r="H424" s="38"/>
      <c r="I424" s="39"/>
      <c r="J424" s="39"/>
      <c r="K424" s="35"/>
      <c r="L424" s="103"/>
      <c r="M424" s="40"/>
      <c r="O424" s="107"/>
      <c r="P424" s="22"/>
      <c r="Q424" s="23"/>
      <c r="R424" s="107"/>
      <c r="S424" s="107"/>
      <c r="T424" s="107"/>
      <c r="U424" s="107"/>
      <c r="V424" s="107"/>
    </row>
    <row r="425" spans="4:22" s="12" customFormat="1" x14ac:dyDescent="0.2">
      <c r="D425" s="107"/>
      <c r="E425" s="35"/>
      <c r="F425" s="36"/>
      <c r="G425" s="37"/>
      <c r="H425" s="38"/>
      <c r="I425" s="39"/>
      <c r="J425" s="39"/>
      <c r="K425" s="35"/>
      <c r="L425" s="103"/>
      <c r="M425" s="40"/>
      <c r="O425" s="107"/>
      <c r="P425" s="22"/>
      <c r="Q425" s="23"/>
      <c r="R425" s="107"/>
      <c r="S425" s="107"/>
      <c r="T425" s="107"/>
      <c r="U425" s="107"/>
      <c r="V425" s="107"/>
    </row>
    <row r="426" spans="4:22" s="12" customFormat="1" x14ac:dyDescent="0.2">
      <c r="D426" s="107"/>
      <c r="E426" s="35"/>
      <c r="F426" s="36"/>
      <c r="G426" s="37"/>
      <c r="H426" s="38"/>
      <c r="I426" s="39"/>
      <c r="J426" s="39"/>
      <c r="K426" s="35"/>
      <c r="L426" s="103"/>
      <c r="M426" s="40"/>
      <c r="O426" s="107"/>
      <c r="P426" s="22"/>
      <c r="Q426" s="23"/>
      <c r="R426" s="107"/>
      <c r="S426" s="107"/>
      <c r="T426" s="107"/>
      <c r="U426" s="107"/>
      <c r="V426" s="107"/>
    </row>
    <row r="427" spans="4:22" s="12" customFormat="1" x14ac:dyDescent="0.2">
      <c r="D427" s="107"/>
      <c r="E427" s="35"/>
      <c r="F427" s="36"/>
      <c r="G427" s="37"/>
      <c r="H427" s="38"/>
      <c r="I427" s="39"/>
      <c r="J427" s="39"/>
      <c r="K427" s="35"/>
      <c r="L427" s="103"/>
      <c r="M427" s="40"/>
      <c r="O427" s="107"/>
      <c r="P427" s="22"/>
      <c r="Q427" s="23"/>
      <c r="R427" s="107"/>
      <c r="S427" s="107"/>
      <c r="T427" s="107"/>
      <c r="U427" s="107"/>
      <c r="V427" s="107"/>
    </row>
    <row r="428" spans="4:22" s="12" customFormat="1" x14ac:dyDescent="0.2">
      <c r="D428" s="107"/>
      <c r="E428" s="35"/>
      <c r="F428" s="36"/>
      <c r="G428" s="37"/>
      <c r="H428" s="38"/>
      <c r="I428" s="39"/>
      <c r="J428" s="39"/>
      <c r="K428" s="35"/>
      <c r="L428" s="103"/>
      <c r="M428" s="40"/>
      <c r="O428" s="107"/>
      <c r="P428" s="22"/>
      <c r="Q428" s="23"/>
      <c r="R428" s="107"/>
      <c r="S428" s="107"/>
      <c r="T428" s="107"/>
      <c r="U428" s="107"/>
      <c r="V428" s="107"/>
    </row>
    <row r="429" spans="4:22" s="12" customFormat="1" x14ac:dyDescent="0.2">
      <c r="D429" s="107"/>
      <c r="E429" s="35"/>
      <c r="F429" s="36"/>
      <c r="G429" s="37"/>
      <c r="H429" s="38"/>
      <c r="I429" s="39"/>
      <c r="J429" s="39"/>
      <c r="K429" s="35"/>
      <c r="L429" s="103"/>
      <c r="M429" s="40"/>
      <c r="O429" s="107"/>
      <c r="P429" s="22"/>
      <c r="Q429" s="23"/>
      <c r="R429" s="107"/>
      <c r="S429" s="107"/>
      <c r="T429" s="107"/>
      <c r="U429" s="107"/>
      <c r="V429" s="107"/>
    </row>
    <row r="430" spans="4:22" s="12" customFormat="1" x14ac:dyDescent="0.2">
      <c r="D430" s="107"/>
      <c r="E430" s="35"/>
      <c r="F430" s="36"/>
      <c r="G430" s="37"/>
      <c r="H430" s="38"/>
      <c r="I430" s="39"/>
      <c r="J430" s="39"/>
      <c r="K430" s="35"/>
      <c r="L430" s="103"/>
      <c r="M430" s="40"/>
      <c r="O430" s="107"/>
      <c r="P430" s="22"/>
      <c r="Q430" s="23"/>
      <c r="R430" s="107"/>
      <c r="S430" s="107"/>
      <c r="T430" s="107"/>
      <c r="U430" s="107"/>
      <c r="V430" s="107"/>
    </row>
    <row r="431" spans="4:22" s="12" customFormat="1" x14ac:dyDescent="0.2">
      <c r="D431" s="107"/>
      <c r="E431" s="35"/>
      <c r="F431" s="36"/>
      <c r="G431" s="37"/>
      <c r="H431" s="38"/>
      <c r="I431" s="39"/>
      <c r="J431" s="39"/>
      <c r="K431" s="35"/>
      <c r="L431" s="103"/>
      <c r="M431" s="40"/>
      <c r="O431" s="107"/>
      <c r="P431" s="22"/>
      <c r="Q431" s="23"/>
      <c r="R431" s="107"/>
      <c r="S431" s="107"/>
      <c r="T431" s="107"/>
      <c r="U431" s="107"/>
      <c r="V431" s="107"/>
    </row>
    <row r="432" spans="4:22" s="12" customFormat="1" x14ac:dyDescent="0.2">
      <c r="D432" s="107"/>
      <c r="E432" s="35"/>
      <c r="F432" s="36"/>
      <c r="G432" s="37"/>
      <c r="H432" s="38"/>
      <c r="I432" s="39"/>
      <c r="J432" s="39"/>
      <c r="K432" s="35"/>
      <c r="L432" s="103"/>
      <c r="M432" s="40"/>
      <c r="O432" s="107"/>
      <c r="P432" s="22"/>
      <c r="Q432" s="23"/>
      <c r="R432" s="107"/>
      <c r="S432" s="107"/>
      <c r="T432" s="107"/>
      <c r="U432" s="107"/>
      <c r="V432" s="107"/>
    </row>
    <row r="433" spans="4:22" s="12" customFormat="1" x14ac:dyDescent="0.2">
      <c r="D433" s="107"/>
      <c r="E433" s="35"/>
      <c r="F433" s="36"/>
      <c r="G433" s="37"/>
      <c r="H433" s="38"/>
      <c r="I433" s="39"/>
      <c r="J433" s="39"/>
      <c r="K433" s="35"/>
      <c r="L433" s="103"/>
      <c r="M433" s="40"/>
      <c r="O433" s="107"/>
      <c r="P433" s="22"/>
      <c r="Q433" s="23"/>
      <c r="R433" s="107"/>
      <c r="S433" s="107"/>
      <c r="T433" s="107"/>
      <c r="U433" s="107"/>
      <c r="V433" s="107"/>
    </row>
    <row r="434" spans="4:22" s="12" customFormat="1" x14ac:dyDescent="0.2">
      <c r="D434" s="107"/>
      <c r="E434" s="35"/>
      <c r="F434" s="36"/>
      <c r="G434" s="37"/>
      <c r="H434" s="38"/>
      <c r="I434" s="39"/>
      <c r="J434" s="39"/>
      <c r="K434" s="35"/>
      <c r="L434" s="103"/>
      <c r="M434" s="40"/>
      <c r="O434" s="107"/>
      <c r="P434" s="22"/>
      <c r="Q434" s="23"/>
      <c r="R434" s="107"/>
      <c r="S434" s="107"/>
      <c r="T434" s="107"/>
      <c r="U434" s="107"/>
      <c r="V434" s="107"/>
    </row>
    <row r="435" spans="4:22" s="12" customFormat="1" x14ac:dyDescent="0.2">
      <c r="D435" s="107"/>
      <c r="E435" s="35"/>
      <c r="F435" s="36"/>
      <c r="G435" s="37"/>
      <c r="H435" s="38"/>
      <c r="I435" s="39"/>
      <c r="J435" s="39"/>
      <c r="K435" s="35"/>
      <c r="L435" s="103"/>
      <c r="M435" s="40"/>
      <c r="O435" s="107"/>
      <c r="P435" s="22"/>
      <c r="Q435" s="23"/>
      <c r="R435" s="107"/>
      <c r="S435" s="107"/>
      <c r="T435" s="107"/>
      <c r="U435" s="107"/>
      <c r="V435" s="107"/>
    </row>
    <row r="436" spans="4:22" s="12" customFormat="1" x14ac:dyDescent="0.2">
      <c r="D436" s="107"/>
      <c r="E436" s="35"/>
      <c r="F436" s="36"/>
      <c r="G436" s="37"/>
      <c r="H436" s="38"/>
      <c r="I436" s="39"/>
      <c r="J436" s="39"/>
      <c r="K436" s="35"/>
      <c r="L436" s="103"/>
      <c r="M436" s="40"/>
      <c r="O436" s="107"/>
      <c r="P436" s="22"/>
      <c r="Q436" s="23"/>
      <c r="R436" s="107"/>
      <c r="S436" s="107"/>
      <c r="T436" s="107"/>
      <c r="U436" s="107"/>
      <c r="V436" s="107"/>
    </row>
    <row r="437" spans="4:22" s="12" customFormat="1" x14ac:dyDescent="0.2">
      <c r="D437" s="107"/>
      <c r="E437" s="35"/>
      <c r="F437" s="36"/>
      <c r="G437" s="37"/>
      <c r="H437" s="38"/>
      <c r="I437" s="39"/>
      <c r="J437" s="39"/>
      <c r="K437" s="35"/>
      <c r="L437" s="103"/>
      <c r="M437" s="40"/>
      <c r="O437" s="107"/>
      <c r="P437" s="22"/>
      <c r="Q437" s="23"/>
      <c r="R437" s="107"/>
      <c r="S437" s="107"/>
      <c r="T437" s="107"/>
      <c r="U437" s="107"/>
      <c r="V437" s="107"/>
    </row>
    <row r="438" spans="4:22" s="12" customFormat="1" x14ac:dyDescent="0.2">
      <c r="D438" s="107"/>
      <c r="E438" s="35"/>
      <c r="F438" s="36"/>
      <c r="G438" s="37"/>
      <c r="H438" s="38"/>
      <c r="I438" s="39"/>
      <c r="J438" s="39"/>
      <c r="K438" s="35"/>
      <c r="L438" s="103"/>
      <c r="M438" s="40"/>
      <c r="O438" s="107"/>
      <c r="P438" s="22"/>
      <c r="Q438" s="23"/>
      <c r="R438" s="107"/>
      <c r="S438" s="107"/>
      <c r="T438" s="107"/>
      <c r="U438" s="107"/>
      <c r="V438" s="107"/>
    </row>
    <row r="439" spans="4:22" s="12" customFormat="1" x14ac:dyDescent="0.2">
      <c r="D439" s="107"/>
      <c r="E439" s="35"/>
      <c r="F439" s="36"/>
      <c r="G439" s="37"/>
      <c r="H439" s="38"/>
      <c r="I439" s="39"/>
      <c r="J439" s="39"/>
      <c r="K439" s="35"/>
      <c r="L439" s="103"/>
      <c r="M439" s="40"/>
      <c r="O439" s="107"/>
      <c r="P439" s="22"/>
      <c r="Q439" s="23"/>
      <c r="R439" s="107"/>
      <c r="S439" s="107"/>
      <c r="T439" s="107"/>
      <c r="U439" s="107"/>
      <c r="V439" s="107"/>
    </row>
    <row r="440" spans="4:22" s="12" customFormat="1" x14ac:dyDescent="0.2">
      <c r="D440" s="107"/>
      <c r="E440" s="35"/>
      <c r="F440" s="36"/>
      <c r="G440" s="37"/>
      <c r="H440" s="38"/>
      <c r="I440" s="39"/>
      <c r="J440" s="39"/>
      <c r="K440" s="35"/>
      <c r="L440" s="103"/>
      <c r="M440" s="40"/>
      <c r="O440" s="107"/>
      <c r="P440" s="22"/>
      <c r="Q440" s="23"/>
      <c r="R440" s="107"/>
      <c r="S440" s="107"/>
      <c r="T440" s="107"/>
      <c r="U440" s="107"/>
      <c r="V440" s="107"/>
    </row>
    <row r="441" spans="4:22" s="12" customFormat="1" x14ac:dyDescent="0.2">
      <c r="D441" s="107"/>
      <c r="E441" s="35"/>
      <c r="F441" s="36"/>
      <c r="G441" s="37"/>
      <c r="H441" s="38"/>
      <c r="I441" s="39"/>
      <c r="J441" s="39"/>
      <c r="K441" s="35"/>
      <c r="L441" s="103"/>
      <c r="M441" s="40"/>
      <c r="O441" s="107"/>
      <c r="P441" s="22"/>
      <c r="Q441" s="23"/>
      <c r="R441" s="107"/>
      <c r="S441" s="107"/>
      <c r="T441" s="107"/>
      <c r="U441" s="107"/>
      <c r="V441" s="107"/>
    </row>
    <row r="442" spans="4:22" s="12" customFormat="1" x14ac:dyDescent="0.2">
      <c r="D442" s="107"/>
      <c r="E442" s="35"/>
      <c r="F442" s="36"/>
      <c r="G442" s="37"/>
      <c r="H442" s="38"/>
      <c r="I442" s="39"/>
      <c r="J442" s="39"/>
      <c r="K442" s="35"/>
      <c r="L442" s="103"/>
      <c r="M442" s="40"/>
      <c r="O442" s="107"/>
      <c r="P442" s="22"/>
      <c r="Q442" s="23"/>
      <c r="R442" s="107"/>
      <c r="S442" s="107"/>
      <c r="T442" s="107"/>
      <c r="U442" s="107"/>
      <c r="V442" s="107"/>
    </row>
    <row r="443" spans="4:22" s="12" customFormat="1" x14ac:dyDescent="0.2">
      <c r="D443" s="107"/>
      <c r="E443" s="35"/>
      <c r="F443" s="36"/>
      <c r="G443" s="37"/>
      <c r="H443" s="38"/>
      <c r="I443" s="39"/>
      <c r="J443" s="39"/>
      <c r="K443" s="35"/>
      <c r="L443" s="103"/>
      <c r="M443" s="40"/>
      <c r="O443" s="107"/>
      <c r="P443" s="22"/>
      <c r="Q443" s="23"/>
      <c r="R443" s="107"/>
      <c r="S443" s="107"/>
      <c r="T443" s="107"/>
      <c r="U443" s="107"/>
      <c r="V443" s="107"/>
    </row>
    <row r="444" spans="4:22" s="12" customFormat="1" x14ac:dyDescent="0.2">
      <c r="D444" s="107"/>
      <c r="E444" s="35"/>
      <c r="F444" s="36"/>
      <c r="G444" s="37"/>
      <c r="H444" s="38"/>
      <c r="I444" s="39"/>
      <c r="J444" s="39"/>
      <c r="K444" s="35"/>
      <c r="L444" s="103"/>
      <c r="M444" s="40"/>
      <c r="O444" s="107"/>
      <c r="P444" s="22"/>
      <c r="Q444" s="23"/>
      <c r="R444" s="107"/>
      <c r="S444" s="107"/>
      <c r="T444" s="107"/>
      <c r="U444" s="107"/>
      <c r="V444" s="107"/>
    </row>
    <row r="445" spans="4:22" s="12" customFormat="1" x14ac:dyDescent="0.2">
      <c r="D445" s="107"/>
      <c r="E445" s="35"/>
      <c r="F445" s="36"/>
      <c r="G445" s="37"/>
      <c r="H445" s="38"/>
      <c r="I445" s="39"/>
      <c r="J445" s="39"/>
      <c r="K445" s="35"/>
      <c r="L445" s="103"/>
      <c r="M445" s="40"/>
      <c r="O445" s="107"/>
      <c r="P445" s="22"/>
      <c r="Q445" s="23"/>
      <c r="R445" s="107"/>
      <c r="S445" s="107"/>
      <c r="T445" s="107"/>
      <c r="U445" s="107"/>
      <c r="V445" s="107"/>
    </row>
    <row r="446" spans="4:22" s="12" customFormat="1" x14ac:dyDescent="0.2">
      <c r="D446" s="107"/>
      <c r="E446" s="35"/>
      <c r="F446" s="36"/>
      <c r="G446" s="37"/>
      <c r="H446" s="38"/>
      <c r="I446" s="39"/>
      <c r="J446" s="39"/>
      <c r="K446" s="35"/>
      <c r="L446" s="103"/>
      <c r="M446" s="40"/>
      <c r="O446" s="107"/>
      <c r="P446" s="22"/>
      <c r="Q446" s="23"/>
      <c r="R446" s="107"/>
      <c r="S446" s="107"/>
      <c r="T446" s="107"/>
      <c r="U446" s="107"/>
      <c r="V446" s="107"/>
    </row>
    <row r="447" spans="4:22" s="12" customFormat="1" x14ac:dyDescent="0.2">
      <c r="D447" s="107"/>
      <c r="E447" s="35"/>
      <c r="F447" s="36"/>
      <c r="G447" s="37"/>
      <c r="H447" s="38"/>
      <c r="I447" s="39"/>
      <c r="J447" s="39"/>
      <c r="K447" s="35"/>
      <c r="L447" s="103"/>
      <c r="M447" s="40"/>
      <c r="O447" s="107"/>
      <c r="P447" s="22"/>
      <c r="Q447" s="23"/>
      <c r="R447" s="107"/>
      <c r="S447" s="107"/>
      <c r="T447" s="107"/>
      <c r="U447" s="107"/>
      <c r="V447" s="107"/>
    </row>
    <row r="448" spans="4:22" s="12" customFormat="1" x14ac:dyDescent="0.2">
      <c r="D448" s="107"/>
      <c r="E448" s="35"/>
      <c r="F448" s="36"/>
      <c r="G448" s="37"/>
      <c r="H448" s="38"/>
      <c r="I448" s="39"/>
      <c r="J448" s="39"/>
      <c r="K448" s="35"/>
      <c r="L448" s="103"/>
      <c r="M448" s="40"/>
      <c r="O448" s="107"/>
      <c r="P448" s="22"/>
      <c r="Q448" s="23"/>
      <c r="R448" s="107"/>
      <c r="S448" s="107"/>
      <c r="T448" s="107"/>
      <c r="U448" s="107"/>
      <c r="V448" s="107"/>
    </row>
    <row r="449" spans="4:22" s="12" customFormat="1" x14ac:dyDescent="0.2">
      <c r="D449" s="107"/>
      <c r="E449" s="35"/>
      <c r="F449" s="36"/>
      <c r="G449" s="37"/>
      <c r="H449" s="38"/>
      <c r="I449" s="39"/>
      <c r="J449" s="39"/>
      <c r="K449" s="35"/>
      <c r="L449" s="103"/>
      <c r="M449" s="40"/>
      <c r="O449" s="107"/>
      <c r="P449" s="22"/>
      <c r="Q449" s="23"/>
      <c r="R449" s="107"/>
      <c r="S449" s="107"/>
      <c r="T449" s="107"/>
      <c r="U449" s="107"/>
      <c r="V449" s="107"/>
    </row>
    <row r="450" spans="4:22" s="12" customFormat="1" x14ac:dyDescent="0.2">
      <c r="D450" s="107"/>
      <c r="E450" s="35"/>
      <c r="F450" s="36"/>
      <c r="G450" s="37"/>
      <c r="H450" s="38"/>
      <c r="I450" s="39"/>
      <c r="J450" s="39"/>
      <c r="K450" s="35"/>
      <c r="L450" s="103"/>
      <c r="M450" s="40"/>
      <c r="O450" s="107"/>
      <c r="P450" s="22"/>
      <c r="Q450" s="23"/>
      <c r="R450" s="107"/>
      <c r="S450" s="107"/>
      <c r="T450" s="107"/>
      <c r="U450" s="107"/>
      <c r="V450" s="107"/>
    </row>
    <row r="451" spans="4:22" s="12" customFormat="1" x14ac:dyDescent="0.2">
      <c r="D451" s="107"/>
      <c r="E451" s="35"/>
      <c r="F451" s="36"/>
      <c r="G451" s="37"/>
      <c r="H451" s="38"/>
      <c r="I451" s="39"/>
      <c r="J451" s="39"/>
      <c r="K451" s="35"/>
      <c r="L451" s="103"/>
      <c r="M451" s="40"/>
      <c r="O451" s="107"/>
      <c r="P451" s="22"/>
      <c r="Q451" s="23"/>
      <c r="R451" s="107"/>
      <c r="S451" s="107"/>
      <c r="T451" s="107"/>
      <c r="U451" s="107"/>
      <c r="V451" s="107"/>
    </row>
    <row r="452" spans="4:22" s="12" customFormat="1" x14ac:dyDescent="0.2">
      <c r="D452" s="107"/>
      <c r="E452" s="35"/>
      <c r="F452" s="36"/>
      <c r="G452" s="37"/>
      <c r="H452" s="38"/>
      <c r="I452" s="39"/>
      <c r="J452" s="39"/>
      <c r="K452" s="35"/>
      <c r="L452" s="103"/>
      <c r="M452" s="40"/>
      <c r="O452" s="107"/>
      <c r="P452" s="22"/>
      <c r="Q452" s="23"/>
      <c r="R452" s="107"/>
      <c r="S452" s="107"/>
      <c r="T452" s="107"/>
      <c r="U452" s="107"/>
      <c r="V452" s="107"/>
    </row>
    <row r="453" spans="4:22" s="12" customFormat="1" x14ac:dyDescent="0.2">
      <c r="D453" s="107"/>
      <c r="E453" s="35"/>
      <c r="F453" s="36"/>
      <c r="G453" s="37"/>
      <c r="H453" s="38"/>
      <c r="I453" s="39"/>
      <c r="J453" s="39"/>
      <c r="K453" s="35"/>
      <c r="L453" s="103"/>
      <c r="M453" s="40"/>
      <c r="O453" s="107"/>
      <c r="P453" s="22"/>
      <c r="Q453" s="23"/>
      <c r="R453" s="107"/>
      <c r="S453" s="107"/>
      <c r="T453" s="107"/>
      <c r="U453" s="107"/>
      <c r="V453" s="107"/>
    </row>
    <row r="454" spans="4:22" s="12" customFormat="1" x14ac:dyDescent="0.2">
      <c r="D454" s="107"/>
      <c r="E454" s="35"/>
      <c r="F454" s="36"/>
      <c r="G454" s="37"/>
      <c r="H454" s="38"/>
      <c r="I454" s="39"/>
      <c r="J454" s="39"/>
      <c r="K454" s="35"/>
      <c r="L454" s="103"/>
      <c r="M454" s="40"/>
      <c r="O454" s="107"/>
      <c r="P454" s="22"/>
      <c r="Q454" s="23"/>
      <c r="R454" s="107"/>
      <c r="S454" s="107"/>
      <c r="T454" s="107"/>
      <c r="U454" s="107"/>
      <c r="V454" s="107"/>
    </row>
    <row r="455" spans="4:22" s="12" customFormat="1" x14ac:dyDescent="0.2">
      <c r="D455" s="107"/>
      <c r="E455" s="35"/>
      <c r="F455" s="36"/>
      <c r="G455" s="37"/>
      <c r="H455" s="38"/>
      <c r="I455" s="39"/>
      <c r="J455" s="39"/>
      <c r="K455" s="35"/>
      <c r="L455" s="103"/>
      <c r="M455" s="40"/>
      <c r="O455" s="107"/>
      <c r="P455" s="22"/>
      <c r="Q455" s="23"/>
      <c r="R455" s="107"/>
      <c r="S455" s="107"/>
      <c r="T455" s="107"/>
      <c r="U455" s="107"/>
      <c r="V455" s="107"/>
    </row>
    <row r="456" spans="4:22" s="12" customFormat="1" x14ac:dyDescent="0.2">
      <c r="D456" s="107"/>
      <c r="E456" s="35"/>
      <c r="F456" s="36"/>
      <c r="G456" s="37"/>
      <c r="H456" s="38"/>
      <c r="I456" s="39"/>
      <c r="J456" s="39"/>
      <c r="K456" s="35"/>
      <c r="L456" s="103"/>
      <c r="M456" s="40"/>
      <c r="O456" s="107"/>
      <c r="P456" s="22"/>
      <c r="Q456" s="23"/>
      <c r="R456" s="107"/>
      <c r="S456" s="107"/>
      <c r="T456" s="107"/>
      <c r="U456" s="107"/>
      <c r="V456" s="107"/>
    </row>
    <row r="457" spans="4:22" s="12" customFormat="1" x14ac:dyDescent="0.2">
      <c r="D457" s="107"/>
      <c r="E457" s="35"/>
      <c r="F457" s="36"/>
      <c r="G457" s="37"/>
      <c r="H457" s="38"/>
      <c r="I457" s="39"/>
      <c r="J457" s="39"/>
      <c r="K457" s="35"/>
      <c r="L457" s="103"/>
      <c r="M457" s="40"/>
      <c r="O457" s="107"/>
      <c r="P457" s="22"/>
      <c r="Q457" s="23"/>
      <c r="R457" s="107"/>
      <c r="S457" s="107"/>
      <c r="T457" s="107"/>
      <c r="U457" s="107"/>
      <c r="V457" s="107"/>
    </row>
    <row r="458" spans="4:22" s="12" customFormat="1" x14ac:dyDescent="0.2">
      <c r="D458" s="107"/>
      <c r="E458" s="35"/>
      <c r="F458" s="36"/>
      <c r="G458" s="37"/>
      <c r="H458" s="38"/>
      <c r="I458" s="39"/>
      <c r="J458" s="39"/>
      <c r="K458" s="35"/>
      <c r="L458" s="103"/>
      <c r="M458" s="40"/>
      <c r="O458" s="107"/>
      <c r="P458" s="22"/>
      <c r="Q458" s="23"/>
      <c r="R458" s="107"/>
      <c r="S458" s="107"/>
      <c r="T458" s="107"/>
      <c r="U458" s="107"/>
      <c r="V458" s="107"/>
    </row>
    <row r="459" spans="4:22" s="12" customFormat="1" x14ac:dyDescent="0.2">
      <c r="D459" s="107"/>
      <c r="E459" s="35"/>
      <c r="F459" s="36"/>
      <c r="G459" s="37"/>
      <c r="H459" s="38"/>
      <c r="I459" s="39"/>
      <c r="J459" s="39"/>
      <c r="K459" s="35"/>
      <c r="L459" s="103"/>
      <c r="M459" s="40"/>
      <c r="O459" s="107"/>
      <c r="P459" s="22"/>
      <c r="Q459" s="23"/>
      <c r="R459" s="107"/>
      <c r="S459" s="107"/>
      <c r="T459" s="107"/>
      <c r="U459" s="107"/>
      <c r="V459" s="107"/>
    </row>
    <row r="460" spans="4:22" s="12" customFormat="1" x14ac:dyDescent="0.2">
      <c r="D460" s="107"/>
      <c r="E460" s="35"/>
      <c r="F460" s="36"/>
      <c r="G460" s="37"/>
      <c r="H460" s="38"/>
      <c r="I460" s="39"/>
      <c r="J460" s="39"/>
      <c r="K460" s="35"/>
      <c r="L460" s="103"/>
      <c r="M460" s="40"/>
      <c r="O460" s="107"/>
      <c r="P460" s="22"/>
      <c r="Q460" s="23"/>
      <c r="R460" s="107"/>
      <c r="S460" s="107"/>
      <c r="T460" s="107"/>
      <c r="U460" s="107"/>
      <c r="V460" s="107"/>
    </row>
    <row r="461" spans="4:22" s="12" customFormat="1" x14ac:dyDescent="0.2">
      <c r="D461" s="107"/>
      <c r="E461" s="35"/>
      <c r="F461" s="36"/>
      <c r="G461" s="37"/>
      <c r="H461" s="38"/>
      <c r="I461" s="39"/>
      <c r="J461" s="39"/>
      <c r="K461" s="35"/>
      <c r="L461" s="103"/>
      <c r="M461" s="40"/>
      <c r="O461" s="107"/>
      <c r="P461" s="22"/>
      <c r="Q461" s="23"/>
      <c r="R461" s="107"/>
      <c r="S461" s="107"/>
      <c r="T461" s="107"/>
      <c r="U461" s="107"/>
      <c r="V461" s="107"/>
    </row>
    <row r="462" spans="4:22" s="12" customFormat="1" x14ac:dyDescent="0.2">
      <c r="D462" s="107"/>
      <c r="E462" s="35"/>
      <c r="F462" s="36"/>
      <c r="G462" s="37"/>
      <c r="H462" s="38"/>
      <c r="I462" s="39"/>
      <c r="J462" s="39"/>
      <c r="K462" s="35"/>
      <c r="L462" s="103"/>
      <c r="M462" s="40"/>
      <c r="O462" s="107"/>
      <c r="P462" s="22"/>
      <c r="Q462" s="23"/>
      <c r="R462" s="107"/>
      <c r="S462" s="107"/>
      <c r="T462" s="107"/>
      <c r="U462" s="107"/>
      <c r="V462" s="107"/>
    </row>
    <row r="463" spans="4:22" s="12" customFormat="1" x14ac:dyDescent="0.2">
      <c r="D463" s="107"/>
      <c r="E463" s="35"/>
      <c r="F463" s="36"/>
      <c r="G463" s="37"/>
      <c r="H463" s="38"/>
      <c r="I463" s="39"/>
      <c r="J463" s="39"/>
      <c r="K463" s="35"/>
      <c r="L463" s="103"/>
      <c r="M463" s="40"/>
      <c r="O463" s="107"/>
      <c r="P463" s="22"/>
      <c r="Q463" s="23"/>
      <c r="R463" s="107"/>
      <c r="S463" s="107"/>
      <c r="T463" s="107"/>
      <c r="U463" s="107"/>
      <c r="V463" s="107"/>
    </row>
    <row r="464" spans="4:22" s="12" customFormat="1" x14ac:dyDescent="0.2">
      <c r="D464" s="107"/>
      <c r="E464" s="35"/>
      <c r="F464" s="36"/>
      <c r="G464" s="37"/>
      <c r="H464" s="38"/>
      <c r="I464" s="39"/>
      <c r="J464" s="39"/>
      <c r="K464" s="35"/>
      <c r="L464" s="103"/>
      <c r="M464" s="40"/>
      <c r="O464" s="107"/>
      <c r="P464" s="22"/>
      <c r="Q464" s="23"/>
      <c r="R464" s="107"/>
      <c r="S464" s="107"/>
      <c r="T464" s="107"/>
      <c r="U464" s="107"/>
      <c r="V464" s="107"/>
    </row>
    <row r="465" spans="4:22" s="12" customFormat="1" x14ac:dyDescent="0.2">
      <c r="D465" s="107"/>
      <c r="E465" s="35"/>
      <c r="F465" s="36"/>
      <c r="G465" s="37"/>
      <c r="H465" s="38"/>
      <c r="I465" s="39"/>
      <c r="J465" s="39"/>
      <c r="K465" s="35"/>
      <c r="L465" s="103"/>
      <c r="M465" s="40"/>
      <c r="O465" s="107"/>
      <c r="P465" s="22"/>
      <c r="Q465" s="23"/>
      <c r="R465" s="107"/>
      <c r="S465" s="107"/>
      <c r="T465" s="107"/>
      <c r="U465" s="107"/>
      <c r="V465" s="107"/>
    </row>
    <row r="466" spans="4:22" s="12" customFormat="1" x14ac:dyDescent="0.2">
      <c r="D466" s="107"/>
      <c r="E466" s="35"/>
      <c r="F466" s="36"/>
      <c r="G466" s="37"/>
      <c r="H466" s="38"/>
      <c r="I466" s="39"/>
      <c r="J466" s="39"/>
      <c r="K466" s="35"/>
      <c r="L466" s="103"/>
      <c r="M466" s="40"/>
      <c r="O466" s="107"/>
      <c r="P466" s="22"/>
      <c r="Q466" s="23"/>
      <c r="R466" s="107"/>
      <c r="S466" s="107"/>
      <c r="T466" s="107"/>
      <c r="U466" s="107"/>
      <c r="V466" s="107"/>
    </row>
    <row r="467" spans="4:22" s="12" customFormat="1" x14ac:dyDescent="0.2">
      <c r="D467" s="107"/>
      <c r="E467" s="35"/>
      <c r="F467" s="36"/>
      <c r="G467" s="37"/>
      <c r="H467" s="38"/>
      <c r="I467" s="39"/>
      <c r="J467" s="39"/>
      <c r="K467" s="35"/>
      <c r="L467" s="103"/>
      <c r="M467" s="40"/>
      <c r="O467" s="107"/>
      <c r="P467" s="22"/>
      <c r="Q467" s="23"/>
      <c r="R467" s="107"/>
      <c r="S467" s="107"/>
      <c r="T467" s="107"/>
      <c r="U467" s="107"/>
      <c r="V467" s="107"/>
    </row>
    <row r="468" spans="4:22" s="12" customFormat="1" x14ac:dyDescent="0.2">
      <c r="D468" s="107"/>
      <c r="E468" s="35"/>
      <c r="F468" s="36"/>
      <c r="G468" s="37"/>
      <c r="H468" s="38"/>
      <c r="I468" s="39"/>
      <c r="J468" s="39"/>
      <c r="K468" s="35"/>
      <c r="L468" s="103"/>
      <c r="M468" s="40"/>
      <c r="O468" s="107"/>
      <c r="P468" s="22"/>
      <c r="Q468" s="23"/>
      <c r="R468" s="107"/>
      <c r="S468" s="107"/>
      <c r="T468" s="107"/>
      <c r="U468" s="107"/>
      <c r="V468" s="107"/>
    </row>
    <row r="469" spans="4:22" s="12" customFormat="1" x14ac:dyDescent="0.2">
      <c r="D469" s="107"/>
      <c r="E469" s="35"/>
      <c r="F469" s="36"/>
      <c r="G469" s="37"/>
      <c r="H469" s="38"/>
      <c r="I469" s="39"/>
      <c r="J469" s="39"/>
      <c r="K469" s="35"/>
      <c r="L469" s="103"/>
      <c r="M469" s="40"/>
      <c r="O469" s="107"/>
      <c r="P469" s="22"/>
      <c r="Q469" s="23"/>
      <c r="R469" s="107"/>
      <c r="S469" s="107"/>
      <c r="T469" s="107"/>
      <c r="U469" s="107"/>
      <c r="V469" s="107"/>
    </row>
    <row r="470" spans="4:22" s="12" customFormat="1" x14ac:dyDescent="0.2">
      <c r="D470" s="107"/>
      <c r="E470" s="35"/>
      <c r="F470" s="36"/>
      <c r="G470" s="37"/>
      <c r="H470" s="38"/>
      <c r="I470" s="39"/>
      <c r="J470" s="39"/>
      <c r="K470" s="35"/>
      <c r="L470" s="103"/>
      <c r="M470" s="40"/>
      <c r="O470" s="107"/>
      <c r="P470" s="22"/>
      <c r="Q470" s="23"/>
      <c r="R470" s="107"/>
      <c r="S470" s="107"/>
      <c r="T470" s="107"/>
      <c r="U470" s="107"/>
      <c r="V470" s="107"/>
    </row>
    <row r="471" spans="4:22" s="12" customFormat="1" x14ac:dyDescent="0.2">
      <c r="D471" s="107"/>
      <c r="E471" s="35"/>
      <c r="F471" s="36"/>
      <c r="G471" s="37"/>
      <c r="H471" s="38"/>
      <c r="I471" s="39"/>
      <c r="J471" s="39"/>
      <c r="K471" s="35"/>
      <c r="L471" s="103"/>
      <c r="M471" s="40"/>
      <c r="O471" s="107"/>
      <c r="P471" s="22"/>
      <c r="Q471" s="23"/>
      <c r="R471" s="107"/>
      <c r="S471" s="107"/>
      <c r="T471" s="107"/>
      <c r="U471" s="107"/>
      <c r="V471" s="107"/>
    </row>
    <row r="472" spans="4:22" s="12" customFormat="1" x14ac:dyDescent="0.2">
      <c r="D472" s="107"/>
      <c r="E472" s="35"/>
      <c r="F472" s="36"/>
      <c r="G472" s="37"/>
      <c r="H472" s="38"/>
      <c r="I472" s="39"/>
      <c r="J472" s="39"/>
      <c r="K472" s="35"/>
      <c r="L472" s="103"/>
      <c r="M472" s="40"/>
      <c r="O472" s="107"/>
      <c r="P472" s="22"/>
      <c r="Q472" s="23"/>
      <c r="R472" s="107"/>
      <c r="S472" s="107"/>
      <c r="T472" s="107"/>
      <c r="U472" s="107"/>
      <c r="V472" s="107"/>
    </row>
    <row r="473" spans="4:22" s="12" customFormat="1" x14ac:dyDescent="0.2">
      <c r="D473" s="107"/>
      <c r="E473" s="35"/>
      <c r="F473" s="36"/>
      <c r="G473" s="37"/>
      <c r="H473" s="38"/>
      <c r="I473" s="39"/>
      <c r="J473" s="39"/>
      <c r="K473" s="35"/>
      <c r="L473" s="103"/>
      <c r="M473" s="40"/>
      <c r="O473" s="107"/>
      <c r="P473" s="22"/>
      <c r="Q473" s="23"/>
      <c r="R473" s="107"/>
      <c r="S473" s="107"/>
      <c r="T473" s="107"/>
      <c r="U473" s="107"/>
      <c r="V473" s="107"/>
    </row>
    <row r="474" spans="4:22" s="12" customFormat="1" x14ac:dyDescent="0.2">
      <c r="D474" s="107"/>
      <c r="E474" s="35"/>
      <c r="F474" s="36"/>
      <c r="G474" s="37"/>
      <c r="H474" s="38"/>
      <c r="I474" s="39"/>
      <c r="J474" s="39"/>
      <c r="K474" s="35"/>
      <c r="L474" s="103"/>
      <c r="M474" s="40"/>
      <c r="O474" s="107"/>
      <c r="P474" s="22"/>
      <c r="Q474" s="23"/>
      <c r="R474" s="107"/>
      <c r="S474" s="107"/>
      <c r="T474" s="107"/>
      <c r="U474" s="107"/>
      <c r="V474" s="107"/>
    </row>
    <row r="475" spans="4:22" s="12" customFormat="1" x14ac:dyDescent="0.2">
      <c r="D475" s="107"/>
      <c r="E475" s="35"/>
      <c r="F475" s="36"/>
      <c r="G475" s="37"/>
      <c r="H475" s="38"/>
      <c r="I475" s="39"/>
      <c r="J475" s="39"/>
      <c r="K475" s="35"/>
      <c r="L475" s="103"/>
      <c r="M475" s="40"/>
      <c r="O475" s="107"/>
      <c r="P475" s="22"/>
      <c r="Q475" s="23"/>
      <c r="R475" s="107"/>
      <c r="S475" s="107"/>
      <c r="T475" s="107"/>
      <c r="U475" s="107"/>
      <c r="V475" s="107"/>
    </row>
    <row r="476" spans="4:22" s="12" customFormat="1" x14ac:dyDescent="0.2">
      <c r="D476" s="107"/>
      <c r="E476" s="35"/>
      <c r="F476" s="36"/>
      <c r="G476" s="37"/>
      <c r="H476" s="38"/>
      <c r="I476" s="39"/>
      <c r="J476" s="39"/>
      <c r="K476" s="35"/>
      <c r="L476" s="103"/>
      <c r="M476" s="40"/>
      <c r="O476" s="107"/>
      <c r="P476" s="22"/>
      <c r="Q476" s="23"/>
      <c r="R476" s="107"/>
      <c r="S476" s="107"/>
      <c r="T476" s="107"/>
      <c r="U476" s="107"/>
      <c r="V476" s="107"/>
    </row>
    <row r="477" spans="4:22" s="12" customFormat="1" x14ac:dyDescent="0.2">
      <c r="D477" s="107"/>
      <c r="E477" s="35"/>
      <c r="F477" s="36"/>
      <c r="G477" s="37"/>
      <c r="H477" s="38"/>
      <c r="I477" s="39"/>
      <c r="J477" s="39"/>
      <c r="K477" s="35"/>
      <c r="L477" s="103"/>
      <c r="M477" s="40"/>
      <c r="O477" s="107"/>
      <c r="P477" s="22"/>
      <c r="Q477" s="23"/>
      <c r="R477" s="107"/>
      <c r="S477" s="107"/>
      <c r="T477" s="107"/>
      <c r="U477" s="107"/>
      <c r="V477" s="107"/>
    </row>
    <row r="478" spans="4:22" s="12" customFormat="1" x14ac:dyDescent="0.2">
      <c r="D478" s="107"/>
      <c r="E478" s="35"/>
      <c r="F478" s="36"/>
      <c r="G478" s="37"/>
      <c r="H478" s="38"/>
      <c r="I478" s="39"/>
      <c r="J478" s="39"/>
      <c r="K478" s="35"/>
      <c r="L478" s="103"/>
      <c r="M478" s="40"/>
      <c r="O478" s="107"/>
      <c r="P478" s="22"/>
      <c r="Q478" s="23"/>
      <c r="R478" s="107"/>
      <c r="S478" s="107"/>
      <c r="T478" s="107"/>
      <c r="U478" s="107"/>
      <c r="V478" s="107"/>
    </row>
    <row r="479" spans="4:22" s="12" customFormat="1" x14ac:dyDescent="0.2">
      <c r="D479" s="107"/>
      <c r="E479" s="35"/>
      <c r="F479" s="36"/>
      <c r="G479" s="37"/>
      <c r="H479" s="38"/>
      <c r="I479" s="39"/>
      <c r="J479" s="39"/>
      <c r="K479" s="35"/>
      <c r="L479" s="103"/>
      <c r="M479" s="40"/>
      <c r="O479" s="107"/>
      <c r="P479" s="22"/>
      <c r="Q479" s="23"/>
      <c r="R479" s="107"/>
      <c r="S479" s="107"/>
      <c r="T479" s="107"/>
      <c r="U479" s="107"/>
      <c r="V479" s="107"/>
    </row>
    <row r="480" spans="4:22" s="12" customFormat="1" x14ac:dyDescent="0.2">
      <c r="D480" s="107"/>
      <c r="E480" s="35"/>
      <c r="F480" s="36"/>
      <c r="G480" s="37"/>
      <c r="H480" s="38"/>
      <c r="I480" s="39"/>
      <c r="J480" s="39"/>
      <c r="K480" s="35"/>
      <c r="L480" s="103"/>
      <c r="M480" s="40"/>
      <c r="O480" s="107"/>
      <c r="P480" s="22"/>
      <c r="Q480" s="23"/>
      <c r="R480" s="107"/>
      <c r="S480" s="107"/>
      <c r="T480" s="107"/>
      <c r="U480" s="107"/>
      <c r="V480" s="107"/>
    </row>
    <row r="481" spans="4:22" s="12" customFormat="1" x14ac:dyDescent="0.2">
      <c r="D481" s="107"/>
      <c r="E481" s="35"/>
      <c r="F481" s="36"/>
      <c r="G481" s="37"/>
      <c r="H481" s="38"/>
      <c r="I481" s="39"/>
      <c r="J481" s="39"/>
      <c r="K481" s="35"/>
      <c r="L481" s="103"/>
      <c r="M481" s="40"/>
      <c r="O481" s="107"/>
      <c r="P481" s="22"/>
      <c r="Q481" s="23"/>
      <c r="R481" s="107"/>
      <c r="S481" s="107"/>
      <c r="T481" s="107"/>
      <c r="U481" s="107"/>
      <c r="V481" s="107"/>
    </row>
    <row r="482" spans="4:22" s="12" customFormat="1" x14ac:dyDescent="0.2">
      <c r="D482" s="107"/>
      <c r="E482" s="35"/>
      <c r="F482" s="36"/>
      <c r="G482" s="37"/>
      <c r="H482" s="38"/>
      <c r="I482" s="39"/>
      <c r="J482" s="39"/>
      <c r="K482" s="35"/>
      <c r="L482" s="103"/>
      <c r="M482" s="40"/>
      <c r="O482" s="107"/>
      <c r="P482" s="22"/>
      <c r="Q482" s="23"/>
      <c r="R482" s="107"/>
      <c r="S482" s="107"/>
      <c r="T482" s="107"/>
      <c r="U482" s="107"/>
      <c r="V482" s="107"/>
    </row>
    <row r="483" spans="4:22" s="12" customFormat="1" x14ac:dyDescent="0.2">
      <c r="D483" s="107"/>
      <c r="E483" s="35"/>
      <c r="F483" s="36"/>
      <c r="G483" s="37"/>
      <c r="H483" s="38"/>
      <c r="I483" s="39"/>
      <c r="J483" s="39"/>
      <c r="K483" s="35"/>
      <c r="L483" s="103"/>
      <c r="M483" s="40"/>
      <c r="O483" s="107"/>
      <c r="P483" s="22"/>
      <c r="Q483" s="23"/>
      <c r="R483" s="107"/>
      <c r="S483" s="107"/>
      <c r="T483" s="107"/>
      <c r="U483" s="107"/>
      <c r="V483" s="107"/>
    </row>
    <row r="484" spans="4:22" s="12" customFormat="1" x14ac:dyDescent="0.2">
      <c r="D484" s="107"/>
      <c r="E484" s="35"/>
      <c r="F484" s="36"/>
      <c r="G484" s="37"/>
      <c r="H484" s="38"/>
      <c r="I484" s="39"/>
      <c r="J484" s="39"/>
      <c r="K484" s="35"/>
      <c r="L484" s="103"/>
      <c r="M484" s="40"/>
      <c r="O484" s="107"/>
      <c r="P484" s="22"/>
      <c r="Q484" s="23"/>
      <c r="R484" s="107"/>
      <c r="S484" s="107"/>
      <c r="T484" s="107"/>
      <c r="U484" s="107"/>
      <c r="V484" s="107"/>
    </row>
    <row r="485" spans="4:22" s="12" customFormat="1" x14ac:dyDescent="0.2">
      <c r="D485" s="107"/>
      <c r="E485" s="35"/>
      <c r="F485" s="36"/>
      <c r="G485" s="37"/>
      <c r="H485" s="38"/>
      <c r="I485" s="39"/>
      <c r="J485" s="39"/>
      <c r="K485" s="35"/>
      <c r="L485" s="103"/>
      <c r="M485" s="40"/>
      <c r="O485" s="107"/>
      <c r="P485" s="22"/>
      <c r="Q485" s="23"/>
      <c r="R485" s="107"/>
      <c r="S485" s="107"/>
      <c r="T485" s="107"/>
      <c r="U485" s="107"/>
      <c r="V485" s="107"/>
    </row>
    <row r="486" spans="4:22" s="12" customFormat="1" x14ac:dyDescent="0.2">
      <c r="D486" s="107"/>
      <c r="E486" s="35"/>
      <c r="F486" s="36"/>
      <c r="G486" s="37"/>
      <c r="H486" s="38"/>
      <c r="I486" s="39"/>
      <c r="J486" s="39"/>
      <c r="K486" s="35"/>
      <c r="L486" s="103"/>
      <c r="M486" s="40"/>
      <c r="O486" s="107"/>
      <c r="P486" s="22"/>
      <c r="Q486" s="23"/>
      <c r="R486" s="107"/>
      <c r="S486" s="107"/>
      <c r="T486" s="107"/>
      <c r="U486" s="107"/>
      <c r="V486" s="107"/>
    </row>
    <row r="487" spans="4:22" s="12" customFormat="1" x14ac:dyDescent="0.2">
      <c r="D487" s="107"/>
      <c r="E487" s="35"/>
      <c r="F487" s="36"/>
      <c r="G487" s="37"/>
      <c r="H487" s="38"/>
      <c r="I487" s="39"/>
      <c r="J487" s="39"/>
      <c r="K487" s="35"/>
      <c r="L487" s="103"/>
      <c r="M487" s="40"/>
      <c r="O487" s="107"/>
      <c r="P487" s="22"/>
      <c r="Q487" s="23"/>
      <c r="R487" s="107"/>
      <c r="S487" s="107"/>
      <c r="T487" s="107"/>
      <c r="U487" s="107"/>
      <c r="V487" s="107"/>
    </row>
    <row r="488" spans="4:22" s="12" customFormat="1" x14ac:dyDescent="0.2">
      <c r="D488" s="107"/>
      <c r="E488" s="35"/>
      <c r="F488" s="36"/>
      <c r="G488" s="37"/>
      <c r="H488" s="38"/>
      <c r="I488" s="39"/>
      <c r="J488" s="39"/>
      <c r="K488" s="35"/>
      <c r="L488" s="103"/>
      <c r="M488" s="40"/>
      <c r="O488" s="107"/>
      <c r="P488" s="22"/>
      <c r="Q488" s="23"/>
      <c r="R488" s="107"/>
      <c r="S488" s="107"/>
      <c r="T488" s="107"/>
      <c r="U488" s="107"/>
      <c r="V488" s="107"/>
    </row>
    <row r="489" spans="4:22" s="12" customFormat="1" x14ac:dyDescent="0.2">
      <c r="D489" s="107"/>
      <c r="E489" s="35"/>
      <c r="F489" s="36"/>
      <c r="G489" s="37"/>
      <c r="H489" s="38"/>
      <c r="I489" s="39"/>
      <c r="J489" s="39"/>
      <c r="K489" s="35"/>
      <c r="L489" s="103"/>
      <c r="M489" s="40"/>
      <c r="O489" s="107"/>
      <c r="P489" s="22"/>
      <c r="Q489" s="23"/>
      <c r="R489" s="107"/>
      <c r="S489" s="107"/>
      <c r="T489" s="107"/>
      <c r="U489" s="107"/>
      <c r="V489" s="107"/>
    </row>
    <row r="490" spans="4:22" s="12" customFormat="1" x14ac:dyDescent="0.2">
      <c r="D490" s="107"/>
      <c r="E490" s="35"/>
      <c r="F490" s="36"/>
      <c r="G490" s="37"/>
      <c r="H490" s="38"/>
      <c r="I490" s="39"/>
      <c r="J490" s="39"/>
      <c r="K490" s="35"/>
      <c r="L490" s="103"/>
      <c r="M490" s="40"/>
      <c r="O490" s="107"/>
      <c r="P490" s="22"/>
      <c r="Q490" s="23"/>
      <c r="R490" s="107"/>
      <c r="S490" s="107"/>
      <c r="T490" s="107"/>
      <c r="U490" s="107"/>
      <c r="V490" s="107"/>
    </row>
    <row r="491" spans="4:22" s="12" customFormat="1" x14ac:dyDescent="0.2">
      <c r="D491" s="107"/>
      <c r="E491" s="35"/>
      <c r="F491" s="36"/>
      <c r="G491" s="37"/>
      <c r="H491" s="38"/>
      <c r="I491" s="39"/>
      <c r="J491" s="39"/>
      <c r="K491" s="35"/>
      <c r="L491" s="103"/>
      <c r="M491" s="40"/>
      <c r="O491" s="107"/>
      <c r="P491" s="22"/>
      <c r="Q491" s="23"/>
      <c r="R491" s="107"/>
      <c r="S491" s="107"/>
      <c r="T491" s="107"/>
      <c r="U491" s="107"/>
      <c r="V491" s="107"/>
    </row>
    <row r="492" spans="4:22" s="12" customFormat="1" x14ac:dyDescent="0.2">
      <c r="D492" s="107"/>
      <c r="E492" s="35"/>
      <c r="F492" s="36"/>
      <c r="G492" s="37"/>
      <c r="H492" s="38"/>
      <c r="I492" s="39"/>
      <c r="J492" s="39"/>
      <c r="K492" s="35"/>
      <c r="L492" s="103"/>
      <c r="M492" s="40"/>
      <c r="O492" s="107"/>
      <c r="P492" s="22"/>
      <c r="Q492" s="23"/>
      <c r="R492" s="107"/>
      <c r="S492" s="107"/>
      <c r="T492" s="107"/>
      <c r="U492" s="107"/>
      <c r="V492" s="107"/>
    </row>
    <row r="493" spans="4:22" s="12" customFormat="1" x14ac:dyDescent="0.2">
      <c r="D493" s="107"/>
      <c r="E493" s="35"/>
      <c r="F493" s="36"/>
      <c r="G493" s="37"/>
      <c r="H493" s="38"/>
      <c r="I493" s="39"/>
      <c r="J493" s="39"/>
      <c r="K493" s="35"/>
      <c r="L493" s="103"/>
      <c r="M493" s="40"/>
      <c r="O493" s="107"/>
      <c r="P493" s="22"/>
      <c r="Q493" s="23"/>
      <c r="R493" s="107"/>
      <c r="S493" s="107"/>
      <c r="T493" s="107"/>
      <c r="U493" s="107"/>
      <c r="V493" s="107"/>
    </row>
    <row r="494" spans="4:22" s="12" customFormat="1" x14ac:dyDescent="0.2">
      <c r="D494" s="107"/>
      <c r="E494" s="35"/>
      <c r="F494" s="36"/>
      <c r="G494" s="37"/>
      <c r="H494" s="38"/>
      <c r="I494" s="39"/>
      <c r="J494" s="39"/>
      <c r="K494" s="35"/>
      <c r="L494" s="103"/>
      <c r="M494" s="40"/>
      <c r="O494" s="107"/>
      <c r="P494" s="22"/>
      <c r="Q494" s="23"/>
      <c r="R494" s="107"/>
      <c r="S494" s="107"/>
      <c r="T494" s="107"/>
      <c r="U494" s="107"/>
      <c r="V494" s="107"/>
    </row>
    <row r="495" spans="4:22" s="12" customFormat="1" x14ac:dyDescent="0.2">
      <c r="D495" s="107"/>
      <c r="E495" s="35"/>
      <c r="F495" s="36"/>
      <c r="G495" s="37"/>
      <c r="H495" s="38"/>
      <c r="I495" s="39"/>
      <c r="J495" s="39"/>
      <c r="K495" s="35"/>
      <c r="L495" s="103"/>
      <c r="M495" s="40"/>
      <c r="O495" s="107"/>
      <c r="P495" s="22"/>
      <c r="Q495" s="23"/>
      <c r="R495" s="107"/>
      <c r="S495" s="107"/>
      <c r="T495" s="107"/>
      <c r="U495" s="107"/>
      <c r="V495" s="107"/>
    </row>
    <row r="496" spans="4:22" s="12" customFormat="1" x14ac:dyDescent="0.2">
      <c r="D496" s="107"/>
      <c r="E496" s="35"/>
      <c r="F496" s="36"/>
      <c r="G496" s="37"/>
      <c r="H496" s="38"/>
      <c r="I496" s="39"/>
      <c r="J496" s="39"/>
      <c r="K496" s="35"/>
      <c r="L496" s="103"/>
      <c r="M496" s="40"/>
      <c r="O496" s="107"/>
      <c r="P496" s="22"/>
      <c r="Q496" s="23"/>
      <c r="R496" s="107"/>
      <c r="S496" s="107"/>
      <c r="T496" s="107"/>
      <c r="U496" s="107"/>
      <c r="V496" s="107"/>
    </row>
    <row r="497" spans="4:22" s="12" customFormat="1" x14ac:dyDescent="0.2">
      <c r="D497" s="107"/>
      <c r="E497" s="35"/>
      <c r="F497" s="36"/>
      <c r="G497" s="37"/>
      <c r="H497" s="38"/>
      <c r="I497" s="39"/>
      <c r="J497" s="39"/>
      <c r="K497" s="35"/>
      <c r="L497" s="103"/>
      <c r="M497" s="40"/>
      <c r="O497" s="107"/>
      <c r="P497" s="22"/>
      <c r="Q497" s="23"/>
      <c r="R497" s="107"/>
      <c r="S497" s="107"/>
      <c r="T497" s="107"/>
      <c r="U497" s="107"/>
      <c r="V497" s="107"/>
    </row>
    <row r="498" spans="4:22" s="12" customFormat="1" x14ac:dyDescent="0.2">
      <c r="D498" s="107"/>
      <c r="E498" s="35"/>
      <c r="F498" s="36"/>
      <c r="G498" s="37"/>
      <c r="H498" s="38"/>
      <c r="I498" s="39"/>
      <c r="J498" s="39"/>
      <c r="K498" s="35"/>
      <c r="L498" s="103"/>
      <c r="M498" s="40"/>
      <c r="O498" s="107"/>
      <c r="P498" s="22"/>
      <c r="Q498" s="23"/>
      <c r="R498" s="107"/>
      <c r="S498" s="107"/>
      <c r="T498" s="107"/>
      <c r="U498" s="107"/>
      <c r="V498" s="107"/>
    </row>
    <row r="499" spans="4:22" s="12" customFormat="1" x14ac:dyDescent="0.2">
      <c r="D499" s="107"/>
      <c r="E499" s="35"/>
      <c r="F499" s="36"/>
      <c r="G499" s="37"/>
      <c r="H499" s="38"/>
      <c r="I499" s="39"/>
      <c r="J499" s="39"/>
      <c r="K499" s="35"/>
      <c r="L499" s="103"/>
      <c r="M499" s="40"/>
      <c r="O499" s="107"/>
      <c r="P499" s="22"/>
      <c r="Q499" s="23"/>
      <c r="R499" s="107"/>
      <c r="S499" s="107"/>
      <c r="T499" s="107"/>
      <c r="U499" s="107"/>
      <c r="V499" s="107"/>
    </row>
    <row r="500" spans="4:22" s="12" customFormat="1" x14ac:dyDescent="0.2">
      <c r="D500" s="107"/>
      <c r="E500" s="35"/>
      <c r="F500" s="36"/>
      <c r="G500" s="37"/>
      <c r="H500" s="38"/>
      <c r="I500" s="39"/>
      <c r="J500" s="39"/>
      <c r="K500" s="35"/>
      <c r="L500" s="103"/>
      <c r="M500" s="40"/>
      <c r="O500" s="107"/>
      <c r="P500" s="22"/>
      <c r="Q500" s="23"/>
      <c r="R500" s="107"/>
      <c r="S500" s="107"/>
      <c r="T500" s="107"/>
      <c r="U500" s="107"/>
      <c r="V500" s="107"/>
    </row>
  </sheetData>
  <mergeCells count="55">
    <mergeCell ref="A55:C55"/>
    <mergeCell ref="A43:C43"/>
    <mergeCell ref="A44:C44"/>
    <mergeCell ref="A1:B1"/>
    <mergeCell ref="R1:T1"/>
    <mergeCell ref="A2:B2"/>
    <mergeCell ref="R2:T2"/>
    <mergeCell ref="A3:C3"/>
    <mergeCell ref="R3:T3"/>
    <mergeCell ref="R15:T15"/>
    <mergeCell ref="R4:T4"/>
    <mergeCell ref="R5:T5"/>
    <mergeCell ref="R6:T6"/>
    <mergeCell ref="R7:T7"/>
    <mergeCell ref="R8:T8"/>
    <mergeCell ref="R9:T9"/>
    <mergeCell ref="A39:C39"/>
    <mergeCell ref="A40:C40"/>
    <mergeCell ref="R10:T10"/>
    <mergeCell ref="R11:T11"/>
    <mergeCell ref="R12:T12"/>
    <mergeCell ref="R13:T13"/>
    <mergeCell ref="R14:T14"/>
    <mergeCell ref="A5:C5"/>
    <mergeCell ref="A6:C6"/>
    <mergeCell ref="A52:C52"/>
    <mergeCell ref="R16:T16"/>
    <mergeCell ref="R17:T17"/>
    <mergeCell ref="A21:C21"/>
    <mergeCell ref="A38:C38"/>
    <mergeCell ref="A45:C45"/>
    <mergeCell ref="A46:C46"/>
    <mergeCell ref="A47:C47"/>
    <mergeCell ref="A48:C48"/>
    <mergeCell ref="A49:C49"/>
    <mergeCell ref="A50:C50"/>
    <mergeCell ref="A51:C51"/>
    <mergeCell ref="A36:C36"/>
    <mergeCell ref="A37:C37"/>
    <mergeCell ref="A7:C7"/>
    <mergeCell ref="A15:C15"/>
    <mergeCell ref="A41:C41"/>
    <mergeCell ref="A42:C42"/>
    <mergeCell ref="A4:C4"/>
    <mergeCell ref="A32:C32"/>
    <mergeCell ref="A33:C33"/>
    <mergeCell ref="A34:C34"/>
    <mergeCell ref="A35:C35"/>
    <mergeCell ref="A8:C8"/>
    <mergeCell ref="A9:C9"/>
    <mergeCell ref="A10:C10"/>
    <mergeCell ref="A11:C11"/>
    <mergeCell ref="A12:C12"/>
    <mergeCell ref="A13:C13"/>
    <mergeCell ref="A14:C14"/>
  </mergeCells>
  <conditionalFormatting sqref="L2">
    <cfRule type="cellIs" dxfId="11" priority="1" operator="equal">
      <formula>"EARLY"</formula>
    </cfRule>
    <cfRule type="cellIs" dxfId="10" priority="2" operator="equal">
      <formula>"DEF"</formula>
    </cfRule>
    <cfRule type="cellIs" dxfId="9" priority="3" operator="equal">
      <formula>"LATE"</formula>
    </cfRule>
  </conditionalFormatting>
  <conditionalFormatting sqref="L2:L123">
    <cfRule type="expression" dxfId="8" priority="4">
      <formula>K2="Paid"</formula>
    </cfRule>
    <cfRule type="expression" dxfId="7" priority="5">
      <formula>K2="Check!"</formula>
    </cfRule>
    <cfRule type="expression" dxfId="6" priority="6">
      <formula>K2="Waiting"</formula>
    </cfRule>
  </conditionalFormatting>
  <conditionalFormatting sqref="L3:L300">
    <cfRule type="cellIs" dxfId="5" priority="7" operator="equal">
      <formula>"EARLY"</formula>
    </cfRule>
    <cfRule type="cellIs" dxfId="4" priority="8" operator="equal">
      <formula>"DEF"</formula>
    </cfRule>
    <cfRule type="cellIs" dxfId="3" priority="9" operator="equal">
      <formula>"LATE"</formula>
    </cfRule>
  </conditionalFormatting>
  <conditionalFormatting sqref="L134:L578">
    <cfRule type="expression" dxfId="2" priority="13">
      <formula>K134="Paid"</formula>
    </cfRule>
    <cfRule type="expression" dxfId="1" priority="14">
      <formula>K134="Check!"</formula>
    </cfRule>
    <cfRule type="expression" dxfId="0" priority="15">
      <formula>K134="Waiting"</formula>
    </cfRule>
  </conditionalFormatting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CD2648-6B0A-4F6B-86FD-8BACB255C3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Report</vt:lpstr>
      <vt:lpstr>ALL</vt:lpstr>
      <vt:lpstr>Sukuk</vt:lpstr>
      <vt:lpstr>MANAFA</vt:lpstr>
      <vt:lpstr>DINAR</vt:lpstr>
      <vt:lpstr>LENDO</vt:lpstr>
      <vt:lpstr>SAFQA</vt:lpstr>
      <vt:lpstr>TARMEEZ</vt:lpstr>
      <vt:lpstr>TAMEED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Special account ..</dc:creator>
  <cp:keywords/>
  <dc:description/>
  <cp:lastModifiedBy>Ahmad Alzhrani</cp:lastModifiedBy>
  <cp:revision/>
  <dcterms:created xsi:type="dcterms:W3CDTF">2023-12-30T22:39:31Z</dcterms:created>
  <dcterms:modified xsi:type="dcterms:W3CDTF">2025-11-05T14:25:00Z</dcterms:modified>
  <cp:category/>
  <cp:contentStatus/>
</cp:coreProperties>
</file>